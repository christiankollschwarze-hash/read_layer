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nahmen" sheetId="1" state="visible" r:id="rId3"/>
    <sheet name="TÆLLA" sheetId="2" state="visible" r:id="rId4"/>
    <sheet name="Read Layer" sheetId="3" state="visible" r:id="rId5"/>
    <sheet name="SOMNIO" sheetId="4" state="visible" r:id="rId6"/>
    <sheet name="Gesamt" sheetId="5" state="visible" r:id="rId7"/>
    <sheet name="Neue Felder" sheetId="6" state="visible" r:id="rId8"/>
    <sheet name="TÆLLA Verlagstitel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<sst xmlns="http://schemas.openxmlformats.org/spreadsheetml/2006/main" count="1504" uniqueCount="615">
  <si>
    <t xml:space="preserve">TÆLLA · Read Layer · SOMNIO — Ertragsmodell (Stand 24.10.2026, CFO)</t>
  </si>
  <si>
    <t xml:space="preserve">Blau = änderbare Eingabe, gelb hinterlegt = Szenario-Treiber, schwarz = Formel. Monat 1 = 01/2027, 24 Monate. Alle Beträge in EUR netto, sofern nicht anders angegeben. Szenarien: B = vorsichtig, C = mittel, D = stark.</t>
  </si>
  <si>
    <t xml:space="preserve">Treiber</t>
  </si>
  <si>
    <t xml:space="preserve">vorsichtig</t>
  </si>
  <si>
    <t xml:space="preserve">mittel</t>
  </si>
  <si>
    <t xml:space="preserve">stark</t>
  </si>
  <si>
    <t xml:space="preserve">Einheit</t>
  </si>
  <si>
    <t xml:space="preserve">Quelle / Begründung</t>
  </si>
  <si>
    <t xml:space="preserve">ALLGEMEIN</t>
  </si>
  <si>
    <t xml:space="preserve">Wechselkurs EUR/USD</t>
  </si>
  <si>
    <t xml:space="preserve">USD je EUR</t>
  </si>
  <si>
    <t xml:space="preserve">EZB-Referenzkurs 23.10.2026, ecb.europa.eu</t>
  </si>
  <si>
    <t xml:space="preserve">Wechselkurs EUR/CHF</t>
  </si>
  <si>
    <t xml:space="preserve">CHF je EUR</t>
  </si>
  <si>
    <t xml:space="preserve">EZB-Referenzkurs 16.10.2026, ecb.europa.eu</t>
  </si>
  <si>
    <t xml:space="preserve">MwSt App-Abo/Patenschaft (B2C)</t>
  </si>
  <si>
    <t xml:space="preserve">Anteil</t>
  </si>
  <si>
    <t xml:space="preserve">Annahme Regelsatz – Steuerberater prüfen</t>
  </si>
  <si>
    <t xml:space="preserve">MwSt E-Book/Hörbuch (SOMNIO)</t>
  </si>
  <si>
    <t xml:space="preserve">Annahme ermäßigter Satz elektronische Publikationen – Steuerberater prüfen</t>
  </si>
  <si>
    <t xml:space="preserve">Kalk. Stundensatz manuelle Prüfung</t>
  </si>
  <si>
    <t xml:space="preserve">€/h</t>
  </si>
  <si>
    <t xml:space="preserve">Vorschlag CFO (Grundlage Schnitt-Aufschlag)</t>
  </si>
  <si>
    <t xml:space="preserve">KOSTENBASIS (aus Projektdokumenten, USD)</t>
  </si>
  <si>
    <t xml:space="preserve">Text EN+DE (DeepSeek, Stages 200–420)</t>
  </si>
  <si>
    <t xml:space="preserve">$/1.000 Wörter</t>
  </si>
  <si>
    <t xml:space="preserve">TECHNIK.md Abschn. 2; PROJEKTSTAND 11.10.</t>
  </si>
  <si>
    <t xml:space="preserve">Basis-Audio Chatterbox (Modal L4)</t>
  </si>
  <si>
    <t xml:space="preserve">$/Audio-h</t>
  </si>
  <si>
    <t xml:space="preserve">TECHNIK.md; PROJEKTSTAND 15.10. (2,48 $ / 2,65 h)</t>
  </si>
  <si>
    <t xml:space="preserve">Premium-Audio Gemini ab 01.01.2027</t>
  </si>
  <si>
    <t xml:space="preserve">TECHNIK.md (0,81 $ × 2 ab 2027)</t>
  </si>
  <si>
    <t xml:space="preserve">Wortzeiten MMS_FA (Modal)</t>
  </si>
  <si>
    <t xml:space="preserve">PIPELINE.md Smoke Lauf 5: Stage 520 0,0340 $ für 13,4 Audio-min</t>
  </si>
  <si>
    <t xml:space="preserve">Hörspiel-VC Chatterbox</t>
  </si>
  <si>
    <t xml:space="preserve">$/Werk</t>
  </si>
  <si>
    <t xml:space="preserve">TECHNIK.md; PROJEKTSTAND 14.10.</t>
  </si>
  <si>
    <t xml:space="preserve">Hörspiel Sprecherzuordnung 57b (DeepSeek Pro)</t>
  </si>
  <si>
    <t xml:space="preserve">PROJEKTSTAND 12.10. (~1 $/Roman)</t>
  </si>
  <si>
    <t xml:space="preserve">Hörspiel Trennungsmessung (Modal T4)</t>
  </si>
  <si>
    <t xml:space="preserve">PROJEKTSTAND 16.10.</t>
  </si>
  <si>
    <t xml:space="preserve">Text einsprachig (Import/Tagging 200+210)</t>
  </si>
  <si>
    <t xml:space="preserve">PIPELINE.md Smoke Lauf 5 (1.339 Wörter)</t>
  </si>
  <si>
    <t xml:space="preserve">Wörter je Audio-Stunde</t>
  </si>
  <si>
    <t xml:space="preserve">Wörter/h</t>
  </si>
  <si>
    <t xml:space="preserve">ACX: ~9.300 Wörter je fertiger Stunde (acx.com); Smoke-Kalibrierung unten</t>
  </si>
  <si>
    <t xml:space="preserve">Ø Wörter je Katalogwerk (PD)</t>
  </si>
  <si>
    <t xml:space="preserve">Wörter</t>
  </si>
  <si>
    <t xml:space="preserve">PROJEKTSTAND: 187 Werke / 18,6 Mio. Wörter</t>
  </si>
  <si>
    <t xml:space="preserve">Ø Wörter je Verlagstitel</t>
  </si>
  <si>
    <t xml:space="preserve">Pilot-Obergrenze AP_cockpit_v2</t>
  </si>
  <si>
    <t xml:space="preserve">Wörter je Normseite (1.800 Zeichen)</t>
  </si>
  <si>
    <t xml:space="preserve">Annahme CFO</t>
  </si>
  <si>
    <t xml:space="preserve">SMOKE-TEST-KALIBRIERUNG (Lauf 5, 24.10.2026)</t>
  </si>
  <si>
    <t xml:space="preserve">Wörter Smoke-Werk (EN)</t>
  </si>
  <si>
    <t xml:space="preserve">PIPELINE.md</t>
  </si>
  <si>
    <t xml:space="preserve">Textkosten gesamt</t>
  </si>
  <si>
    <t xml:space="preserve">$</t>
  </si>
  <si>
    <t xml:space="preserve">Modal gesamt (500+520)</t>
  </si>
  <si>
    <t xml:space="preserve">Audio-Minuten EN+DE</t>
  </si>
  <si>
    <t xml:space="preserve">min</t>
  </si>
  <si>
    <t xml:space="preserve">PIPELINE.md (2 × 6,7 min)</t>
  </si>
  <si>
    <t xml:space="preserve">→ Text je 1.000 Wörter (gemessen)</t>
  </si>
  <si>
    <t xml:space="preserve">$/1.000 W</t>
  </si>
  <si>
    <t xml:space="preserve">liegt unter Ansatz 0,09 $ (Ansatz bleibt, konservativ)</t>
  </si>
  <si>
    <t xml:space="preserve">→ Modal je Audio-h (gemessen, roh)</t>
  </si>
  <si>
    <t xml:space="preserve">vgl. Ansatz 0,94 + Wortzeiten</t>
  </si>
  <si>
    <t xml:space="preserve">→ Wörter je Audio-h Chatterbox roh / nach Tempo 0,73</t>
  </si>
  <si>
    <t xml:space="preserve">PROJEKTSTAND 15.10. atempo 0,73</t>
  </si>
  <si>
    <t xml:space="preserve">KOSTEN JE WERK (Ø Katalogwerk, EN+DE, in EUR)</t>
  </si>
  <si>
    <t xml:space="preserve">Audio-Stunden je Sprache</t>
  </si>
  <si>
    <t xml:space="preserve">h</t>
  </si>
  <si>
    <t xml:space="preserve">Formel</t>
  </si>
  <si>
    <t xml:space="preserve">Text EN+DE</t>
  </si>
  <si>
    <t xml:space="preserve">€/Werk</t>
  </si>
  <si>
    <t xml:space="preserve">Basis-Audio EN+DE (Chatterbox)</t>
  </si>
  <si>
    <t xml:space="preserve">Wortzeiten EN+DE</t>
  </si>
  <si>
    <t xml:space="preserve">Premium-Audio EN+DE (Gemini 2027)</t>
  </si>
  <si>
    <t xml:space="preserve">Hörspiel-Schicht (VC + 57b + Messung)</t>
  </si>
  <si>
    <t xml:space="preserve">→ Katalogwerk Basis (Text + Basis-Audio + Wortzeiten)</t>
  </si>
  <si>
    <t xml:space="preserve">TÆLLA-Katalog / SOMNIO</t>
  </si>
  <si>
    <t xml:space="preserve">→ Zusatz Premium-Hörbuch (Gemini statt Chatterbox)</t>
  </si>
  <si>
    <t xml:space="preserve">Patenschaft Hörbuch</t>
  </si>
  <si>
    <t xml:space="preserve">→ Zusatz Hörspiel (Premium + Schicht)</t>
  </si>
  <si>
    <t xml:space="preserve">Patenschaft Hörspiel / Auftrag</t>
  </si>
  <si>
    <t xml:space="preserve">Verlagstitel: BFSG-EPUB ohne Audio</t>
  </si>
  <si>
    <t xml:space="preserve">€/Titel</t>
  </si>
  <si>
    <t xml:space="preserve">Verlagstitel: Audio-Stunden (1 Sprache)</t>
  </si>
  <si>
    <t xml:space="preserve">Verlagstitel: Media Overlays mit Basis-Vertonung (1 Sprache)</t>
  </si>
  <si>
    <t xml:space="preserve">Verlagstitel: Alignment Verlagsaudio</t>
  </si>
  <si>
    <t xml:space="preserve">Wortzeiten-Satz; STT-Kosten 58_3rd_prty nicht gemessen</t>
  </si>
  <si>
    <t xml:space="preserve">Vertonung Premium je Audio-h</t>
  </si>
  <si>
    <t xml:space="preserve">€/Audio-h</t>
  </si>
  <si>
    <t xml:space="preserve">Übersetzung/Modernisierung je Normseite</t>
  </si>
  <si>
    <t xml:space="preserve">€/NS</t>
  </si>
  <si>
    <t xml:space="preserve">Pilot (Text EN+DE, Audio DE, Wortzeiten, Hörspiel-Kapitel)</t>
  </si>
  <si>
    <t xml:space="preserve">€/Pilot</t>
  </si>
  <si>
    <t xml:space="preserve">TÆLLA APP (B2C)</t>
  </si>
  <si>
    <t xml:space="preserve">Launch (Monat)</t>
  </si>
  <si>
    <t xml:space="preserve">Monat</t>
  </si>
  <si>
    <t xml:space="preserve">Annahme – CK entscheidet</t>
  </si>
  <si>
    <t xml:space="preserve">MAU bei Launch</t>
  </si>
  <si>
    <t xml:space="preserve">Nutzer</t>
  </si>
  <si>
    <t xml:space="preserve">Annahme</t>
  </si>
  <si>
    <t xml:space="preserve">MAU-Wachstum je Monat</t>
  </si>
  <si>
    <t xml:space="preserve">Marktpotenzial MAU (S-Kurve: Wachstum flacht zum Potenzial hin ab)</t>
  </si>
  <si>
    <t xml:space="preserve">Anker: 4,2 Mio. digitale Hörbuch-Nutzer·innen DE 2025 inkl. Abo (Börsenverein, Buchmarkt kompakt 2025/26) → ca. 1 / 5 / 12 %; BookBeat knapp 1,2 Mio. Zahlende in 8 Märkten (PM 02/2026)</t>
  </si>
  <si>
    <t xml:space="preserve">Neu zahlend je Monat (Anteil MAU)</t>
  </si>
  <si>
    <t xml:space="preserve">Churn je Monat (Zahlende)</t>
  </si>
  <si>
    <t xml:space="preserve">Anteil Vollzugang unter Zahlenden</t>
  </si>
  <si>
    <t xml:space="preserve">Anteil Monatszahler (Rest Jahr)</t>
  </si>
  <si>
    <t xml:space="preserve">Anteil Zahlung über App-Store (Rest Stripe/taella.io)</t>
  </si>
  <si>
    <t xml:space="preserve">Annahme – Weg offen (PROJEKTSTAND 12.10.)</t>
  </si>
  <si>
    <t xml:space="preserve">Patenschaften je Monat (ab Launch)</t>
  </si>
  <si>
    <t xml:space="preserve">Stück</t>
  </si>
  <si>
    <t xml:space="preserve">Anteil Patenschaft Hörspiel</t>
  </si>
  <si>
    <t xml:space="preserve">Auftrags-Hörspiele je Monat (ab Launch)</t>
  </si>
  <si>
    <t xml:space="preserve">Katalog-Neuwerke je Monat (Basis EN+DE)</t>
  </si>
  <si>
    <t xml:space="preserve">Werke</t>
  </si>
  <si>
    <t xml:space="preserve">Annahme; 237 Werke offen (PROJEKTSTAND 11.10.)</t>
  </si>
  <si>
    <t xml:space="preserve">Probezeitraum Vollzugang (Verzögerung Conversion)</t>
  </si>
  <si>
    <t xml:space="preserve">Monate</t>
  </si>
  <si>
    <t xml:space="preserve">Wettbewerb: Audible 30 Tage gratis (monsterdealz.de), BookBeat-Aktion 90 Tage (mydealz.de 06/2026)</t>
  </si>
  <si>
    <t xml:space="preserve">Start Fremdwerbung für Gratis-Nutzer (Monat)</t>
  </si>
  <si>
    <t xml:space="preserve">BOARD.md Juni: zuerst nur Eigenwerbung, Fremdwerbung erst mit Reichweite</t>
  </si>
  <si>
    <t xml:space="preserve">Werbeerlös je Gratis-MAU und Monat (netto)</t>
  </si>
  <si>
    <t xml:space="preserve">€</t>
  </si>
  <si>
    <t xml:space="preserve">Spotify Q4 2025: 518 Mio. € / 476 Mio. werbefinanzierte MAU ≈ 0,36 €/Monat (digitalmusicnews.com); Zielgruppe gehobene Bildung/Einkommen (CK 25.10.) – Premium-Werbepartner, dezent in Übergängen</t>
  </si>
  <si>
    <t xml:space="preserve">Aktion Büchereiausweis: Start (Monat)</t>
  </si>
  <si>
    <t xml:space="preserve">CK 25.10.: Foto Büchereiausweis hochladen → Vollzugang PD-Katalog; Foto wird nicht gespeichert</t>
  </si>
  <si>
    <t xml:space="preserve">Aktion: zusätzliche Nutzer (einmalige Kohorte)</t>
  </si>
  <si>
    <t xml:space="preserve">Annahme – nicht belegt; Kohorte wächst nicht mit der Wachstumsrate</t>
  </si>
  <si>
    <t xml:space="preserve">Aktion: Dauer Vollzugang PD</t>
  </si>
  <si>
    <t xml:space="preserve">Vorschlag CFO; Verlagstitel nur im Abo oder per Kauf (CK)</t>
  </si>
  <si>
    <t xml:space="preserve">Aktion: Conversion zum Abo nach Ablauf</t>
  </si>
  <si>
    <t xml:space="preserve">Annahme – nicht belegt</t>
  </si>
  <si>
    <t xml:space="preserve">Aktion: Anteil, der danach als Gratis-Leser·in bleibt</t>
  </si>
  <si>
    <t xml:space="preserve">Preis Hörbuch-Zugang Monat (brutto)</t>
  </si>
  <si>
    <t xml:space="preserve">PROJEKTSTAND 12.10. Preisstruktur</t>
  </si>
  <si>
    <t xml:space="preserve">Preis Hörbuch-Zugang Jahr (brutto)</t>
  </si>
  <si>
    <t xml:space="preserve">PROJEKTSTAND 12.10.</t>
  </si>
  <si>
    <t xml:space="preserve">Preis Vollzugang Monat (brutto)</t>
  </si>
  <si>
    <t xml:space="preserve">Preis Vollzugang Jahr (brutto)</t>
  </si>
  <si>
    <t xml:space="preserve">Patenschaft Hörbuch (brutto, ohne Auto-Verlängerung)</t>
  </si>
  <si>
    <t xml:space="preserve">Patenschaft Hörspiel (brutto)</t>
  </si>
  <si>
    <t xml:space="preserve">Auftrags-Hörspiel (brutto)</t>
  </si>
  <si>
    <t xml:space="preserve">Vorschlag CFO – Preis offen (CK)</t>
  </si>
  <si>
    <t xml:space="preserve">App-Store-Provision (Small Business)</t>
  </si>
  <si>
    <t xml:space="preserve">Apple Small Business Program 15 % (developer.apple.com); Google Abos 15 %</t>
  </si>
  <si>
    <t xml:space="preserve">Stripe EWR-Karten Prozent</t>
  </si>
  <si>
    <t xml:space="preserve">stripe.com/de/pricing: 1,5 % + 0,25 €</t>
  </si>
  <si>
    <t xml:space="preserve">Stripe fix je Zahlung</t>
  </si>
  <si>
    <t xml:space="preserve">stripe.com/de/pricing</t>
  </si>
  <si>
    <t xml:space="preserve">Hosting/CDN variabel je MAU</t>
  </si>
  <si>
    <t xml:space="preserve">€/MAU/Monat</t>
  </si>
  <si>
    <t xml:space="preserve">→ Ø Erlös je Hörbuch-Zahler/Monat (brutto)</t>
  </si>
  <si>
    <t xml:space="preserve">→ Ø Erlös je Vollzugang-Zahler/Monat (brutto)</t>
  </si>
  <si>
    <t xml:space="preserve">READ LAYER VERLAGSDIENSTLEISTUNGEN (B2B, Preise netto)</t>
  </si>
  <si>
    <t xml:space="preserve">Erster Auftrag (Monat)</t>
  </si>
  <si>
    <t xml:space="preserve">Annahme; Leipzig 18.–21.03.2027 = Monat 3</t>
  </si>
  <si>
    <t xml:space="preserve">Pilot-Aufträge je Monat</t>
  </si>
  <si>
    <t xml:space="preserve">Anteil Barter (Pilot gegen TÆLLA-Präsenz)</t>
  </si>
  <si>
    <t xml:space="preserve">AP_cockpit_v2</t>
  </si>
  <si>
    <t xml:space="preserve">Folgeauftrag je Pilot</t>
  </si>
  <si>
    <t xml:space="preserve">Verzug Pilot → Folgeauftrag</t>
  </si>
  <si>
    <t xml:space="preserve">Anrechnung innerhalb 3 Monaten (AP_cockpit_v2)</t>
  </si>
  <si>
    <t xml:space="preserve">Titel je Folgeauftrag (BFSG-EPUB + MO)</t>
  </si>
  <si>
    <t xml:space="preserve">Titel</t>
  </si>
  <si>
    <t xml:space="preserve">BFSG-EPUB Direktaufträge je Monat</t>
  </si>
  <si>
    <t xml:space="preserve">Anteil mit Media Overlays (Basis-Vertonung)</t>
  </si>
  <si>
    <t xml:space="preserve">Alignment Verlagsaudio je Monat</t>
  </si>
  <si>
    <t xml:space="preserve">Anteil Alignment mit Schnitt-Aufschlag</t>
  </si>
  <si>
    <t xml:space="preserve">Vertonung Premium je Monat</t>
  </si>
  <si>
    <t xml:space="preserve">Audio-h</t>
  </si>
  <si>
    <t xml:space="preserve">Übersetzung je Monat</t>
  </si>
  <si>
    <t xml:space="preserve">Normseiten</t>
  </si>
  <si>
    <t xml:space="preserve">Modernisierung je Monat</t>
  </si>
  <si>
    <t xml:space="preserve">Zusatzformate Kundenpaket je Monat (A-003)</t>
  </si>
  <si>
    <t xml:space="preserve">Formate</t>
  </si>
  <si>
    <t xml:space="preserve">Preis Pilot</t>
  </si>
  <si>
    <t xml:space="preserve">AP_cockpit_v2 (anrechenbar)</t>
  </si>
  <si>
    <t xml:space="preserve">Preis BFSG-EPUB 3 je Titel (ohne Audio)</t>
  </si>
  <si>
    <t xml:space="preserve">Markt: EPUB-Konvertierung 119–350 €/Titel, Bsp. 200 € (ki-syndikat.de/usecases/verlag/23-buchproduktion-epub-generierung); barrierefrei nicht veröffentlicht</t>
  </si>
  <si>
    <t xml:space="preserve">Aufpreis Media Overlays mit Basis-Vertonung je Titel</t>
  </si>
  <si>
    <t xml:space="preserve">Markt: KI-Vertonung Bookwire ca. 500–1.200 €/Titel (ki-syndikat.de/tools/bookwire, Redaktionsschätzung)</t>
  </si>
  <si>
    <t xml:space="preserve">Alignment Verlagsaudio je Titel (Audio kapitelweise)</t>
  </si>
  <si>
    <t xml:space="preserve">Markt: kein Dienstleisterpreis gefunden – Vorschlag CFO</t>
  </si>
  <si>
    <t xml:space="preserve">Schnitt: manuelle Prüfzeit je Audio-h</t>
  </si>
  <si>
    <t xml:space="preserve">Vorschlag CFO: Stichprobe + Korrektur Abweichungen Text–Audio</t>
  </si>
  <si>
    <t xml:space="preserve">Schnitt: Mindestaufschlag je Titel</t>
  </si>
  <si>
    <t xml:space="preserve">Vorschlag CFO</t>
  </si>
  <si>
    <t xml:space="preserve">→ Schnitt-Aufschlag je Titel (Ø Verlagstitel)</t>
  </si>
  <si>
    <t xml:space="preserve">Formel: Audio-h × Prüfzeit × Stundensatz</t>
  </si>
  <si>
    <t xml:space="preserve">Vertonung Premium je fertiger Audio-h</t>
  </si>
  <si>
    <t xml:space="preserve">Markt: Sprecher·in ca. 200–500 €/PFH (bookfoundry.ai Leitfaden 2026); ACX 300–400 $/PFH (acx.com)</t>
  </si>
  <si>
    <t xml:space="preserve">Übersetzung je Normseite (KI + Prüfung)</t>
  </si>
  <si>
    <t xml:space="preserve">Markt: Literaturübersetzung Ø 18,72 €/NS 2018 (VdÜ, literaturuebersetzer.de)</t>
  </si>
  <si>
    <t xml:space="preserve">Modernisierung je Normseite</t>
  </si>
  <si>
    <t xml:space="preserve">Vorschlag CFO (unter Übersetzung)</t>
  </si>
  <si>
    <t xml:space="preserve">Zusatzformat je Titel (DAISY, VTT, SRT, …)</t>
  </si>
  <si>
    <t xml:space="preserve">Vorschlag CFO; EPUB 3 MO im Titelpreis enthalten</t>
  </si>
  <si>
    <t xml:space="preserve">SOMNIO PUBLISHING</t>
  </si>
  <si>
    <t xml:space="preserve">Verkaufsstart (Monat)</t>
  </si>
  <si>
    <t xml:space="preserve">Annahme; setzt UG + Shop-Konten voraus</t>
  </si>
  <si>
    <t xml:space="preserve">Neue E-Book-Titel je Monat</t>
  </si>
  <si>
    <t xml:space="preserve">Neue Hörbuch-Ausgaben je Monat</t>
  </si>
  <si>
    <t xml:space="preserve">Ausgaben</t>
  </si>
  <si>
    <t xml:space="preserve">Neue zweisprachige Ausgaben je Monat</t>
  </si>
  <si>
    <t xml:space="preserve">Verkäufe je E-Book-Titel/Monat</t>
  </si>
  <si>
    <t xml:space="preserve">Annahme (Juli-Modell 0,4)</t>
  </si>
  <si>
    <t xml:space="preserve">Verkäufe je Hörbuch/Monat</t>
  </si>
  <si>
    <t xml:space="preserve">Verkäufe je zweisprachige Ausgabe/Monat</t>
  </si>
  <si>
    <t xml:space="preserve">Preis E-Book (brutto)</t>
  </si>
  <si>
    <t xml:space="preserve">Preis Hörbuch (brutto)</t>
  </si>
  <si>
    <t xml:space="preserve">Preis zweisprachige Ausgabe (brutto)</t>
  </si>
  <si>
    <t xml:space="preserve">Anteil Verkäufe über KDP</t>
  </si>
  <si>
    <t xml:space="preserve">Tantieme KDP für PD-Inhalte</t>
  </si>
  <si>
    <t xml:space="preserve">KDP: überwiegend gemeinfreie Inhalte nur 35 % (kdp.amazon.com/help/topic/G200634500)</t>
  </si>
  <si>
    <t xml:space="preserve">Tantieme übrige E-Book-Shops</t>
  </si>
  <si>
    <t xml:space="preserve">Apple/Google/Kobo je 70 % (scribecount.com/tools/platform-comparison, Sekundärquelle)</t>
  </si>
  <si>
    <t xml:space="preserve">Anteil Hörbuch über tolino media</t>
  </si>
  <si>
    <t xml:space="preserve">Annahme; Audible/ACX lässt KI-Stimmen nur über Virtual Voice zu</t>
  </si>
  <si>
    <t xml:space="preserve">Tantieme tolino media Hörbuch</t>
  </si>
  <si>
    <t xml:space="preserve">tolino media PM 03/2026: 70 % Netto-Erlös, keine Vertriebsgebühr</t>
  </si>
  <si>
    <t xml:space="preserve">Effektive Tantieme Findaway/Spotify (80 % des Partner-Netto)</t>
  </si>
  <si>
    <t xml:space="preserve">80 % (scribecount.com Findaway-Guide); Partner-Netto 50 % = Annahme</t>
  </si>
  <si>
    <t xml:space="preserve">Self-Publishing-Plattform Start (Monat)</t>
  </si>
  <si>
    <t xml:space="preserve">Annahme – Option, CK entscheidet</t>
  </si>
  <si>
    <t xml:space="preserve">Autor·innen-Aufträge je Monat</t>
  </si>
  <si>
    <t xml:space="preserve">Produktionsgebühr je Autor·innen-Titel</t>
  </si>
  <si>
    <t xml:space="preserve">Vorschlag CFO (Text + Hörbuch 1 Sprache + EPUB 3 MO)</t>
  </si>
  <si>
    <t xml:space="preserve">Zusatzkosten je SOMNIO-Ausgabe (ISBN, Metadaten)</t>
  </si>
  <si>
    <t xml:space="preserve">offen – Katalogproduktion trägt TÆLLA</t>
  </si>
  <si>
    <t xml:space="preserve">→ effektive Tantieme E-Book</t>
  </si>
  <si>
    <t xml:space="preserve">→ effektive Tantieme Hörbuch</t>
  </si>
  <si>
    <t xml:space="preserve">MARKETING &amp; PERSONAL (Annahmen CFO – CK entscheidet)</t>
  </si>
  <si>
    <t xml:space="preserve">Szenario-Label</t>
  </si>
  <si>
    <t xml:space="preserve">teures Hobby</t>
  </si>
  <si>
    <t xml:space="preserve">profitabler Nebenerwerb</t>
  </si>
  <si>
    <t xml:space="preserve">skalierbares Business</t>
  </si>
  <si>
    <t xml:space="preserve">CK 24.10.2026</t>
  </si>
  <si>
    <t xml:space="preserve">Marketing TÆLLA je Monat (ab Launch)</t>
  </si>
  <si>
    <t xml:space="preserve">Annahme: Social Ads, Influencer, Aktionen</t>
  </si>
  <si>
    <t xml:space="preserve">Marketing Read Layer je Monat (ab Monat 1)</t>
  </si>
  <si>
    <t xml:space="preserve">Annahme: LinkedIn, Demo-Material, Mailings</t>
  </si>
  <si>
    <t xml:space="preserve">Marketing SOMNIO je Monat (ab Verkaufsstart)</t>
  </si>
  <si>
    <t xml:space="preserve">Annahme: Shop-Werbung (z. B. Amazon Ads)</t>
  </si>
  <si>
    <t xml:space="preserve">Vollkosten je Personalstelle (FTE) je Monat</t>
  </si>
  <si>
    <t xml:space="preserve">Annahme: ca. 3.700 € brutto + AG-Anteil; Freelancer anteilig möglich</t>
  </si>
  <si>
    <t xml:space="preserve">TÆLLA: Zahlende, die CK selbst betreut</t>
  </si>
  <si>
    <t xml:space="preserve">Zahlende</t>
  </si>
  <si>
    <t xml:space="preserve">TÆLLA: Zahlende je FTE (Support, Community, Katalog)</t>
  </si>
  <si>
    <t xml:space="preserve">Zahlende/FTE</t>
  </si>
  <si>
    <t xml:space="preserve">Read Layer: Titel-Äquivalente je Monat, die CK selbst betreut</t>
  </si>
  <si>
    <t xml:space="preserve">Titel/Monat</t>
  </si>
  <si>
    <t xml:space="preserve">Read Layer: Titel-Äquivalente je FTE und Monat</t>
  </si>
  <si>
    <t xml:space="preserve">Titel/FTE</t>
  </si>
  <si>
    <t xml:space="preserve">Annahme; 1 Titel-Äquiv. = 1 Titel bzw. 8,6 Audio-h bzw. 320 Normseiten</t>
  </si>
  <si>
    <t xml:space="preserve">PD-Katalog: Freigaben je Werk (Übersetzung, Hörprobe, Export)</t>
  </si>
  <si>
    <t xml:space="preserve">Freigaben</t>
  </si>
  <si>
    <t xml:space="preserve">Annahme CFO; Stimmen-Freigabe bleibt bei CK</t>
  </si>
  <si>
    <t xml:space="preserve">Vergütung Studierende: Grundbetrag je Freigabe</t>
  </si>
  <si>
    <t xml:space="preserve">Annahme; Mindestlohn 2027 14,60 €/h muss je Stunde erreicht werden (minijob-zentrale.de)</t>
  </si>
  <si>
    <t xml:space="preserve">Vergütung Studierende: Bonus je Freigabe nach Endabnahme</t>
  </si>
  <si>
    <t xml:space="preserve">CK 24.10.: an Kundenfreigabe gekoppelt – arbeitsrechtlich prüfen</t>
  </si>
  <si>
    <t xml:space="preserve">→ Freigabekosten je Werk</t>
  </si>
  <si>
    <t xml:space="preserve">Formel; trägt TÆLLA beim PD-Katalog</t>
  </si>
  <si>
    <t xml:space="preserve">Verlagstitel: Anteil mit gebuchter Kuratierung</t>
  </si>
  <si>
    <t xml:space="preserve">CK 25.10.: Verlag kuratiert selbst oder bezahlt dafür</t>
  </si>
  <si>
    <t xml:space="preserve">Verlagstitel: Aufschlag auf Studierenden-Kosten</t>
  </si>
  <si>
    <t xml:space="preserve">→ Preis Kuratierung je Verlagstitel</t>
  </si>
  <si>
    <t xml:space="preserve">FIXKOSTEN-PLAN (für alle Szenarien gleich; Anteile je Bereich)</t>
  </si>
  <si>
    <t xml:space="preserve">Posten</t>
  </si>
  <si>
    <t xml:space="preserve">Betrag €</t>
  </si>
  <si>
    <t xml:space="preserve">Art</t>
  </si>
  <si>
    <t xml:space="preserve">Monat (ab/im)</t>
  </si>
  <si>
    <t xml:space="preserve">Anteil TÆLLA</t>
  </si>
  <si>
    <t xml:space="preserve">Anteil Read Layer</t>
  </si>
  <si>
    <t xml:space="preserve">Anteil SOMNIO</t>
  </si>
  <si>
    <t xml:space="preserve">Kennzeichnung</t>
  </si>
  <si>
    <t xml:space="preserve">Prüfung</t>
  </si>
  <si>
    <t xml:space="preserve">Modal Grundlast (Smoke-Tests, Experimente)</t>
  </si>
  <si>
    <t xml:space="preserve">monatlich</t>
  </si>
  <si>
    <t xml:space="preserve">Annahme: 20 $/Monat; Smoke ~0,23 $/Lauf (PIPELINE.md)</t>
  </si>
  <si>
    <t xml:space="preserve">APIs Grundlast (Gemini Cover/Teaser, DeepSeek Tests)</t>
  </si>
  <si>
    <t xml:space="preserve">Annahme: 10 $/Monat</t>
  </si>
  <si>
    <t xml:space="preserve">Hosting GCS-Bucket, Domain, Website taella.io</t>
  </si>
  <si>
    <t xml:space="preserve">Apple Developer Program (99 $/Jahr)</t>
  </si>
  <si>
    <t xml:space="preserve">developer.apple.com: 99 $/Jahr</t>
  </si>
  <si>
    <t xml:space="preserve">Steuerberatung/Buchhaltung UG</t>
  </si>
  <si>
    <t xml:space="preserve">Geschäftskonto</t>
  </si>
  <si>
    <t xml:space="preserve">Gründung UG (Notar, Register, Gewerbe)</t>
  </si>
  <si>
    <t xml:space="preserve">einmalig</t>
  </si>
  <si>
    <t xml:space="preserve">firma.de: 495,89 € (Musterprotokoll, 1 Gesellschafter); Monat offen (K4)</t>
  </si>
  <si>
    <t xml:space="preserve">Google Play Entwicklerkonto (25 $)</t>
  </si>
  <si>
    <t xml:space="preserve">einmalig 25 $</t>
  </si>
  <si>
    <t xml:space="preserve">Marke TAELLA: deutsche Wortmarke (Basismarke, 3 Klassen 9/41/42)</t>
  </si>
  <si>
    <t xml:space="preserve">DPMA: 290 € online bis 3 Klassen, je weitere Klasse 100 € (dpma.de/service/gebuehren/marken)</t>
  </si>
  <si>
    <t xml:space="preserve">Marke TAELLA: IR-Marke WIPO (Madrid) mit Benennung EU</t>
  </si>
  <si>
    <t xml:space="preserve">DPMA-Weiterleitung 180 € (dpma.de); WIPO-Grundgebühr 653 CHF (wipo.int Gebührentabelle); EU-Gebühr 789 + 48 + 144 CHF für 3 Klassen (WIPO Madrid 2023/25); weitere Länder je eigene Gebühr – offen</t>
  </si>
  <si>
    <t xml:space="preserve">Marke TAELLA: IR-Benennungen US, GB, NO, AU, NZ (3 Klassen)</t>
  </si>
  <si>
    <t xml:space="preserve">WIPO Individual Fees (wipo.int/madrid/en/fees/ind_taxes.html, Stand 17.10.2026): US 460 CHF/Klasse, GB 240+2×64, NO 309+2×81, AU 217/Klasse, NZ 46/Klasse; IE, SE, DK, FI über EU; ohne Anwaltskosten bei Beanstandungen</t>
  </si>
  <si>
    <t xml:space="preserve">Leipziger Buchmesse 18.–21.03.2027 (Ticket, Reise, 2 Nächte)</t>
  </si>
  <si>
    <t xml:space="preserve">Annahme; Ticketpreis nicht veröffentlicht (Vorverkauf ab 12/2026, leipziger-buchmesse.de)</t>
  </si>
  <si>
    <t xml:space="preserve">Rechtsprüfung IT-Recht Stimmen (N-9)</t>
  </si>
  <si>
    <t xml:space="preserve">Annahme; Angebote offen; bei erster Verlagsanfrage</t>
  </si>
  <si>
    <t xml:space="preserve">Eigene GPU 24 GB (nur bei Katalog-Serienlauf)</t>
  </si>
  <si>
    <t xml:space="preserve">nicht geplant</t>
  </si>
  <si>
    <t xml:space="preserve">TECHNIK.md Abschn. 3 – CFO prüfen</t>
  </si>
  <si>
    <t xml:space="preserve">Art: monatlich (ab Monat) · einmalig (im Monat) · nicht geplant (fließt nicht ein). Fixkosten ohne Unternehmerlohn; Betreuungszeit CK nicht bewertet.</t>
  </si>
  <si>
    <t xml:space="preserve">VARIANTE VERLAGSTITEL IN TÆLLA (Barter-Katalog, Wirkung auf MAU und Conversion)</t>
  </si>
  <si>
    <t xml:space="preserve">Erster Verlagstitel (Monat)</t>
  </si>
  <si>
    <t xml:space="preserve">Neue Verlagstitel je Monat</t>
  </si>
  <si>
    <t xml:space="preserve">Annahme; Onboarding über Verlags-Cockpit, Kuratierung beim Verlag</t>
  </si>
  <si>
    <t xml:space="preserve">Betreuungsstunden je Verlagstitel (uns)</t>
  </si>
  <si>
    <t xml:space="preserve">CK 24.10.: Onboarding beim Verlag (Selbstbedienung)</t>
  </si>
  <si>
    <t xml:space="preserve">PD-Werke im Katalog bei Start</t>
  </si>
  <si>
    <t xml:space="preserve">Mock-up-Katalog 15 Werke (PROJEKTSTAND 16.10.)</t>
  </si>
  <si>
    <t xml:space="preserve">Zuschlag MAU-Wachstum je 10 Verlagstitel</t>
  </si>
  <si>
    <t xml:space="preserve">Prozentpunkte</t>
  </si>
  <si>
    <t xml:space="preserve">Annahme – nicht belegt; messen nach ersten Verlagstiteln</t>
  </si>
  <si>
    <t xml:space="preserve">Obergrenze Zuschlag MAU-Wachstum</t>
  </si>
  <si>
    <t xml:space="preserve">Zuschlag Conversion je 10 Verlagstitel</t>
  </si>
  <si>
    <t xml:space="preserve">Obergrenze Zuschlag Conversion</t>
  </si>
  <si>
    <t xml:space="preserve">Nutzung je Verlagstitel relativ zu PD-Titel</t>
  </si>
  <si>
    <t xml:space="preserve">Faktor</t>
  </si>
  <si>
    <t xml:space="preserve">Annahme: aktuelle Titel werden häufiger gehört</t>
  </si>
  <si>
    <t xml:space="preserve">Obergrenze Nutzungsanteil Verlagstitel</t>
  </si>
  <si>
    <t xml:space="preserve">Verlagsanteil Longtail</t>
  </si>
  <si>
    <t xml:space="preserve">CK 24.10.: Staffel 35–75 %</t>
  </si>
  <si>
    <t xml:space="preserve">Verlagsanteil Mitte</t>
  </si>
  <si>
    <t xml:space="preserve">CK 24.10.</t>
  </si>
  <si>
    <t xml:space="preserve">Verlagsanteil Top-Titel</t>
  </si>
  <si>
    <t xml:space="preserve">Nutzungsgewicht Longtail</t>
  </si>
  <si>
    <t xml:space="preserve">Annahme; Summe der drei Gewichte = 100 %</t>
  </si>
  <si>
    <t xml:space="preserve">Nutzungsgewicht Mitte</t>
  </si>
  <si>
    <t xml:space="preserve">Nutzungsgewicht Top-Titel</t>
  </si>
  <si>
    <t xml:space="preserve">Annahme: Nutzung konzentriert sich auf wenige Titel</t>
  </si>
  <si>
    <t xml:space="preserve">→ effektiver Verlagsanteil (gewichtet)</t>
  </si>
  <si>
    <t xml:space="preserve">Vergleich: Storytel ca. 51–63 % an Rechteinhaber (Bruttomarge 37–49 %, Geschäftsbericht 2025); Spotify ca. 2/3</t>
  </si>
  <si>
    <t xml:space="preserve">TÆLLA-Preis BFSG-EPUB 3 je Titel (≤ 50 % Wettbewerb)</t>
  </si>
  <si>
    <t xml:space="preserve">CK 24.10.: max. 50 % des Wettbewerbs; Markt Bsp. 200 €/Titel (ki-syndikat.de)</t>
  </si>
  <si>
    <t xml:space="preserve">TÆLLA-Preis Media Overlays mit Basis-Vertonung je Titel</t>
  </si>
  <si>
    <t xml:space="preserve">50 % von 500 € (Untergrenze KI-Vertonung Bookwire, ki-syndikat.de)</t>
  </si>
  <si>
    <t xml:space="preserve">Anteil Verlagstitel gratis (Barter-Pilot)</t>
  </si>
  <si>
    <t xml:space="preserve">CK 25.10.: z. B. 20 %</t>
  </si>
  <si>
    <t xml:space="preserve">→ Prüfung Nutzungsgewichte</t>
  </si>
  <si>
    <t xml:space="preserve">TÆLLA App (B2C) — 24 Monate ab 01/2027</t>
  </si>
  <si>
    <t xml:space="preserve">Kennzahl</t>
  </si>
  <si>
    <t xml:space="preserve">Break-even monatlich (erster Monat Ergebnis &gt; 0)</t>
  </si>
  <si>
    <t xml:space="preserve">Break-even kumuliert (erster Monat kum. ≥ 0)</t>
  </si>
  <si>
    <t xml:space="preserve">Deckungsbeitrag (netto, nach Gebühren)</t>
  </si>
  <si>
    <t xml:space="preserve">DB je Hörbuch-Zahler/Monat – Stripe</t>
  </si>
  <si>
    <t xml:space="preserve">DB je Hörbuch-Zahler/Monat – App-Store</t>
  </si>
  <si>
    <t xml:space="preserve">DB je Vollzugang-Zahler/Monat – Stripe</t>
  </si>
  <si>
    <t xml:space="preserve">DB je Vollzugang-Zahler/Monat – App-Store</t>
  </si>
  <si>
    <t xml:space="preserve">DB je Patenschaft Hörbuch (Stripe)</t>
  </si>
  <si>
    <t xml:space="preserve">DB je Patenschaft Hörspiel (Stripe)</t>
  </si>
  <si>
    <t xml:space="preserve">Katalogkosten je Werk (Basis EN+DE + Freigaben)</t>
  </si>
  <si>
    <t xml:space="preserve">Datum</t>
  </si>
  <si>
    <t xml:space="preserve">MAU</t>
  </si>
  <si>
    <t xml:space="preserve">Neu zahlend</t>
  </si>
  <si>
    <t xml:space="preserve">Zahlende gesamt</t>
  </si>
  <si>
    <t xml:space="preserve">davon Hörbuch</t>
  </si>
  <si>
    <t xml:space="preserve">davon Voll</t>
  </si>
  <si>
    <t xml:space="preserve">Abo-Umsatz brutto</t>
  </si>
  <si>
    <t xml:space="preserve">Paten Hörbuch</t>
  </si>
  <si>
    <t xml:space="preserve">Paten Hörspiel</t>
  </si>
  <si>
    <t xml:space="preserve">Paten-Umsatz brutto</t>
  </si>
  <si>
    <t xml:space="preserve">Auftrags-Hörspiele</t>
  </si>
  <si>
    <t xml:space="preserve">Auftrag brutto</t>
  </si>
  <si>
    <t xml:space="preserve">Umsatz brutto</t>
  </si>
  <si>
    <t xml:space="preserve">Umsatz netto</t>
  </si>
  <si>
    <t xml:space="preserve">Zahlungs-gebühren</t>
  </si>
  <si>
    <t xml:space="preserve">Katalog-Neuwerke</t>
  </si>
  <si>
    <t xml:space="preserve">Katalog-kosten inkl. Freigaben</t>
  </si>
  <si>
    <t xml:space="preserve">Produktion Paten/Auftrag</t>
  </si>
  <si>
    <t xml:space="preserve">Hosting variabel</t>
  </si>
  <si>
    <t xml:space="preserve">Fixkosten anteilig</t>
  </si>
  <si>
    <t xml:space="preserve">Marketing</t>
  </si>
  <si>
    <t xml:space="preserve">Personal-bedarf FTE</t>
  </si>
  <si>
    <t xml:space="preserve">Personal-kosten</t>
  </si>
  <si>
    <t xml:space="preserve">Ergebnis</t>
  </si>
  <si>
    <t xml:space="preserve">Ergebnis kumuliert</t>
  </si>
  <si>
    <t xml:space="preserve">Gratis-MAU</t>
  </si>
  <si>
    <t xml:space="preserve">Werbeerlös netto</t>
  </si>
  <si>
    <t xml:space="preserve">MAU organisch</t>
  </si>
  <si>
    <t xml:space="preserve">MAU Aktion</t>
  </si>
  <si>
    <t xml:space="preserve">BE monatl.</t>
  </si>
  <si>
    <t xml:space="preserve">BE kum.</t>
  </si>
  <si>
    <t xml:space="preserve">01/2027</t>
  </si>
  <si>
    <t xml:space="preserve">02/2027</t>
  </si>
  <si>
    <t xml:space="preserve">03/2027</t>
  </si>
  <si>
    <t xml:space="preserve">04/2027</t>
  </si>
  <si>
    <t xml:space="preserve">05/2027</t>
  </si>
  <si>
    <t xml:space="preserve">06/2027</t>
  </si>
  <si>
    <t xml:space="preserve">07/2027</t>
  </si>
  <si>
    <t xml:space="preserve">08/2027</t>
  </si>
  <si>
    <t xml:space="preserve">09/2027</t>
  </si>
  <si>
    <t xml:space="preserve">10/2027</t>
  </si>
  <si>
    <t xml:space="preserve">11/2027</t>
  </si>
  <si>
    <t xml:space="preserve">12/2027</t>
  </si>
  <si>
    <t xml:space="preserve">01/2028</t>
  </si>
  <si>
    <t xml:space="preserve">02/2028</t>
  </si>
  <si>
    <t xml:space="preserve">03/2028</t>
  </si>
  <si>
    <t xml:space="preserve">04/2028</t>
  </si>
  <si>
    <t xml:space="preserve">05/2028</t>
  </si>
  <si>
    <t xml:space="preserve">06/2028</t>
  </si>
  <si>
    <t xml:space="preserve">07/2028</t>
  </si>
  <si>
    <t xml:space="preserve">08/2028</t>
  </si>
  <si>
    <t xml:space="preserve">09/2028</t>
  </si>
  <si>
    <t xml:space="preserve">10/2028</t>
  </si>
  <si>
    <t xml:space="preserve">11/2028</t>
  </si>
  <si>
    <t xml:space="preserve">12/2028</t>
  </si>
  <si>
    <t xml:space="preserve">Read Layer Verlagsdienstleistungen (B2B) — 24 Monate ab 01/2027</t>
  </si>
  <si>
    <t xml:space="preserve">Deckungsbeitrag je Auftrag (Preis – Rechenkosten)</t>
  </si>
  <si>
    <t xml:space="preserve">Pilot (bezahlt)</t>
  </si>
  <si>
    <t xml:space="preserve">BFSG-EPUB ohne Audio</t>
  </si>
  <si>
    <t xml:space="preserve">BFSG-EPUB + Media Overlays</t>
  </si>
  <si>
    <t xml:space="preserve">Alignment Verlagsaudio (ohne / mit Schnitt)</t>
  </si>
  <si>
    <t xml:space="preserve">Schnitt-Aufschlag je Titel (Vorschlag)</t>
  </si>
  <si>
    <t xml:space="preserve">Vertonung je Audio-h</t>
  </si>
  <si>
    <t xml:space="preserve">Übersetzung je Normseite</t>
  </si>
  <si>
    <t xml:space="preserve">Barter-Piloten erzeugen Kosten ohne Umsatz. B2B-Zahlung per Rechnung/SEPA – keine Zahlungsgebühren angesetzt. Preise netto zzgl. MwSt.</t>
  </si>
  <si>
    <t xml:space="preserve">Piloten</t>
  </si>
  <si>
    <t xml:space="preserve">davon Barter</t>
  </si>
  <si>
    <t xml:space="preserve">Pilot-Umsatz</t>
  </si>
  <si>
    <t xml:space="preserve">Folge-aufträge</t>
  </si>
  <si>
    <t xml:space="preserve">Folge-Umsatz (nach Anrechnung)</t>
  </si>
  <si>
    <t xml:space="preserve">BFSG-EPUB Titel</t>
  </si>
  <si>
    <t xml:space="preserve">Umsatz BFSG/MO</t>
  </si>
  <si>
    <t xml:space="preserve">Alignment Titel</t>
  </si>
  <si>
    <t xml:space="preserve">Umsatz Alignment</t>
  </si>
  <si>
    <t xml:space="preserve">Vertonung Audio-h</t>
  </si>
  <si>
    <t xml:space="preserve">Umsatz Vertonung</t>
  </si>
  <si>
    <t xml:space="preserve">Übersetzung NS</t>
  </si>
  <si>
    <t xml:space="preserve">Umsatz Übersetzung</t>
  </si>
  <si>
    <t xml:space="preserve">Modernisierung NS</t>
  </si>
  <si>
    <t xml:space="preserve">Umsatz Moderni-sierung</t>
  </si>
  <si>
    <t xml:space="preserve">Zusatz-formate</t>
  </si>
  <si>
    <t xml:space="preserve">Umsatz Formate</t>
  </si>
  <si>
    <t xml:space="preserve">Umsatz gesamt</t>
  </si>
  <si>
    <t xml:space="preserve">Rechen-kosten</t>
  </si>
  <si>
    <t xml:space="preserve">Titel-Äquiv.</t>
  </si>
  <si>
    <t xml:space="preserve">SOMNIO Publishing — 24 Monate ab 01/2027</t>
  </si>
  <si>
    <t xml:space="preserve">Deckungsbeitrag je Verkauf / Titel</t>
  </si>
  <si>
    <t xml:space="preserve">Ertrag je E-Book-Verkauf</t>
  </si>
  <si>
    <t xml:space="preserve">Ertrag je Hörbuch-Verkauf</t>
  </si>
  <si>
    <t xml:space="preserve">Ertrag je zweisprachigem Verkauf</t>
  </si>
  <si>
    <t xml:space="preserve">DB je Autor·innen-Titel (Self-Publishing)</t>
  </si>
  <si>
    <t xml:space="preserve">Katalogproduktion (Text, Basis-Audio) trägt TÆLLA; SOMNIO verwertet dieselben Werke ohne Zusatzkosten. KI-Stimme kennzeichnen (TECHNIK §9, AI Act Art. 50).</t>
  </si>
  <si>
    <t xml:space="preserve">Neue E-Books</t>
  </si>
  <si>
    <t xml:space="preserve">E-Books kum.</t>
  </si>
  <si>
    <t xml:space="preserve">Verkäufe E-Book</t>
  </si>
  <si>
    <t xml:space="preserve">Ertrag E-Book</t>
  </si>
  <si>
    <t xml:space="preserve">Neue Hörbücher</t>
  </si>
  <si>
    <t xml:space="preserve">Hörbücher kum.</t>
  </si>
  <si>
    <t xml:space="preserve">Verkäufe Hörbuch</t>
  </si>
  <si>
    <t xml:space="preserve">Ertrag Hörbuch</t>
  </si>
  <si>
    <t xml:space="preserve">Neue zweispr.</t>
  </si>
  <si>
    <t xml:space="preserve">Zweispr. kum.</t>
  </si>
  <si>
    <t xml:space="preserve">Verkäufe zweispr.</t>
  </si>
  <si>
    <t xml:space="preserve">Ertrag zweispr.</t>
  </si>
  <si>
    <t xml:space="preserve">Self-Pub Aufträge</t>
  </si>
  <si>
    <t xml:space="preserve">Self-Pub Umsatz</t>
  </si>
  <si>
    <t xml:space="preserve">Variable Kosten</t>
  </si>
  <si>
    <t xml:space="preserve">Gesamt — Summe der drei Bereiche (24 Monate ab 01/2027)</t>
  </si>
  <si>
    <t xml:space="preserve">Summen 24 Monate</t>
  </si>
  <si>
    <t xml:space="preserve">Ergebnis gesamt</t>
  </si>
  <si>
    <t xml:space="preserve">Tiefster kumulierter Stand (Finanzbedarf)</t>
  </si>
  <si>
    <t xml:space="preserve">Ergebnis Monat 24 (Run-Rate)</t>
  </si>
  <si>
    <t xml:space="preserve">Prüfung: Fixkosten verteilt = Fixkosten-Plan</t>
  </si>
  <si>
    <t xml:space="preserve">Fixkosten 24 Monate gesamt</t>
  </si>
  <si>
    <t xml:space="preserve">Umsatz TÆLLA (netto, inkl. Werbung)</t>
  </si>
  <si>
    <t xml:space="preserve">Umsatz Read Layer</t>
  </si>
  <si>
    <t xml:space="preserve">Umsatz SOMNIO</t>
  </si>
  <si>
    <t xml:space="preserve">Ergebnis TÆLLA</t>
  </si>
  <si>
    <t xml:space="preserve">Ergebnis Read Layer</t>
  </si>
  <si>
    <t xml:space="preserve">Ergebnis SOMNIO</t>
  </si>
  <si>
    <t xml:space="preserve">Weitere Erlösfelder, die die Pipeline berührt</t>
  </si>
  <si>
    <t xml:space="preserve">Erlöshöhe = grobe CFO-Schätzung je Jahr (Jahr 2 nach Marktreife), nicht belegt. Aufwand bis Marktreife: S &lt; 1 Monat, M 1–3 Monate, L &gt; 3 Monate (Nebenzeit CK).</t>
  </si>
  <si>
    <t xml:space="preserve">Feld</t>
  </si>
  <si>
    <t xml:space="preserve">Kunde</t>
  </si>
  <si>
    <t xml:space="preserve">Leistung</t>
  </si>
  <si>
    <t xml:space="preserve">Pipeline-Bausteine vorhanden</t>
  </si>
  <si>
    <t xml:space="preserve">Erlös/Jahr von €</t>
  </si>
  <si>
    <t xml:space="preserve">Erlös/Jahr bis €</t>
  </si>
  <si>
    <t xml:space="preserve">Aufwand</t>
  </si>
  <si>
    <t xml:space="preserve">Rechtliche Grenze</t>
  </si>
  <si>
    <t xml:space="preserve">Bezug</t>
  </si>
  <si>
    <t xml:space="preserve">Rang</t>
  </si>
  <si>
    <t xml:space="preserve">Barrierefreiheits-Prüfdienst</t>
  </si>
  <si>
    <t xml:space="preserve">Kleine/mittlere Verlage, Herstellung</t>
  </si>
  <si>
    <t xml:space="preserve">Ace-/epubcheck-Prüfung bestehender E-Books, Prüfbericht, Nachbesserung als Upsell</t>
  </si>
  <si>
    <t xml:space="preserve">ja: epubcheck in Smoke, Ace geplant (N-2), EPUB-Bau 600–630</t>
  </si>
  <si>
    <t xml:space="preserve">S</t>
  </si>
  <si>
    <t xml:space="preserve">Technischer Prüfbericht, keine Rechtsberatung/Konformitätsbescheinigung</t>
  </si>
  <si>
    <t xml:space="preserve">VERTRIEB.md (BFSG = Türöffner)</t>
  </si>
  <si>
    <t xml:space="preserve">Bildungsverlage / Schullektüren</t>
  </si>
  <si>
    <t xml:space="preserve">Klett Sprachen, Hueber, Reclam, Hamburger Lesehefte</t>
  </si>
  <si>
    <t xml:space="preserve">Zweisprachige Lektüren mit Audio, Wort-Mitlesen, Vokabelschicht je Titel</t>
  </si>
  <si>
    <t xml:space="preserve">ja: Übersetzung, 54a-Wortanker, Wortzeiten, EPUB 3 MO; Glossar-Stage nein</t>
  </si>
  <si>
    <t xml:space="preserve">M</t>
  </si>
  <si>
    <t xml:space="preserve">Rechte beim Verlag; keine KI-Bilder für Fremdverlage</t>
  </si>
  <si>
    <t xml:space="preserve">Zielverlagsliste #15–19</t>
  </si>
  <si>
    <t xml:space="preserve">Lizenzierung von Übersetzungen (PD)</t>
  </si>
  <si>
    <t xml:space="preserve">Public Domain Library, Plattformen, Verlage</t>
  </si>
  <si>
    <t xml:space="preserve">Übersetzte PD-Texte als Lizenz (Text) – Audio/Zweisprachigkeit bleibt TÆLLA/SOMNIO</t>
  </si>
  <si>
    <t xml:space="preserve">ja: Textkette 200–420</t>
  </si>
  <si>
    <t xml:space="preserve">Übersetzer-Urheberrecht der Quelle (Tod + 70); Schutz von KI-Übersetzungen fraglich → vertragliche Lizenz</t>
  </si>
  <si>
    <t xml:space="preserve">IDEE_kooperation_publicdomainlibrary</t>
  </si>
  <si>
    <t xml:space="preserve">Hörspiel-Auftragsproduktion B2B</t>
  </si>
  <si>
    <t xml:space="preserve">Hörbuch-Labels, Podcasts, Verlage</t>
  </si>
  <si>
    <t xml:space="preserve">Mehrstimmige Fassung aus vorhandenem Text, Figurenstimmen per VC</t>
  </si>
  <si>
    <t xml:space="preserve">ja: Casting 410, 57b, VC-Overlay 510, Trennungsmessung</t>
  </si>
  <si>
    <t xml:space="preserve">Stimmen-Regel TECHNIK §9; keine realen Personen; KI-Kennzeichnung</t>
  </si>
  <si>
    <t xml:space="preserve">PROZESS_hoerspiel-schicht</t>
  </si>
  <si>
    <t xml:space="preserve">Kundenpaket als API</t>
  </si>
  <si>
    <t xml:space="preserve">Verlage, Hörbuch-Plattformen, Aggregatoren</t>
  </si>
  <si>
    <t xml:space="preserve">Zeitstempel-Formate (EPUB 3 MO, DAISY, VTT, SRT, LRC, JSON) je Aufruf</t>
  </si>
  <si>
    <t xml:space="preserve">teilweise: Spezifikation da, tools/kundenpaket.py neu bauen</t>
  </si>
  <si>
    <t xml:space="preserve">L</t>
  </si>
  <si>
    <t xml:space="preserve">Nur für Inhalte mit Rechten des Kunden</t>
  </si>
  <si>
    <t xml:space="preserve">A-003, SPEZ_zeitstempel_formate</t>
  </si>
  <si>
    <t xml:space="preserve">Lern-/Vokabelschicht</t>
  </si>
  <si>
    <t xml:space="preserve">TÆLLA-Nutzer (Upgrade), Sprachschulen</t>
  </si>
  <si>
    <t xml:space="preserve">Vokabular aus Lernspur, Buchkontext, Trainer mit Satz-Audio</t>
  </si>
  <si>
    <t xml:space="preserve">teilweise: Lernspur + Statistik gebaut; Glossar-Stage, Trainer nein</t>
  </si>
  <si>
    <t xml:space="preserve">Wiktionary CC BY-SA nur mit Namensnennung</t>
  </si>
  <si>
    <t xml:space="preserve">IDEE_lernschicht-vokabular</t>
  </si>
  <si>
    <t xml:space="preserve">Bibliotheken / Onleihe</t>
  </si>
  <si>
    <t xml:space="preserve">divibib/Onleihe, OverDrive, Schulbibliotheken</t>
  </si>
  <si>
    <t xml:space="preserve">Zweisprachiger PD-Katalog (EPUB + Audio) als Bibliothekslizenz</t>
  </si>
  <si>
    <t xml:space="preserve">ja: EPUB, Audio; Aggregator-Anbindung nein</t>
  </si>
  <si>
    <t xml:space="preserve">KI-Kennzeichnung; DRM-Vorgaben der Plattform (LCP)</t>
  </si>
  <si>
    <t xml:space="preserve">TECHNIK.md Abschn. 5 (DRM)</t>
  </si>
  <si>
    <t xml:space="preserve">Weitere Sprachen (FR/ES/IT/NL)</t>
  </si>
  <si>
    <t xml:space="preserve">TÆLLA, SOMNIO, PDL-Sprachseiten</t>
  </si>
  <si>
    <t xml:space="preserve">Katalog in weiteren Sprachpaaren</t>
  </si>
  <si>
    <t xml:space="preserve">ja: Textkette; Chatterbox multilingual; LoRA nur DE</t>
  </si>
  <si>
    <t xml:space="preserve">Übersetzer-Urheberrecht; Geo-Sperren (z. B. Peter Pan GB)</t>
  </si>
  <si>
    <t xml:space="preserve">Kanada: Sprachpaar EN/FR</t>
  </si>
  <si>
    <t xml:space="preserve">Sprachlernende in Kanada (Immersionsschulen, Erwachsene), TÆLLA-Abo</t>
  </si>
  <si>
    <t xml:space="preserve">Katalog EN↔FR: englische und französische PD-Klassiker zweisprachig, Wort-Mitlesen, Audio</t>
  </si>
  <si>
    <t xml:space="preserve">teilweise: Textkette + Chatterbox multilingual (FR); Sprachpaar EN/FR, FR-LoRA, Länderprüfung PD nein</t>
  </si>
  <si>
    <t xml:space="preserve">PD Kanada: Lebenszeit + 70 seit 30.12.2022, nicht rückwirkend – Prüfung je Titel; Marke TAELLA in Kanada nachbenennen</t>
  </si>
  <si>
    <t xml:space="preserve">CK 25.10.2026</t>
  </si>
  <si>
    <t xml:space="preserve">Stimmen-Samenbank</t>
  </si>
  <si>
    <t xml:space="preserve">Games, E-Learning, Verlage (Hausstimme)</t>
  </si>
  <si>
    <t xml:space="preserve">Lizenz designter Stimmen mit Herkunftsvermerk</t>
  </si>
  <si>
    <t xml:space="preserve">ja: Stimmen-Archiv, Steckbriefe, Klaviatur</t>
  </si>
  <si>
    <t xml:space="preserve">Weitergabe Gemini-Voice-Design an Dritte ungeklärt; nie Training auf Gemini; keine LibriVox-/Realstimmen (TECHNIK §9)</t>
  </si>
  <si>
    <t xml:space="preserve">IDEE_stimmen-samenbank</t>
  </si>
  <si>
    <t xml:space="preserve">YouTube-Fassung für Verlage</t>
  </si>
  <si>
    <t xml:space="preserve">Hörbuchverlage mit YouTube-Kanal (Referenzfall Lübbe Audio: ganzes Hörbuch mit Standbild + Auto-Untertitel, 25.10.2026)</t>
  </si>
  <si>
    <t xml:space="preserve">Video aus Verlagshörbuch + E-Book: echter Buchtext mit Wortmarkierung, optional zweisprachig, Kapitelmarken, Verlagslayout je Titel variabel</t>
  </si>
  <si>
    <t xml:space="preserve">ja: Alignment 58_3rd_prty, Wortzeiten 520, Kundenpaket A-003; Video-Exporter nein</t>
  </si>
  <si>
    <t xml:space="preserve">Nur Titel mit Rechten des Verlags; KI-Stimme nur falls Vertonung durch uns, dann kennzeichnen</t>
  </si>
  <si>
    <t xml:space="preserve">A-001, A-003; Zielverlagsliste #13</t>
  </si>
  <si>
    <t xml:space="preserve">YouTube-Kanal TÆLLA / SOMNIO</t>
  </si>
  <si>
    <t xml:space="preserve">Hörer·innen, Sprachlernende (Schaufenster + Werbefläche für TÆLLA)</t>
  </si>
  <si>
    <t xml:space="preserve">Kapitel-Videos im TÆLLA-Layout (Wort-Mitlesen, zweisprachig), Hörspiel-Shorts, Link zur App; später Werbeerlös</t>
  </si>
  <si>
    <t xml:space="preserve">ja: Manifest, Satz-Audio, Wortzeiten; Video-Exporter + variables Layout nein</t>
  </si>
  <si>
    <t xml:space="preserve">YPP: 55 % Long-form, 1.000 Abos + 4.000 h (ab 01.02.2027 8.000 h); seit 16.07.2026 keine Monetarisierung schablonenhafter KI-Inhalte → variables Layout, kuratierte Reihen; KI-Stimme kennzeichnen</t>
  </si>
  <si>
    <t xml:space="preserve">air.io YPP-Zeitleiste 2026; techcrunch.com 20.07.2026</t>
  </si>
  <si>
    <t xml:space="preserve">Graded Readers / Nacherzählungen</t>
  </si>
  <si>
    <t xml:space="preserve">Lernende, Bildungsverlage</t>
  </si>
  <si>
    <t xml:space="preserve">Vereinfachte/nacherzählte PD-Fassungen, gekennzeichnet</t>
  </si>
  <si>
    <t xml:space="preserve">teilweise: Modernisierung; redaktionelle Kontrolle nötig</t>
  </si>
  <si>
    <t xml:space="preserve">Moderne Nacherzählungen geschützt – nur freie Quelle oder Eigenfassung</t>
  </si>
  <si>
    <t xml:space="preserve">BOARD.md (Juni)</t>
  </si>
  <si>
    <t xml:space="preserve">Summe (Spanne)</t>
  </si>
  <si>
    <t xml:space="preserve">Variante: TÆLLA mit Verlagstiteln (Barter-Katalog) + Read-Layer-Umsatz — 24 Monate ab 01/2027</t>
  </si>
  <si>
    <t xml:space="preserve">Break-even TÆLLA monatlich (erster Monat Ergebnis &gt; 0)</t>
  </si>
  <si>
    <t xml:space="preserve">Break-even TÆLLA kumuliert (erster Monat kum. ≥ 0)</t>
  </si>
  <si>
    <t xml:space="preserve">Break-even gesamt mit Variante monatlich</t>
  </si>
  <si>
    <t xml:space="preserve">Break-even gesamt mit Variante kumuliert</t>
  </si>
  <si>
    <t xml:space="preserve">Vergleich mit Basis (Blätter TÆLLA, Gesamt)</t>
  </si>
  <si>
    <t xml:space="preserve">MAU Monat 24 – ohne Verlagstitel</t>
  </si>
  <si>
    <t xml:space="preserve">MAU Monat 24 – mit Verlagstiteln</t>
  </si>
  <si>
    <t xml:space="preserve">Zahlende Monat 24 – ohne</t>
  </si>
  <si>
    <t xml:space="preserve">Zahlende Monat 24 – mit</t>
  </si>
  <si>
    <t xml:space="preserve">Verlagstitel im Katalog Monat 24</t>
  </si>
  <si>
    <t xml:space="preserve">Ergebnis TÆLLA 24 Monate – ohne</t>
  </si>
  <si>
    <t xml:space="preserve">Ergebnis TÆLLA 24 Monate – mit</t>
  </si>
  <si>
    <t xml:space="preserve">Ausschüttung an Verlage 24 Monate</t>
  </si>
  <si>
    <t xml:space="preserve">Werbeerlös TÆLLA 24 Monate – ohne Verlagstitel</t>
  </si>
  <si>
    <t xml:space="preserve">Werbeerlös TÆLLA 24 Monate – mit Verlagstiteln</t>
  </si>
  <si>
    <t xml:space="preserve">Zusatzumsatz Read Layer 24 Monate</t>
  </si>
  <si>
    <t xml:space="preserve">Zusatz-Deckungsbeitrag Read Layer 24 Monate</t>
  </si>
  <si>
    <t xml:space="preserve">Ergebnis gesamt 24 Monate – ohne Variante</t>
  </si>
  <si>
    <t xml:space="preserve">Ergebnis gesamt 24 Monate – mit Variante</t>
  </si>
  <si>
    <t xml:space="preserve">Tiefster kum. Stand gesamt – ohne</t>
  </si>
  <si>
    <t xml:space="preserve">Tiefster kum. Stand gesamt – mit</t>
  </si>
  <si>
    <t xml:space="preserve">Run-Rate Monat 24 gesamt – mit</t>
  </si>
  <si>
    <t xml:space="preserve">TÆLLA: Ausschüttung = Abo netto × Nutzungsanteil Verlagstitel × effektiver Verlagsanteil; MAU als S-Kurve zum Marktpotenzial. Read Layer: Verlagstitel zahlen TÆLLA-Preis (≤ 50 % Wettbewerb), Anteil gratis als Barter; Kuratierung und Endabnahme beim Verlag. Zuschläge auf Wachstum/Conversion sind Annahmen.</t>
  </si>
  <si>
    <t xml:space="preserve">Verlags-titel kum.</t>
  </si>
  <si>
    <t xml:space="preserve">PD-Werke kum.</t>
  </si>
  <si>
    <t xml:space="preserve">Zuschlag Wachstum</t>
  </si>
  <si>
    <t xml:space="preserve">Zuschlag Conversion</t>
  </si>
  <si>
    <t xml:space="preserve">Paten + Auftrag brutto</t>
  </si>
  <si>
    <t xml:space="preserve">davon Abo netto</t>
  </si>
  <si>
    <t xml:space="preserve">Nutzungs-anteil Verlage</t>
  </si>
  <si>
    <t xml:space="preserve">Ausschüttung Verlage</t>
  </si>
  <si>
    <t xml:space="preserve">Katalog-kosten PD inkl. Freigaben</t>
  </si>
  <si>
    <t xml:space="preserve">Ergebnis TÆLLA kum.</t>
  </si>
  <si>
    <t xml:space="preserve">RL: neue Verlagstitel</t>
  </si>
  <si>
    <t xml:space="preserve">RL: davon zahlend</t>
  </si>
  <si>
    <t xml:space="preserve">RL: Umsatz Verlagstitel</t>
  </si>
  <si>
    <t xml:space="preserve">RL: Rechen-kosten, Betreuung, Kuratierung</t>
  </si>
  <si>
    <t xml:space="preserve">RL: Deckungs-beitrag</t>
  </si>
  <si>
    <t xml:space="preserve">Ergebnis gesamt mit Variante</t>
  </si>
  <si>
    <t xml:space="preserve">Ergebnis gesamt kum.</t>
  </si>
  <si>
    <t xml:space="preserve">BE gesamt monatl.</t>
  </si>
  <si>
    <t xml:space="preserve">BE gesamt kum.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</si>
</sst>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0"/>
    <numFmt numFmtId="166" formatCode="0.0%;\(0.0%\);\-"/>
    <numFmt numFmtId="167" formatCode="#,##0&quot; €&quot;;\(#,##0&quot; €)&quot;;\-"/>
    <numFmt numFmtId="168" formatCode="#,##0.000&quot; $&quot;;\(#,##0.000&quot; $)&quot;;\-"/>
    <numFmt numFmtId="169" formatCode="#,##0;\(#,##0\);\-"/>
    <numFmt numFmtId="170" formatCode="#,##0.0;\(#,##0.0\);\-"/>
    <numFmt numFmtId="171" formatCode="#,##0.00&quot; €&quot;;\(#,##0.00&quot; €)&quot;;\-"/>
    <numFmt numFmtId="172" formatCode="@"/>
    <numFmt numFmtId="173" formatCode="0.00%"/>
    <numFmt numFmtId="174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2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3"/>
    <col collapsed="false" customWidth="true" hidden="false" outlineLevel="0" max="5" min="5" style="0" width="16"/>
    <col collapsed="false" customWidth="true" hidden="false" outlineLevel="0" max="6" min="6" style="0" width="70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9" min="9" style="0" width="60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2"/>
      <c r="H4" s="2"/>
      <c r="I4" s="2"/>
      <c r="J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5" hidden="false" customHeight="false" outlineLevel="0" collapsed="false">
      <c r="A6" s="5" t="s">
        <v>8</v>
      </c>
      <c r="B6" s="6"/>
      <c r="C6" s="6"/>
      <c r="D6" s="6"/>
      <c r="E6" s="6"/>
      <c r="F6" s="6"/>
      <c r="G6" s="2"/>
      <c r="H6" s="2"/>
      <c r="I6" s="2"/>
      <c r="J6" s="2"/>
    </row>
    <row r="7" customFormat="false" ht="15" hidden="false" customHeight="false" outlineLevel="0" collapsed="false">
      <c r="A7" s="7" t="s">
        <v>9</v>
      </c>
      <c r="B7" s="8" t="n">
        <v>1.1193</v>
      </c>
      <c r="C7" s="2"/>
      <c r="D7" s="2"/>
      <c r="E7" s="7" t="s">
        <v>10</v>
      </c>
      <c r="F7" s="9" t="s">
        <v>11</v>
      </c>
      <c r="G7" s="2"/>
      <c r="H7" s="2"/>
      <c r="I7" s="2"/>
      <c r="J7" s="2"/>
    </row>
    <row r="8" customFormat="false" ht="15" hidden="false" customHeight="false" outlineLevel="0" collapsed="false">
      <c r="A8" s="7" t="s">
        <v>12</v>
      </c>
      <c r="B8" s="8" t="n">
        <v>0.9272</v>
      </c>
      <c r="C8" s="2"/>
      <c r="D8" s="2"/>
      <c r="E8" s="7" t="s">
        <v>13</v>
      </c>
      <c r="F8" s="9" t="s">
        <v>14</v>
      </c>
      <c r="G8" s="2"/>
      <c r="H8" s="2"/>
      <c r="I8" s="2"/>
      <c r="J8" s="2"/>
    </row>
    <row r="9" customFormat="false" ht="15" hidden="false" customHeight="false" outlineLevel="0" collapsed="false">
      <c r="A9" s="7" t="s">
        <v>15</v>
      </c>
      <c r="B9" s="10" t="n">
        <v>0.19</v>
      </c>
      <c r="C9" s="2"/>
      <c r="D9" s="2"/>
      <c r="E9" s="7" t="s">
        <v>16</v>
      </c>
      <c r="F9" s="9" t="s">
        <v>17</v>
      </c>
      <c r="G9" s="2"/>
      <c r="H9" s="2"/>
      <c r="I9" s="2"/>
      <c r="J9" s="2"/>
    </row>
    <row r="10" customFormat="false" ht="26.85" hidden="false" customHeight="false" outlineLevel="0" collapsed="false">
      <c r="A10" s="7" t="s">
        <v>18</v>
      </c>
      <c r="B10" s="10" t="n">
        <v>0.07</v>
      </c>
      <c r="C10" s="2"/>
      <c r="D10" s="2"/>
      <c r="E10" s="7" t="s">
        <v>16</v>
      </c>
      <c r="F10" s="9" t="s">
        <v>19</v>
      </c>
      <c r="G10" s="2"/>
      <c r="H10" s="2"/>
      <c r="I10" s="2"/>
      <c r="J10" s="2"/>
    </row>
    <row r="11" customFormat="false" ht="15" hidden="false" customHeight="false" outlineLevel="0" collapsed="false">
      <c r="A11" s="7" t="s">
        <v>20</v>
      </c>
      <c r="B11" s="11" t="n">
        <v>60</v>
      </c>
      <c r="C11" s="2"/>
      <c r="D11" s="2"/>
      <c r="E11" s="7" t="s">
        <v>21</v>
      </c>
      <c r="F11" s="9" t="s">
        <v>22</v>
      </c>
      <c r="G11" s="2"/>
      <c r="H11" s="2"/>
      <c r="I11" s="2"/>
      <c r="J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customFormat="false" ht="15" hidden="false" customHeight="false" outlineLevel="0" collapsed="false">
      <c r="A13" s="5" t="s">
        <v>23</v>
      </c>
      <c r="B13" s="6"/>
      <c r="C13" s="6"/>
      <c r="D13" s="6"/>
      <c r="E13" s="6"/>
      <c r="F13" s="6"/>
      <c r="G13" s="2"/>
      <c r="H13" s="2"/>
      <c r="I13" s="2"/>
      <c r="J13" s="2"/>
    </row>
    <row r="14" customFormat="false" ht="15" hidden="false" customHeight="false" outlineLevel="0" collapsed="false">
      <c r="A14" s="7" t="s">
        <v>24</v>
      </c>
      <c r="B14" s="12" t="n">
        <v>0.09</v>
      </c>
      <c r="C14" s="2"/>
      <c r="D14" s="2"/>
      <c r="E14" s="7" t="s">
        <v>25</v>
      </c>
      <c r="F14" s="9" t="s">
        <v>26</v>
      </c>
      <c r="G14" s="2"/>
      <c r="H14" s="2"/>
      <c r="I14" s="2"/>
      <c r="J14" s="2"/>
    </row>
    <row r="15" customFormat="false" ht="15" hidden="false" customHeight="false" outlineLevel="0" collapsed="false">
      <c r="A15" s="7" t="s">
        <v>27</v>
      </c>
      <c r="B15" s="12" t="n">
        <v>0.94</v>
      </c>
      <c r="C15" s="2"/>
      <c r="D15" s="2"/>
      <c r="E15" s="7" t="s">
        <v>28</v>
      </c>
      <c r="F15" s="9" t="s">
        <v>29</v>
      </c>
      <c r="G15" s="2"/>
      <c r="H15" s="2"/>
      <c r="I15" s="2"/>
      <c r="J15" s="2"/>
    </row>
    <row r="16" customFormat="false" ht="15" hidden="false" customHeight="false" outlineLevel="0" collapsed="false">
      <c r="A16" s="7" t="s">
        <v>30</v>
      </c>
      <c r="B16" s="12" t="n">
        <v>1.62</v>
      </c>
      <c r="C16" s="2"/>
      <c r="D16" s="2"/>
      <c r="E16" s="7" t="s">
        <v>28</v>
      </c>
      <c r="F16" s="9" t="s">
        <v>31</v>
      </c>
      <c r="G16" s="2"/>
      <c r="H16" s="2"/>
      <c r="I16" s="2"/>
      <c r="J16" s="2"/>
    </row>
    <row r="17" customFormat="false" ht="15" hidden="false" customHeight="false" outlineLevel="0" collapsed="false">
      <c r="A17" s="7" t="s">
        <v>32</v>
      </c>
      <c r="B17" s="13" t="n">
        <f aca="false">0.034/(13.4/60)</f>
        <v>0.152238805970149</v>
      </c>
      <c r="C17" s="2"/>
      <c r="D17" s="2"/>
      <c r="E17" s="7" t="s">
        <v>28</v>
      </c>
      <c r="F17" s="9" t="s">
        <v>33</v>
      </c>
      <c r="G17" s="2"/>
      <c r="H17" s="2"/>
      <c r="I17" s="2"/>
      <c r="J17" s="2"/>
    </row>
    <row r="18" customFormat="false" ht="15" hidden="false" customHeight="false" outlineLevel="0" collapsed="false">
      <c r="A18" s="7" t="s">
        <v>34</v>
      </c>
      <c r="B18" s="12" t="n">
        <v>0.5</v>
      </c>
      <c r="C18" s="2"/>
      <c r="D18" s="2"/>
      <c r="E18" s="7" t="s">
        <v>35</v>
      </c>
      <c r="F18" s="9" t="s">
        <v>36</v>
      </c>
      <c r="G18" s="2"/>
      <c r="H18" s="2"/>
      <c r="I18" s="2"/>
      <c r="J18" s="2"/>
    </row>
    <row r="19" customFormat="false" ht="15" hidden="false" customHeight="false" outlineLevel="0" collapsed="false">
      <c r="A19" s="7" t="s">
        <v>37</v>
      </c>
      <c r="B19" s="12" t="n">
        <v>1</v>
      </c>
      <c r="C19" s="2"/>
      <c r="D19" s="2"/>
      <c r="E19" s="7" t="s">
        <v>35</v>
      </c>
      <c r="F19" s="9" t="s">
        <v>38</v>
      </c>
      <c r="G19" s="2"/>
      <c r="H19" s="2"/>
      <c r="I19" s="2"/>
      <c r="J19" s="2"/>
    </row>
    <row r="20" customFormat="false" ht="15" hidden="false" customHeight="false" outlineLevel="0" collapsed="false">
      <c r="A20" s="7" t="s">
        <v>39</v>
      </c>
      <c r="B20" s="12" t="n">
        <v>0.03</v>
      </c>
      <c r="C20" s="2"/>
      <c r="D20" s="2"/>
      <c r="E20" s="7" t="s">
        <v>35</v>
      </c>
      <c r="F20" s="9" t="s">
        <v>40</v>
      </c>
      <c r="G20" s="2"/>
      <c r="H20" s="2"/>
      <c r="I20" s="2"/>
      <c r="J20" s="2"/>
    </row>
    <row r="21" customFormat="false" ht="15" hidden="false" customHeight="false" outlineLevel="0" collapsed="false">
      <c r="A21" s="7" t="s">
        <v>41</v>
      </c>
      <c r="B21" s="13" t="n">
        <f aca="false">(0.0031+0.0021)/1.339</f>
        <v>0.00388349514563107</v>
      </c>
      <c r="C21" s="2"/>
      <c r="D21" s="2"/>
      <c r="E21" s="7" t="s">
        <v>25</v>
      </c>
      <c r="F21" s="9" t="s">
        <v>42</v>
      </c>
      <c r="G21" s="2"/>
      <c r="H21" s="2"/>
      <c r="I21" s="2"/>
      <c r="J21" s="2"/>
    </row>
    <row r="22" customFormat="false" ht="26.85" hidden="false" customHeight="false" outlineLevel="0" collapsed="false">
      <c r="A22" s="7" t="s">
        <v>43</v>
      </c>
      <c r="B22" s="14" t="n">
        <v>9300</v>
      </c>
      <c r="C22" s="2"/>
      <c r="D22" s="2"/>
      <c r="E22" s="7" t="s">
        <v>44</v>
      </c>
      <c r="F22" s="9" t="s">
        <v>45</v>
      </c>
      <c r="G22" s="2"/>
      <c r="H22" s="2"/>
      <c r="I22" s="2"/>
      <c r="J22" s="2"/>
    </row>
    <row r="23" customFormat="false" ht="15" hidden="false" customHeight="false" outlineLevel="0" collapsed="false">
      <c r="A23" s="7" t="s">
        <v>46</v>
      </c>
      <c r="B23" s="15" t="n">
        <f aca="false">18600000/187</f>
        <v>99465.2406417112</v>
      </c>
      <c r="C23" s="2"/>
      <c r="D23" s="2"/>
      <c r="E23" s="7" t="s">
        <v>47</v>
      </c>
      <c r="F23" s="9" t="s">
        <v>48</v>
      </c>
      <c r="G23" s="2"/>
      <c r="H23" s="2"/>
      <c r="I23" s="2"/>
      <c r="J23" s="2"/>
    </row>
    <row r="24" customFormat="false" ht="15" hidden="false" customHeight="false" outlineLevel="0" collapsed="false">
      <c r="A24" s="7" t="s">
        <v>49</v>
      </c>
      <c r="B24" s="14" t="n">
        <v>80000</v>
      </c>
      <c r="C24" s="2"/>
      <c r="D24" s="2"/>
      <c r="E24" s="7" t="s">
        <v>47</v>
      </c>
      <c r="F24" s="9" t="s">
        <v>50</v>
      </c>
      <c r="G24" s="2"/>
      <c r="H24" s="2"/>
      <c r="I24" s="2"/>
      <c r="J24" s="2"/>
    </row>
    <row r="25" customFormat="false" ht="15" hidden="false" customHeight="false" outlineLevel="0" collapsed="false">
      <c r="A25" s="7" t="s">
        <v>51</v>
      </c>
      <c r="B25" s="14" t="n">
        <v>250</v>
      </c>
      <c r="C25" s="2"/>
      <c r="D25" s="2"/>
      <c r="E25" s="7" t="s">
        <v>47</v>
      </c>
      <c r="F25" s="9" t="s">
        <v>52</v>
      </c>
      <c r="G25" s="2"/>
      <c r="H25" s="2"/>
      <c r="I25" s="2"/>
      <c r="J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5" t="s">
        <v>53</v>
      </c>
      <c r="B27" s="6"/>
      <c r="C27" s="6"/>
      <c r="D27" s="6"/>
      <c r="E27" s="6"/>
      <c r="F27" s="6"/>
      <c r="G27" s="2"/>
      <c r="H27" s="2"/>
      <c r="I27" s="2"/>
      <c r="J27" s="2"/>
    </row>
    <row r="28" customFormat="false" ht="15" hidden="false" customHeight="false" outlineLevel="0" collapsed="false">
      <c r="A28" s="7" t="s">
        <v>54</v>
      </c>
      <c r="B28" s="14" t="n">
        <v>1339</v>
      </c>
      <c r="C28" s="2"/>
      <c r="D28" s="2"/>
      <c r="E28" s="7" t="s">
        <v>47</v>
      </c>
      <c r="F28" s="9" t="s">
        <v>55</v>
      </c>
      <c r="G28" s="2"/>
      <c r="H28" s="2"/>
      <c r="I28" s="2"/>
      <c r="J28" s="2"/>
    </row>
    <row r="29" customFormat="false" ht="15" hidden="false" customHeight="false" outlineLevel="0" collapsed="false">
      <c r="A29" s="7" t="s">
        <v>56</v>
      </c>
      <c r="B29" s="12" t="n">
        <v>0.0685</v>
      </c>
      <c r="C29" s="2"/>
      <c r="D29" s="2"/>
      <c r="E29" s="7" t="s">
        <v>57</v>
      </c>
      <c r="F29" s="9" t="s">
        <v>55</v>
      </c>
      <c r="G29" s="2"/>
      <c r="H29" s="2"/>
      <c r="I29" s="2"/>
      <c r="J29" s="2"/>
    </row>
    <row r="30" customFormat="false" ht="15" hidden="false" customHeight="false" outlineLevel="0" collapsed="false">
      <c r="A30" s="7" t="s">
        <v>58</v>
      </c>
      <c r="B30" s="12" t="n">
        <v>0.1574</v>
      </c>
      <c r="C30" s="2"/>
      <c r="D30" s="2"/>
      <c r="E30" s="7" t="s">
        <v>57</v>
      </c>
      <c r="F30" s="9" t="s">
        <v>55</v>
      </c>
      <c r="G30" s="2"/>
      <c r="H30" s="2"/>
      <c r="I30" s="2"/>
      <c r="J30" s="2"/>
    </row>
    <row r="31" customFormat="false" ht="15" hidden="false" customHeight="false" outlineLevel="0" collapsed="false">
      <c r="A31" s="7" t="s">
        <v>59</v>
      </c>
      <c r="B31" s="16" t="n">
        <v>13.4</v>
      </c>
      <c r="C31" s="2"/>
      <c r="D31" s="2"/>
      <c r="E31" s="7" t="s">
        <v>60</v>
      </c>
      <c r="F31" s="9" t="s">
        <v>61</v>
      </c>
      <c r="G31" s="2"/>
      <c r="H31" s="2"/>
      <c r="I31" s="2"/>
      <c r="J31" s="2"/>
    </row>
    <row r="32" customFormat="false" ht="15" hidden="false" customHeight="false" outlineLevel="0" collapsed="false">
      <c r="A32" s="7" t="s">
        <v>62</v>
      </c>
      <c r="B32" s="13" t="n">
        <f aca="false">$B$29/$B$28*1000</f>
        <v>0.0511575802837939</v>
      </c>
      <c r="C32" s="2"/>
      <c r="D32" s="2"/>
      <c r="E32" s="7" t="s">
        <v>63</v>
      </c>
      <c r="F32" s="9" t="s">
        <v>64</v>
      </c>
      <c r="G32" s="2"/>
      <c r="H32" s="2"/>
      <c r="I32" s="2"/>
      <c r="J32" s="2"/>
    </row>
    <row r="33" customFormat="false" ht="15" hidden="false" customHeight="false" outlineLevel="0" collapsed="false">
      <c r="A33" s="7" t="s">
        <v>65</v>
      </c>
      <c r="B33" s="13" t="n">
        <f aca="false">$B$30/($B$31/60)</f>
        <v>0.704776119402985</v>
      </c>
      <c r="C33" s="2"/>
      <c r="D33" s="2"/>
      <c r="E33" s="7" t="s">
        <v>28</v>
      </c>
      <c r="F33" s="9" t="s">
        <v>66</v>
      </c>
      <c r="G33" s="2"/>
      <c r="H33" s="2"/>
      <c r="I33" s="2"/>
      <c r="J33" s="2"/>
    </row>
    <row r="34" customFormat="false" ht="15" hidden="false" customHeight="false" outlineLevel="0" collapsed="false">
      <c r="A34" s="7" t="s">
        <v>67</v>
      </c>
      <c r="B34" s="15" t="n">
        <f aca="false">$B$28/(6.7/60)*0.73</f>
        <v>8753.46268656716</v>
      </c>
      <c r="C34" s="2"/>
      <c r="D34" s="2"/>
      <c r="E34" s="7" t="s">
        <v>44</v>
      </c>
      <c r="F34" s="9" t="s">
        <v>68</v>
      </c>
      <c r="G34" s="2"/>
      <c r="H34" s="2"/>
      <c r="I34" s="2"/>
      <c r="J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5" t="s">
        <v>69</v>
      </c>
      <c r="B36" s="6"/>
      <c r="C36" s="6"/>
      <c r="D36" s="6"/>
      <c r="E36" s="6"/>
      <c r="F36" s="6"/>
      <c r="G36" s="2"/>
      <c r="H36" s="2"/>
      <c r="I36" s="2"/>
      <c r="J36" s="2"/>
    </row>
    <row r="37" customFormat="false" ht="15" hidden="false" customHeight="false" outlineLevel="0" collapsed="false">
      <c r="A37" s="7" t="s">
        <v>70</v>
      </c>
      <c r="B37" s="17" t="n">
        <f aca="false">$B$23/$B$22</f>
        <v>10.6951871657754</v>
      </c>
      <c r="C37" s="2"/>
      <c r="D37" s="2"/>
      <c r="E37" s="7" t="s">
        <v>71</v>
      </c>
      <c r="F37" s="9" t="s">
        <v>72</v>
      </c>
      <c r="G37" s="2"/>
      <c r="H37" s="2"/>
      <c r="I37" s="2"/>
      <c r="J37" s="2"/>
    </row>
    <row r="38" customFormat="false" ht="15" hidden="false" customHeight="false" outlineLevel="0" collapsed="false">
      <c r="A38" s="7" t="s">
        <v>73</v>
      </c>
      <c r="B38" s="18" t="n">
        <f aca="false">$B$23/1000*$B$14/$B$7</f>
        <v>7.99774113977844</v>
      </c>
      <c r="C38" s="2"/>
      <c r="D38" s="2"/>
      <c r="E38" s="7" t="s">
        <v>74</v>
      </c>
      <c r="F38" s="9" t="s">
        <v>72</v>
      </c>
      <c r="G38" s="2"/>
      <c r="H38" s="2"/>
      <c r="I38" s="2"/>
      <c r="J38" s="2"/>
    </row>
    <row r="39" customFormat="false" ht="15" hidden="false" customHeight="false" outlineLevel="0" collapsed="false">
      <c r="A39" s="7" t="s">
        <v>75</v>
      </c>
      <c r="B39" s="18" t="n">
        <f aca="false">2*$B$37*$B$15/$B$7</f>
        <v>17.9638630140782</v>
      </c>
      <c r="C39" s="2"/>
      <c r="D39" s="2"/>
      <c r="E39" s="7" t="s">
        <v>74</v>
      </c>
      <c r="F39" s="9" t="s">
        <v>72</v>
      </c>
      <c r="G39" s="2"/>
      <c r="H39" s="2"/>
      <c r="I39" s="2"/>
      <c r="J39" s="2"/>
    </row>
    <row r="40" customFormat="false" ht="15" hidden="false" customHeight="false" outlineLevel="0" collapsed="false">
      <c r="A40" s="7" t="s">
        <v>76</v>
      </c>
      <c r="B40" s="18" t="n">
        <f aca="false">2*$B$37*$B$17/$B$7</f>
        <v>2.90935857007936</v>
      </c>
      <c r="C40" s="2"/>
      <c r="D40" s="2"/>
      <c r="E40" s="7" t="s">
        <v>74</v>
      </c>
      <c r="F40" s="9" t="s">
        <v>72</v>
      </c>
      <c r="G40" s="2"/>
      <c r="H40" s="2"/>
      <c r="I40" s="2"/>
      <c r="J40" s="2"/>
    </row>
    <row r="41" customFormat="false" ht="15" hidden="false" customHeight="false" outlineLevel="0" collapsed="false">
      <c r="A41" s="7" t="s">
        <v>77</v>
      </c>
      <c r="B41" s="18" t="n">
        <f aca="false">2*$B$37*$B$16/$B$7</f>
        <v>30.9589979604327</v>
      </c>
      <c r="C41" s="2"/>
      <c r="D41" s="2"/>
      <c r="E41" s="7" t="s">
        <v>74</v>
      </c>
      <c r="F41" s="9" t="s">
        <v>72</v>
      </c>
      <c r="G41" s="2"/>
      <c r="H41" s="2"/>
      <c r="I41" s="2"/>
      <c r="J41" s="2"/>
    </row>
    <row r="42" customFormat="false" ht="15" hidden="false" customHeight="false" outlineLevel="0" collapsed="false">
      <c r="A42" s="7" t="s">
        <v>78</v>
      </c>
      <c r="B42" s="18" t="n">
        <f aca="false">($B$18+$B$19+$B$20)/$B$7</f>
        <v>1.36692575716966</v>
      </c>
      <c r="C42" s="2"/>
      <c r="D42" s="2"/>
      <c r="E42" s="7" t="s">
        <v>74</v>
      </c>
      <c r="F42" s="9" t="s">
        <v>72</v>
      </c>
      <c r="G42" s="2"/>
      <c r="H42" s="2"/>
      <c r="I42" s="2"/>
      <c r="J42" s="2"/>
    </row>
    <row r="43" customFormat="false" ht="15" hidden="false" customHeight="false" outlineLevel="0" collapsed="false">
      <c r="A43" s="7" t="s">
        <v>79</v>
      </c>
      <c r="B43" s="18" t="n">
        <f aca="false">$B$38+$B$39+$B$40</f>
        <v>28.870962723936</v>
      </c>
      <c r="C43" s="2"/>
      <c r="D43" s="2"/>
      <c r="E43" s="7" t="s">
        <v>74</v>
      </c>
      <c r="F43" s="9" t="s">
        <v>80</v>
      </c>
      <c r="G43" s="2"/>
      <c r="H43" s="2"/>
      <c r="I43" s="2"/>
      <c r="J43" s="2"/>
    </row>
    <row r="44" customFormat="false" ht="15" hidden="false" customHeight="false" outlineLevel="0" collapsed="false">
      <c r="A44" s="7" t="s">
        <v>81</v>
      </c>
      <c r="B44" s="18" t="n">
        <f aca="false">$B$41</f>
        <v>30.9589979604327</v>
      </c>
      <c r="C44" s="2"/>
      <c r="D44" s="2"/>
      <c r="E44" s="7" t="s">
        <v>74</v>
      </c>
      <c r="F44" s="9" t="s">
        <v>82</v>
      </c>
      <c r="G44" s="2"/>
      <c r="H44" s="2"/>
      <c r="I44" s="2"/>
      <c r="J44" s="2"/>
    </row>
    <row r="45" customFormat="false" ht="15" hidden="false" customHeight="false" outlineLevel="0" collapsed="false">
      <c r="A45" s="7" t="s">
        <v>83</v>
      </c>
      <c r="B45" s="18" t="n">
        <f aca="false">$B$41+$B$42</f>
        <v>32.3259237176023</v>
      </c>
      <c r="C45" s="2"/>
      <c r="D45" s="2"/>
      <c r="E45" s="7" t="s">
        <v>74</v>
      </c>
      <c r="F45" s="9" t="s">
        <v>84</v>
      </c>
      <c r="G45" s="2"/>
      <c r="H45" s="2"/>
      <c r="I45" s="2"/>
      <c r="J45" s="2"/>
    </row>
    <row r="46" customFormat="false" ht="15" hidden="false" customHeight="false" outlineLevel="0" collapsed="false">
      <c r="A46" s="7" t="s">
        <v>85</v>
      </c>
      <c r="B46" s="18" t="n">
        <f aca="false">$B$24/1000*$B$21/$B$7</f>
        <v>0.277565989145435</v>
      </c>
      <c r="C46" s="2"/>
      <c r="D46" s="2"/>
      <c r="E46" s="7" t="s">
        <v>86</v>
      </c>
      <c r="F46" s="9" t="s">
        <v>72</v>
      </c>
      <c r="G46" s="2"/>
      <c r="H46" s="2"/>
      <c r="I46" s="2"/>
      <c r="J46" s="2"/>
    </row>
    <row r="47" customFormat="false" ht="15" hidden="false" customHeight="false" outlineLevel="0" collapsed="false">
      <c r="A47" s="7" t="s">
        <v>87</v>
      </c>
      <c r="B47" s="17" t="n">
        <f aca="false">$B$24/$B$22</f>
        <v>8.60215053763441</v>
      </c>
      <c r="C47" s="2"/>
      <c r="D47" s="2"/>
      <c r="E47" s="7" t="s">
        <v>71</v>
      </c>
      <c r="F47" s="9" t="s">
        <v>72</v>
      </c>
      <c r="G47" s="2"/>
      <c r="H47" s="2"/>
      <c r="I47" s="2"/>
      <c r="J47" s="2"/>
    </row>
    <row r="48" customFormat="false" ht="15" hidden="false" customHeight="false" outlineLevel="0" collapsed="false">
      <c r="A48" s="7" t="s">
        <v>88</v>
      </c>
      <c r="B48" s="18" t="n">
        <f aca="false">$B$46+$B$47*($B$15+$B$17)/$B$7</f>
        <v>8.67174327137655</v>
      </c>
      <c r="C48" s="2"/>
      <c r="D48" s="2"/>
      <c r="E48" s="7" t="s">
        <v>86</v>
      </c>
      <c r="F48" s="9" t="s">
        <v>72</v>
      </c>
      <c r="G48" s="2"/>
      <c r="H48" s="2"/>
      <c r="I48" s="2"/>
      <c r="J48" s="2"/>
    </row>
    <row r="49" customFormat="false" ht="15" hidden="false" customHeight="false" outlineLevel="0" collapsed="false">
      <c r="A49" s="7" t="s">
        <v>89</v>
      </c>
      <c r="B49" s="18" t="n">
        <f aca="false">$B$46+$B$47*$B$17/$B$7</f>
        <v>1.44756610227412</v>
      </c>
      <c r="C49" s="2"/>
      <c r="D49" s="2"/>
      <c r="E49" s="7" t="s">
        <v>86</v>
      </c>
      <c r="F49" s="9" t="s">
        <v>90</v>
      </c>
      <c r="G49" s="2"/>
      <c r="H49" s="2"/>
      <c r="I49" s="2"/>
      <c r="J49" s="2"/>
    </row>
    <row r="50" customFormat="false" ht="15" hidden="false" customHeight="false" outlineLevel="0" collapsed="false">
      <c r="A50" s="7" t="s">
        <v>91</v>
      </c>
      <c r="B50" s="18" t="n">
        <f aca="false">($B$16+$B$17)/$B$7</f>
        <v>1.58334566780144</v>
      </c>
      <c r="C50" s="2"/>
      <c r="D50" s="2"/>
      <c r="E50" s="7" t="s">
        <v>92</v>
      </c>
      <c r="F50" s="9" t="s">
        <v>72</v>
      </c>
      <c r="G50" s="2"/>
      <c r="H50" s="2"/>
      <c r="I50" s="2"/>
      <c r="J50" s="2"/>
    </row>
    <row r="51" customFormat="false" ht="15" hidden="false" customHeight="false" outlineLevel="0" collapsed="false">
      <c r="A51" s="7" t="s">
        <v>93</v>
      </c>
      <c r="B51" s="18" t="n">
        <f aca="false">$B$25/1000*$B$14/$B$7</f>
        <v>0.0201018493701421</v>
      </c>
      <c r="C51" s="2"/>
      <c r="D51" s="2"/>
      <c r="E51" s="7" t="s">
        <v>94</v>
      </c>
      <c r="F51" s="9" t="s">
        <v>72</v>
      </c>
      <c r="G51" s="2"/>
      <c r="H51" s="2"/>
      <c r="I51" s="2"/>
      <c r="J51" s="2"/>
    </row>
    <row r="52" customFormat="false" ht="15" hidden="false" customHeight="false" outlineLevel="0" collapsed="false">
      <c r="A52" s="7" t="s">
        <v>95</v>
      </c>
      <c r="B52" s="18" t="n">
        <f aca="false">$B$24/1000*$B$14/$B$7+$B$47*($B$15+$B$17)/$B$7+$B$42</f>
        <v>16.1936948378462</v>
      </c>
      <c r="C52" s="2"/>
      <c r="D52" s="2"/>
      <c r="E52" s="7" t="s">
        <v>96</v>
      </c>
      <c r="F52" s="9" t="s">
        <v>72</v>
      </c>
      <c r="G52" s="2"/>
      <c r="H52" s="2"/>
      <c r="I52" s="2"/>
      <c r="J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customFormat="false" ht="15" hidden="false" customHeight="false" outlineLevel="0" collapsed="false">
      <c r="A54" s="5" t="s">
        <v>97</v>
      </c>
      <c r="B54" s="6"/>
      <c r="C54" s="6"/>
      <c r="D54" s="6"/>
      <c r="E54" s="6"/>
      <c r="F54" s="6"/>
      <c r="G54" s="2"/>
      <c r="H54" s="2"/>
      <c r="I54" s="2"/>
      <c r="J54" s="2"/>
    </row>
    <row r="55" customFormat="false" ht="15" hidden="false" customHeight="false" outlineLevel="0" collapsed="false">
      <c r="A55" s="7" t="s">
        <v>98</v>
      </c>
      <c r="B55" s="19" t="n">
        <v>4</v>
      </c>
      <c r="C55" s="19" t="n">
        <v>3</v>
      </c>
      <c r="D55" s="19" t="n">
        <v>2</v>
      </c>
      <c r="E55" s="7" t="s">
        <v>99</v>
      </c>
      <c r="F55" s="9" t="s">
        <v>100</v>
      </c>
      <c r="G55" s="2"/>
      <c r="H55" s="2"/>
      <c r="I55" s="2"/>
      <c r="J55" s="2"/>
    </row>
    <row r="56" customFormat="false" ht="15" hidden="false" customHeight="false" outlineLevel="0" collapsed="false">
      <c r="A56" s="7" t="s">
        <v>101</v>
      </c>
      <c r="B56" s="19" t="n">
        <v>200</v>
      </c>
      <c r="C56" s="19" t="n">
        <v>500</v>
      </c>
      <c r="D56" s="19" t="n">
        <v>1000</v>
      </c>
      <c r="E56" s="7" t="s">
        <v>102</v>
      </c>
      <c r="F56" s="9" t="s">
        <v>103</v>
      </c>
      <c r="G56" s="2"/>
      <c r="H56" s="2"/>
      <c r="I56" s="2"/>
      <c r="J56" s="2"/>
    </row>
    <row r="57" customFormat="false" ht="15" hidden="false" customHeight="false" outlineLevel="0" collapsed="false">
      <c r="A57" s="7" t="s">
        <v>104</v>
      </c>
      <c r="B57" s="20" t="n">
        <v>0.08</v>
      </c>
      <c r="C57" s="20" t="n">
        <v>0.15</v>
      </c>
      <c r="D57" s="20" t="n">
        <v>0.22</v>
      </c>
      <c r="E57" s="7" t="s">
        <v>16</v>
      </c>
      <c r="F57" s="9" t="s">
        <v>103</v>
      </c>
      <c r="G57" s="2"/>
      <c r="H57" s="2"/>
      <c r="I57" s="2"/>
      <c r="J57" s="2"/>
    </row>
    <row r="58" customFormat="false" ht="39.55" hidden="false" customHeight="false" outlineLevel="0" collapsed="false">
      <c r="A58" s="7" t="s">
        <v>105</v>
      </c>
      <c r="B58" s="19" t="n">
        <v>50000</v>
      </c>
      <c r="C58" s="19" t="n">
        <v>200000</v>
      </c>
      <c r="D58" s="19" t="n">
        <v>500000</v>
      </c>
      <c r="E58" s="7" t="s">
        <v>102</v>
      </c>
      <c r="F58" s="9" t="s">
        <v>106</v>
      </c>
      <c r="G58" s="2"/>
      <c r="H58" s="2"/>
      <c r="I58" s="2"/>
      <c r="J58" s="2"/>
    </row>
    <row r="59" customFormat="false" ht="15" hidden="false" customHeight="false" outlineLevel="0" collapsed="false">
      <c r="A59" s="7" t="s">
        <v>107</v>
      </c>
      <c r="B59" s="20" t="n">
        <v>0.005</v>
      </c>
      <c r="C59" s="20" t="n">
        <v>0.01</v>
      </c>
      <c r="D59" s="20" t="n">
        <v>0.015</v>
      </c>
      <c r="E59" s="7" t="s">
        <v>16</v>
      </c>
      <c r="F59" s="9" t="s">
        <v>103</v>
      </c>
      <c r="G59" s="2"/>
      <c r="H59" s="2"/>
      <c r="I59" s="2"/>
      <c r="J59" s="2"/>
    </row>
    <row r="60" customFormat="false" ht="15" hidden="false" customHeight="false" outlineLevel="0" collapsed="false">
      <c r="A60" s="7" t="s">
        <v>108</v>
      </c>
      <c r="B60" s="20" t="n">
        <v>0.08</v>
      </c>
      <c r="C60" s="20" t="n">
        <v>0.06</v>
      </c>
      <c r="D60" s="20" t="n">
        <v>0.04</v>
      </c>
      <c r="E60" s="7" t="s">
        <v>16</v>
      </c>
      <c r="F60" s="9" t="s">
        <v>103</v>
      </c>
      <c r="G60" s="2"/>
      <c r="H60" s="2"/>
      <c r="I60" s="2"/>
      <c r="J60" s="2"/>
    </row>
    <row r="61" customFormat="false" ht="15" hidden="false" customHeight="false" outlineLevel="0" collapsed="false">
      <c r="A61" s="7" t="s">
        <v>109</v>
      </c>
      <c r="B61" s="20" t="n">
        <v>0.3</v>
      </c>
      <c r="C61" s="20" t="n">
        <v>0.4</v>
      </c>
      <c r="D61" s="20" t="n">
        <v>0.5</v>
      </c>
      <c r="E61" s="7" t="s">
        <v>16</v>
      </c>
      <c r="F61" s="9" t="s">
        <v>103</v>
      </c>
      <c r="G61" s="2"/>
      <c r="H61" s="2"/>
      <c r="I61" s="2"/>
      <c r="J61" s="2"/>
    </row>
    <row r="62" customFormat="false" ht="15" hidden="false" customHeight="false" outlineLevel="0" collapsed="false">
      <c r="A62" s="7" t="s">
        <v>110</v>
      </c>
      <c r="B62" s="20" t="n">
        <v>0.7</v>
      </c>
      <c r="C62" s="20" t="n">
        <v>0.6</v>
      </c>
      <c r="D62" s="20" t="n">
        <v>0.5</v>
      </c>
      <c r="E62" s="7" t="s">
        <v>16</v>
      </c>
      <c r="F62" s="9" t="s">
        <v>103</v>
      </c>
      <c r="G62" s="2"/>
      <c r="H62" s="2"/>
      <c r="I62" s="2"/>
      <c r="J62" s="2"/>
    </row>
    <row r="63" customFormat="false" ht="15" hidden="false" customHeight="false" outlineLevel="0" collapsed="false">
      <c r="A63" s="7" t="s">
        <v>111</v>
      </c>
      <c r="B63" s="20" t="n">
        <v>0.6</v>
      </c>
      <c r="C63" s="20" t="n">
        <v>0.5</v>
      </c>
      <c r="D63" s="20" t="n">
        <v>0.4</v>
      </c>
      <c r="E63" s="7" t="s">
        <v>16</v>
      </c>
      <c r="F63" s="9" t="s">
        <v>112</v>
      </c>
      <c r="G63" s="2"/>
      <c r="H63" s="2"/>
      <c r="I63" s="2"/>
      <c r="J63" s="2"/>
    </row>
    <row r="64" customFormat="false" ht="15" hidden="false" customHeight="false" outlineLevel="0" collapsed="false">
      <c r="A64" s="7" t="s">
        <v>113</v>
      </c>
      <c r="B64" s="21" t="n">
        <v>0.5</v>
      </c>
      <c r="C64" s="21" t="n">
        <v>2</v>
      </c>
      <c r="D64" s="21" t="n">
        <v>5</v>
      </c>
      <c r="E64" s="7" t="s">
        <v>114</v>
      </c>
      <c r="F64" s="9" t="s">
        <v>103</v>
      </c>
      <c r="G64" s="2"/>
      <c r="H64" s="2"/>
      <c r="I64" s="2"/>
      <c r="J64" s="2"/>
    </row>
    <row r="65" customFormat="false" ht="15" hidden="false" customHeight="false" outlineLevel="0" collapsed="false">
      <c r="A65" s="7" t="s">
        <v>115</v>
      </c>
      <c r="B65" s="20" t="n">
        <v>0.3</v>
      </c>
      <c r="C65" s="20" t="n">
        <v>0.4</v>
      </c>
      <c r="D65" s="20" t="n">
        <v>0.5</v>
      </c>
      <c r="E65" s="7" t="s">
        <v>16</v>
      </c>
      <c r="F65" s="9" t="s">
        <v>103</v>
      </c>
      <c r="G65" s="2"/>
      <c r="H65" s="2"/>
      <c r="I65" s="2"/>
      <c r="J65" s="2"/>
    </row>
    <row r="66" customFormat="false" ht="15" hidden="false" customHeight="false" outlineLevel="0" collapsed="false">
      <c r="A66" s="7" t="s">
        <v>116</v>
      </c>
      <c r="B66" s="21" t="n">
        <v>0</v>
      </c>
      <c r="C66" s="21" t="n">
        <v>0.5</v>
      </c>
      <c r="D66" s="21" t="n">
        <v>1</v>
      </c>
      <c r="E66" s="7" t="s">
        <v>114</v>
      </c>
      <c r="F66" s="9" t="s">
        <v>103</v>
      </c>
      <c r="G66" s="2"/>
      <c r="H66" s="2"/>
      <c r="I66" s="2"/>
      <c r="J66" s="2"/>
    </row>
    <row r="67" customFormat="false" ht="15" hidden="false" customHeight="false" outlineLevel="0" collapsed="false">
      <c r="A67" s="7" t="s">
        <v>117</v>
      </c>
      <c r="B67" s="21" t="n">
        <v>4</v>
      </c>
      <c r="C67" s="21" t="n">
        <v>8</v>
      </c>
      <c r="D67" s="21" t="n">
        <v>12</v>
      </c>
      <c r="E67" s="7" t="s">
        <v>118</v>
      </c>
      <c r="F67" s="9" t="s">
        <v>119</v>
      </c>
      <c r="G67" s="2"/>
      <c r="H67" s="2"/>
      <c r="I67" s="2"/>
      <c r="J67" s="2"/>
    </row>
    <row r="68" customFormat="false" ht="26.85" hidden="false" customHeight="false" outlineLevel="0" collapsed="false">
      <c r="A68" s="7" t="s">
        <v>120</v>
      </c>
      <c r="B68" s="14" t="n">
        <v>1</v>
      </c>
      <c r="C68" s="2"/>
      <c r="D68" s="2"/>
      <c r="E68" s="7" t="s">
        <v>121</v>
      </c>
      <c r="F68" s="9" t="s">
        <v>122</v>
      </c>
      <c r="G68" s="2"/>
      <c r="H68" s="2"/>
      <c r="I68" s="2"/>
      <c r="J68" s="2"/>
    </row>
    <row r="69" customFormat="false" ht="26.85" hidden="false" customHeight="false" outlineLevel="0" collapsed="false">
      <c r="A69" s="7" t="s">
        <v>123</v>
      </c>
      <c r="B69" s="19" t="n">
        <v>13</v>
      </c>
      <c r="C69" s="19" t="n">
        <v>10</v>
      </c>
      <c r="D69" s="19" t="n">
        <v>7</v>
      </c>
      <c r="E69" s="7" t="s">
        <v>99</v>
      </c>
      <c r="F69" s="9" t="s">
        <v>124</v>
      </c>
      <c r="G69" s="2"/>
      <c r="H69" s="2"/>
      <c r="I69" s="2"/>
      <c r="J69" s="2"/>
    </row>
    <row r="70" customFormat="false" ht="52.2" hidden="false" customHeight="false" outlineLevel="0" collapsed="false">
      <c r="A70" s="7" t="s">
        <v>125</v>
      </c>
      <c r="B70" s="22" t="n">
        <v>0.05</v>
      </c>
      <c r="C70" s="22" t="n">
        <v>0.1</v>
      </c>
      <c r="D70" s="22" t="n">
        <v>0.2</v>
      </c>
      <c r="E70" s="7" t="s">
        <v>126</v>
      </c>
      <c r="F70" s="9" t="s">
        <v>127</v>
      </c>
      <c r="G70" s="2"/>
      <c r="H70" s="2"/>
      <c r="I70" s="2"/>
      <c r="J70" s="2"/>
    </row>
    <row r="71" customFormat="false" ht="26.85" hidden="false" customHeight="false" outlineLevel="0" collapsed="false">
      <c r="A71" s="7" t="s">
        <v>128</v>
      </c>
      <c r="B71" s="19" t="n">
        <v>5</v>
      </c>
      <c r="C71" s="19" t="n">
        <v>4</v>
      </c>
      <c r="D71" s="19" t="n">
        <v>3</v>
      </c>
      <c r="E71" s="7" t="s">
        <v>99</v>
      </c>
      <c r="F71" s="9" t="s">
        <v>129</v>
      </c>
      <c r="G71" s="2"/>
      <c r="H71" s="2"/>
      <c r="I71" s="2"/>
      <c r="J71" s="2"/>
    </row>
    <row r="72" customFormat="false" ht="15" hidden="false" customHeight="false" outlineLevel="0" collapsed="false">
      <c r="A72" s="7" t="s">
        <v>130</v>
      </c>
      <c r="B72" s="19" t="n">
        <v>300</v>
      </c>
      <c r="C72" s="19" t="n">
        <v>1500</v>
      </c>
      <c r="D72" s="19" t="n">
        <v>5000</v>
      </c>
      <c r="E72" s="7" t="s">
        <v>102</v>
      </c>
      <c r="F72" s="9" t="s">
        <v>131</v>
      </c>
      <c r="G72" s="2"/>
      <c r="H72" s="2"/>
      <c r="I72" s="2"/>
      <c r="J72" s="2"/>
    </row>
    <row r="73" customFormat="false" ht="15" hidden="false" customHeight="false" outlineLevel="0" collapsed="false">
      <c r="A73" s="7" t="s">
        <v>132</v>
      </c>
      <c r="B73" s="14" t="n">
        <v>3</v>
      </c>
      <c r="C73" s="2"/>
      <c r="D73" s="2"/>
      <c r="E73" s="7" t="s">
        <v>121</v>
      </c>
      <c r="F73" s="9" t="s">
        <v>133</v>
      </c>
      <c r="G73" s="2"/>
      <c r="H73" s="2"/>
      <c r="I73" s="2"/>
      <c r="J73" s="2"/>
    </row>
    <row r="74" customFormat="false" ht="15" hidden="false" customHeight="false" outlineLevel="0" collapsed="false">
      <c r="A74" s="7" t="s">
        <v>134</v>
      </c>
      <c r="B74" s="20" t="n">
        <v>0.03</v>
      </c>
      <c r="C74" s="20" t="n">
        <v>0.05</v>
      </c>
      <c r="D74" s="20" t="n">
        <v>0.08</v>
      </c>
      <c r="E74" s="7" t="s">
        <v>16</v>
      </c>
      <c r="F74" s="9" t="s">
        <v>135</v>
      </c>
      <c r="G74" s="2"/>
      <c r="H74" s="2"/>
      <c r="I74" s="2"/>
      <c r="J74" s="2"/>
    </row>
    <row r="75" customFormat="false" ht="15" hidden="false" customHeight="false" outlineLevel="0" collapsed="false">
      <c r="A75" s="7" t="s">
        <v>136</v>
      </c>
      <c r="B75" s="10" t="n">
        <v>0.3</v>
      </c>
      <c r="C75" s="2"/>
      <c r="D75" s="2"/>
      <c r="E75" s="7" t="s">
        <v>16</v>
      </c>
      <c r="F75" s="9" t="s">
        <v>135</v>
      </c>
      <c r="G75" s="2"/>
      <c r="H75" s="2"/>
      <c r="I75" s="2"/>
      <c r="J75" s="2"/>
    </row>
    <row r="76" customFormat="false" ht="15" hidden="false" customHeight="false" outlineLevel="0" collapsed="false">
      <c r="A76" s="7" t="s">
        <v>137</v>
      </c>
      <c r="B76" s="23" t="n">
        <v>5.99</v>
      </c>
      <c r="C76" s="2"/>
      <c r="D76" s="2"/>
      <c r="E76" s="7" t="s">
        <v>126</v>
      </c>
      <c r="F76" s="9" t="s">
        <v>138</v>
      </c>
      <c r="G76" s="2"/>
      <c r="H76" s="2"/>
      <c r="I76" s="2"/>
      <c r="J76" s="2"/>
    </row>
    <row r="77" customFormat="false" ht="15" hidden="false" customHeight="false" outlineLevel="0" collapsed="false">
      <c r="A77" s="7" t="s">
        <v>139</v>
      </c>
      <c r="B77" s="23" t="n">
        <v>59.99</v>
      </c>
      <c r="C77" s="2"/>
      <c r="D77" s="2"/>
      <c r="E77" s="7" t="s">
        <v>126</v>
      </c>
      <c r="F77" s="9" t="s">
        <v>140</v>
      </c>
      <c r="G77" s="2"/>
      <c r="H77" s="2"/>
      <c r="I77" s="2"/>
      <c r="J77" s="2"/>
    </row>
    <row r="78" customFormat="false" ht="15" hidden="false" customHeight="false" outlineLevel="0" collapsed="false">
      <c r="A78" s="7" t="s">
        <v>141</v>
      </c>
      <c r="B78" s="23" t="n">
        <v>7.99</v>
      </c>
      <c r="C78" s="2"/>
      <c r="D78" s="2"/>
      <c r="E78" s="7" t="s">
        <v>126</v>
      </c>
      <c r="F78" s="9" t="s">
        <v>140</v>
      </c>
      <c r="G78" s="2"/>
      <c r="H78" s="2"/>
      <c r="I78" s="2"/>
      <c r="J78" s="2"/>
    </row>
    <row r="79" customFormat="false" ht="15" hidden="false" customHeight="false" outlineLevel="0" collapsed="false">
      <c r="A79" s="7" t="s">
        <v>142</v>
      </c>
      <c r="B79" s="23" t="n">
        <v>79.99</v>
      </c>
      <c r="C79" s="2"/>
      <c r="D79" s="2"/>
      <c r="E79" s="7" t="s">
        <v>126</v>
      </c>
      <c r="F79" s="9" t="s">
        <v>140</v>
      </c>
      <c r="G79" s="2"/>
      <c r="H79" s="2"/>
      <c r="I79" s="2"/>
      <c r="J79" s="2"/>
    </row>
    <row r="80" customFormat="false" ht="15" hidden="false" customHeight="false" outlineLevel="0" collapsed="false">
      <c r="A80" s="7" t="s">
        <v>143</v>
      </c>
      <c r="B80" s="23" t="n">
        <v>59.99</v>
      </c>
      <c r="C80" s="2"/>
      <c r="D80" s="2"/>
      <c r="E80" s="7" t="s">
        <v>126</v>
      </c>
      <c r="F80" s="9" t="s">
        <v>140</v>
      </c>
      <c r="G80" s="2"/>
      <c r="H80" s="2"/>
      <c r="I80" s="2"/>
      <c r="J80" s="2"/>
    </row>
    <row r="81" customFormat="false" ht="15" hidden="false" customHeight="false" outlineLevel="0" collapsed="false">
      <c r="A81" s="7" t="s">
        <v>144</v>
      </c>
      <c r="B81" s="23" t="n">
        <v>74.99</v>
      </c>
      <c r="C81" s="2"/>
      <c r="D81" s="2"/>
      <c r="E81" s="7" t="s">
        <v>126</v>
      </c>
      <c r="F81" s="9" t="s">
        <v>140</v>
      </c>
      <c r="G81" s="2"/>
      <c r="H81" s="2"/>
      <c r="I81" s="2"/>
      <c r="J81" s="2"/>
    </row>
    <row r="82" customFormat="false" ht="15" hidden="false" customHeight="false" outlineLevel="0" collapsed="false">
      <c r="A82" s="7" t="s">
        <v>145</v>
      </c>
      <c r="B82" s="23" t="n">
        <v>149</v>
      </c>
      <c r="C82" s="2"/>
      <c r="D82" s="2"/>
      <c r="E82" s="7" t="s">
        <v>126</v>
      </c>
      <c r="F82" s="9" t="s">
        <v>146</v>
      </c>
      <c r="G82" s="2"/>
      <c r="H82" s="2"/>
      <c r="I82" s="2"/>
      <c r="J82" s="2"/>
    </row>
    <row r="83" customFormat="false" ht="26.85" hidden="false" customHeight="false" outlineLevel="0" collapsed="false">
      <c r="A83" s="7" t="s">
        <v>147</v>
      </c>
      <c r="B83" s="10" t="n">
        <v>0.15</v>
      </c>
      <c r="C83" s="2"/>
      <c r="D83" s="2"/>
      <c r="E83" s="7" t="s">
        <v>16</v>
      </c>
      <c r="F83" s="9" t="s">
        <v>148</v>
      </c>
      <c r="G83" s="2"/>
      <c r="H83" s="2"/>
      <c r="I83" s="2"/>
      <c r="J83" s="2"/>
    </row>
    <row r="84" customFormat="false" ht="15" hidden="false" customHeight="false" outlineLevel="0" collapsed="false">
      <c r="A84" s="7" t="s">
        <v>149</v>
      </c>
      <c r="B84" s="10" t="n">
        <v>0.015</v>
      </c>
      <c r="C84" s="2"/>
      <c r="D84" s="2"/>
      <c r="E84" s="7" t="s">
        <v>16</v>
      </c>
      <c r="F84" s="9" t="s">
        <v>150</v>
      </c>
      <c r="G84" s="2"/>
      <c r="H84" s="2"/>
      <c r="I84" s="2"/>
      <c r="J84" s="2"/>
    </row>
    <row r="85" customFormat="false" ht="15" hidden="false" customHeight="false" outlineLevel="0" collapsed="false">
      <c r="A85" s="7" t="s">
        <v>151</v>
      </c>
      <c r="B85" s="23" t="n">
        <v>0.25</v>
      </c>
      <c r="C85" s="2"/>
      <c r="D85" s="2"/>
      <c r="E85" s="7" t="s">
        <v>126</v>
      </c>
      <c r="F85" s="9" t="s">
        <v>152</v>
      </c>
      <c r="G85" s="2"/>
      <c r="H85" s="2"/>
      <c r="I85" s="2"/>
      <c r="J85" s="2"/>
    </row>
    <row r="86" customFormat="false" ht="15" hidden="false" customHeight="false" outlineLevel="0" collapsed="false">
      <c r="A86" s="7" t="s">
        <v>153</v>
      </c>
      <c r="B86" s="23" t="n">
        <v>0.01</v>
      </c>
      <c r="C86" s="2"/>
      <c r="D86" s="2"/>
      <c r="E86" s="7" t="s">
        <v>154</v>
      </c>
      <c r="F86" s="9" t="s">
        <v>103</v>
      </c>
      <c r="G86" s="2"/>
      <c r="H86" s="2"/>
      <c r="I86" s="2"/>
      <c r="J86" s="2"/>
    </row>
    <row r="87" customFormat="false" ht="15" hidden="false" customHeight="false" outlineLevel="0" collapsed="false">
      <c r="A87" s="7" t="s">
        <v>155</v>
      </c>
      <c r="B87" s="18" t="n">
        <f aca="false">B62*$B$76+(1-B62)*$B$77/12</f>
        <v>5.69275</v>
      </c>
      <c r="C87" s="18" t="n">
        <f aca="false">C62*$B$76+(1-C62)*$B$77/12</f>
        <v>5.59366666666667</v>
      </c>
      <c r="D87" s="18" t="n">
        <f aca="false">D62*$B$76+(1-D62)*$B$77/12</f>
        <v>5.49458333333333</v>
      </c>
      <c r="E87" s="7" t="s">
        <v>126</v>
      </c>
      <c r="F87" s="9" t="s">
        <v>72</v>
      </c>
      <c r="G87" s="2"/>
      <c r="H87" s="2"/>
      <c r="I87" s="2"/>
      <c r="J87" s="2"/>
    </row>
    <row r="88" customFormat="false" ht="15" hidden="false" customHeight="false" outlineLevel="0" collapsed="false">
      <c r="A88" s="7" t="s">
        <v>156</v>
      </c>
      <c r="B88" s="18" t="n">
        <f aca="false">B62*$B$78+(1-B62)*$B$79/12</f>
        <v>7.59275</v>
      </c>
      <c r="C88" s="18" t="n">
        <f aca="false">C62*$B$78+(1-C62)*$B$79/12</f>
        <v>7.46033333333333</v>
      </c>
      <c r="D88" s="18" t="n">
        <f aca="false">D62*$B$78+(1-D62)*$B$79/12</f>
        <v>7.32791666666667</v>
      </c>
      <c r="E88" s="7" t="s">
        <v>126</v>
      </c>
      <c r="F88" s="9" t="s">
        <v>72</v>
      </c>
      <c r="G88" s="2"/>
      <c r="H88" s="2"/>
      <c r="I88" s="2"/>
      <c r="J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customFormat="false" ht="15" hidden="false" customHeight="false" outlineLevel="0" collapsed="false">
      <c r="A90" s="5" t="s">
        <v>157</v>
      </c>
      <c r="B90" s="6"/>
      <c r="C90" s="6"/>
      <c r="D90" s="6"/>
      <c r="E90" s="6"/>
      <c r="F90" s="6"/>
      <c r="G90" s="2"/>
      <c r="H90" s="2"/>
      <c r="I90" s="2"/>
      <c r="J90" s="2"/>
    </row>
    <row r="91" customFormat="false" ht="15" hidden="false" customHeight="false" outlineLevel="0" collapsed="false">
      <c r="A91" s="7" t="s">
        <v>158</v>
      </c>
      <c r="B91" s="19" t="n">
        <v>5</v>
      </c>
      <c r="C91" s="19" t="n">
        <v>4</v>
      </c>
      <c r="D91" s="19" t="n">
        <v>3</v>
      </c>
      <c r="E91" s="7" t="s">
        <v>99</v>
      </c>
      <c r="F91" s="9" t="s">
        <v>159</v>
      </c>
      <c r="G91" s="2"/>
      <c r="H91" s="2"/>
      <c r="I91" s="2"/>
      <c r="J91" s="2"/>
    </row>
    <row r="92" customFormat="false" ht="15" hidden="false" customHeight="false" outlineLevel="0" collapsed="false">
      <c r="A92" s="7" t="s">
        <v>160</v>
      </c>
      <c r="B92" s="21" t="n">
        <v>0.3</v>
      </c>
      <c r="C92" s="21" t="n">
        <v>0.7</v>
      </c>
      <c r="D92" s="21" t="n">
        <v>1.5</v>
      </c>
      <c r="E92" s="7" t="s">
        <v>114</v>
      </c>
      <c r="F92" s="9" t="s">
        <v>103</v>
      </c>
      <c r="G92" s="2"/>
      <c r="H92" s="2"/>
      <c r="I92" s="2"/>
      <c r="J92" s="2"/>
    </row>
    <row r="93" customFormat="false" ht="15" hidden="false" customHeight="false" outlineLevel="0" collapsed="false">
      <c r="A93" s="7" t="s">
        <v>161</v>
      </c>
      <c r="B93" s="20" t="n">
        <v>0.3</v>
      </c>
      <c r="C93" s="20" t="n">
        <v>0.3</v>
      </c>
      <c r="D93" s="20" t="n">
        <v>0.2</v>
      </c>
      <c r="E93" s="7" t="s">
        <v>16</v>
      </c>
      <c r="F93" s="9" t="s">
        <v>162</v>
      </c>
      <c r="G93" s="2"/>
      <c r="H93" s="2"/>
      <c r="I93" s="2"/>
      <c r="J93" s="2"/>
    </row>
    <row r="94" customFormat="false" ht="15" hidden="false" customHeight="false" outlineLevel="0" collapsed="false">
      <c r="A94" s="7" t="s">
        <v>163</v>
      </c>
      <c r="B94" s="20" t="n">
        <v>0.3</v>
      </c>
      <c r="C94" s="20" t="n">
        <v>0.4</v>
      </c>
      <c r="D94" s="20" t="n">
        <v>0.5</v>
      </c>
      <c r="E94" s="7" t="s">
        <v>16</v>
      </c>
      <c r="F94" s="9" t="s">
        <v>103</v>
      </c>
      <c r="G94" s="2"/>
      <c r="H94" s="2"/>
      <c r="I94" s="2"/>
      <c r="J94" s="2"/>
    </row>
    <row r="95" customFormat="false" ht="15" hidden="false" customHeight="false" outlineLevel="0" collapsed="false">
      <c r="A95" s="7" t="s">
        <v>164</v>
      </c>
      <c r="B95" s="14" t="n">
        <v>3</v>
      </c>
      <c r="C95" s="2"/>
      <c r="D95" s="2"/>
      <c r="E95" s="7" t="s">
        <v>121</v>
      </c>
      <c r="F95" s="9" t="s">
        <v>165</v>
      </c>
      <c r="G95" s="2"/>
      <c r="H95" s="2"/>
      <c r="I95" s="2"/>
      <c r="J95" s="2"/>
    </row>
    <row r="96" customFormat="false" ht="15" hidden="false" customHeight="false" outlineLevel="0" collapsed="false">
      <c r="A96" s="7" t="s">
        <v>166</v>
      </c>
      <c r="B96" s="21" t="n">
        <v>5</v>
      </c>
      <c r="C96" s="21" t="n">
        <v>5</v>
      </c>
      <c r="D96" s="21" t="n">
        <v>8</v>
      </c>
      <c r="E96" s="7" t="s">
        <v>167</v>
      </c>
      <c r="F96" s="9" t="s">
        <v>103</v>
      </c>
      <c r="G96" s="2"/>
      <c r="H96" s="2"/>
      <c r="I96" s="2"/>
      <c r="J96" s="2"/>
    </row>
    <row r="97" customFormat="false" ht="15" hidden="false" customHeight="false" outlineLevel="0" collapsed="false">
      <c r="A97" s="7" t="s">
        <v>168</v>
      </c>
      <c r="B97" s="21" t="n">
        <v>0</v>
      </c>
      <c r="C97" s="21" t="n">
        <v>1</v>
      </c>
      <c r="D97" s="21" t="n">
        <v>3</v>
      </c>
      <c r="E97" s="7" t="s">
        <v>167</v>
      </c>
      <c r="F97" s="9" t="s">
        <v>103</v>
      </c>
      <c r="G97" s="2"/>
      <c r="H97" s="2"/>
      <c r="I97" s="2"/>
      <c r="J97" s="2"/>
    </row>
    <row r="98" customFormat="false" ht="15" hidden="false" customHeight="false" outlineLevel="0" collapsed="false">
      <c r="A98" s="7" t="s">
        <v>169</v>
      </c>
      <c r="B98" s="20" t="n">
        <v>0.5</v>
      </c>
      <c r="C98" s="20" t="n">
        <v>0.5</v>
      </c>
      <c r="D98" s="20" t="n">
        <v>0.6</v>
      </c>
      <c r="E98" s="7" t="s">
        <v>16</v>
      </c>
      <c r="F98" s="9" t="s">
        <v>103</v>
      </c>
      <c r="G98" s="2"/>
      <c r="H98" s="2"/>
      <c r="I98" s="2"/>
      <c r="J98" s="2"/>
    </row>
    <row r="99" customFormat="false" ht="15" hidden="false" customHeight="false" outlineLevel="0" collapsed="false">
      <c r="A99" s="7" t="s">
        <v>170</v>
      </c>
      <c r="B99" s="21" t="n">
        <v>0</v>
      </c>
      <c r="C99" s="21" t="n">
        <v>0.5</v>
      </c>
      <c r="D99" s="21" t="n">
        <v>2</v>
      </c>
      <c r="E99" s="7" t="s">
        <v>167</v>
      </c>
      <c r="F99" s="9" t="s">
        <v>103</v>
      </c>
      <c r="G99" s="2"/>
      <c r="H99" s="2"/>
      <c r="I99" s="2"/>
      <c r="J99" s="2"/>
    </row>
    <row r="100" customFormat="false" ht="15" hidden="false" customHeight="false" outlineLevel="0" collapsed="false">
      <c r="A100" s="7" t="s">
        <v>171</v>
      </c>
      <c r="B100" s="10" t="n">
        <v>0.5</v>
      </c>
      <c r="C100" s="2"/>
      <c r="D100" s="2"/>
      <c r="E100" s="7" t="s">
        <v>16</v>
      </c>
      <c r="F100" s="9" t="s">
        <v>103</v>
      </c>
      <c r="G100" s="2"/>
      <c r="H100" s="2"/>
      <c r="I100" s="2"/>
      <c r="J100" s="2"/>
    </row>
    <row r="101" customFormat="false" ht="15" hidden="false" customHeight="false" outlineLevel="0" collapsed="false">
      <c r="A101" s="7" t="s">
        <v>172</v>
      </c>
      <c r="B101" s="21" t="n">
        <v>0</v>
      </c>
      <c r="C101" s="21" t="n">
        <v>5</v>
      </c>
      <c r="D101" s="21" t="n">
        <v>20</v>
      </c>
      <c r="E101" s="7" t="s">
        <v>173</v>
      </c>
      <c r="F101" s="9" t="s">
        <v>103</v>
      </c>
      <c r="G101" s="2"/>
      <c r="H101" s="2"/>
      <c r="I101" s="2"/>
      <c r="J101" s="2"/>
    </row>
    <row r="102" customFormat="false" ht="15" hidden="false" customHeight="false" outlineLevel="0" collapsed="false">
      <c r="A102" s="7" t="s">
        <v>174</v>
      </c>
      <c r="B102" s="19" t="n">
        <v>0</v>
      </c>
      <c r="C102" s="19" t="n">
        <v>50</v>
      </c>
      <c r="D102" s="19" t="n">
        <v>300</v>
      </c>
      <c r="E102" s="7" t="s">
        <v>175</v>
      </c>
      <c r="F102" s="9" t="s">
        <v>103</v>
      </c>
      <c r="G102" s="2"/>
      <c r="H102" s="2"/>
      <c r="I102" s="2"/>
      <c r="J102" s="2"/>
    </row>
    <row r="103" customFormat="false" ht="15" hidden="false" customHeight="false" outlineLevel="0" collapsed="false">
      <c r="A103" s="7" t="s">
        <v>176</v>
      </c>
      <c r="B103" s="19" t="n">
        <v>0</v>
      </c>
      <c r="C103" s="19" t="n">
        <v>0</v>
      </c>
      <c r="D103" s="19" t="n">
        <v>100</v>
      </c>
      <c r="E103" s="7" t="s">
        <v>175</v>
      </c>
      <c r="F103" s="9" t="s">
        <v>103</v>
      </c>
      <c r="G103" s="2"/>
      <c r="H103" s="2"/>
      <c r="I103" s="2"/>
      <c r="J103" s="2"/>
    </row>
    <row r="104" customFormat="false" ht="15" hidden="false" customHeight="false" outlineLevel="0" collapsed="false">
      <c r="A104" s="7" t="s">
        <v>177</v>
      </c>
      <c r="B104" s="21" t="n">
        <v>0</v>
      </c>
      <c r="C104" s="21" t="n">
        <v>1</v>
      </c>
      <c r="D104" s="21" t="n">
        <v>4</v>
      </c>
      <c r="E104" s="7" t="s">
        <v>178</v>
      </c>
      <c r="F104" s="9" t="s">
        <v>103</v>
      </c>
      <c r="G104" s="2"/>
      <c r="H104" s="2"/>
      <c r="I104" s="2"/>
      <c r="J104" s="2"/>
    </row>
    <row r="105" customFormat="false" ht="15" hidden="false" customHeight="false" outlineLevel="0" collapsed="false">
      <c r="A105" s="7" t="s">
        <v>179</v>
      </c>
      <c r="B105" s="11" t="n">
        <v>490</v>
      </c>
      <c r="C105" s="2"/>
      <c r="D105" s="2"/>
      <c r="E105" s="7" t="s">
        <v>126</v>
      </c>
      <c r="F105" s="9" t="s">
        <v>180</v>
      </c>
      <c r="G105" s="2"/>
      <c r="H105" s="2"/>
      <c r="I105" s="2"/>
      <c r="J105" s="2"/>
    </row>
    <row r="106" customFormat="false" ht="39.55" hidden="false" customHeight="false" outlineLevel="0" collapsed="false">
      <c r="A106" s="7" t="s">
        <v>181</v>
      </c>
      <c r="B106" s="11" t="n">
        <v>149</v>
      </c>
      <c r="C106" s="2"/>
      <c r="D106" s="2"/>
      <c r="E106" s="7" t="s">
        <v>126</v>
      </c>
      <c r="F106" s="9" t="s">
        <v>182</v>
      </c>
      <c r="G106" s="2"/>
      <c r="H106" s="2"/>
      <c r="I106" s="2"/>
      <c r="J106" s="2"/>
    </row>
    <row r="107" customFormat="false" ht="26.85" hidden="false" customHeight="false" outlineLevel="0" collapsed="false">
      <c r="A107" s="7" t="s">
        <v>183</v>
      </c>
      <c r="B107" s="11" t="n">
        <v>390</v>
      </c>
      <c r="C107" s="2"/>
      <c r="D107" s="2"/>
      <c r="E107" s="7" t="s">
        <v>126</v>
      </c>
      <c r="F107" s="9" t="s">
        <v>184</v>
      </c>
      <c r="G107" s="2"/>
      <c r="H107" s="2"/>
      <c r="I107" s="2"/>
      <c r="J107" s="2"/>
    </row>
    <row r="108" customFormat="false" ht="15" hidden="false" customHeight="false" outlineLevel="0" collapsed="false">
      <c r="A108" s="7" t="s">
        <v>185</v>
      </c>
      <c r="B108" s="11" t="n">
        <v>190</v>
      </c>
      <c r="C108" s="2"/>
      <c r="D108" s="2"/>
      <c r="E108" s="7" t="s">
        <v>126</v>
      </c>
      <c r="F108" s="9" t="s">
        <v>186</v>
      </c>
      <c r="G108" s="2"/>
      <c r="H108" s="2"/>
      <c r="I108" s="2"/>
      <c r="J108" s="2"/>
    </row>
    <row r="109" customFormat="false" ht="15" hidden="false" customHeight="false" outlineLevel="0" collapsed="false">
      <c r="A109" s="7" t="s">
        <v>187</v>
      </c>
      <c r="B109" s="14" t="n">
        <v>15</v>
      </c>
      <c r="C109" s="2"/>
      <c r="D109" s="2"/>
      <c r="E109" s="7" t="s">
        <v>60</v>
      </c>
      <c r="F109" s="9" t="s">
        <v>188</v>
      </c>
      <c r="G109" s="2"/>
      <c r="H109" s="2"/>
      <c r="I109" s="2"/>
      <c r="J109" s="2"/>
    </row>
    <row r="110" customFormat="false" ht="15" hidden="false" customHeight="false" outlineLevel="0" collapsed="false">
      <c r="A110" s="7" t="s">
        <v>189</v>
      </c>
      <c r="B110" s="11" t="n">
        <v>95</v>
      </c>
      <c r="C110" s="2"/>
      <c r="D110" s="2"/>
      <c r="E110" s="7" t="s">
        <v>126</v>
      </c>
      <c r="F110" s="9" t="s">
        <v>190</v>
      </c>
      <c r="G110" s="2"/>
      <c r="H110" s="2"/>
      <c r="I110" s="2"/>
      <c r="J110" s="2"/>
    </row>
    <row r="111" customFormat="false" ht="15" hidden="false" customHeight="false" outlineLevel="0" collapsed="false">
      <c r="A111" s="7" t="s">
        <v>191</v>
      </c>
      <c r="B111" s="24" t="n">
        <f aca="false">MAX($B$110,$B$47*$B$109/60*$B$11)</f>
        <v>129.032258064516</v>
      </c>
      <c r="C111" s="2"/>
      <c r="D111" s="2"/>
      <c r="E111" s="7" t="s">
        <v>126</v>
      </c>
      <c r="F111" s="9" t="s">
        <v>192</v>
      </c>
      <c r="G111" s="2"/>
      <c r="H111" s="2"/>
      <c r="I111" s="2"/>
      <c r="J111" s="2"/>
    </row>
    <row r="112" customFormat="false" ht="26.85" hidden="false" customHeight="false" outlineLevel="0" collapsed="false">
      <c r="A112" s="7" t="s">
        <v>193</v>
      </c>
      <c r="B112" s="11" t="n">
        <v>89</v>
      </c>
      <c r="C112" s="2"/>
      <c r="D112" s="2"/>
      <c r="E112" s="7" t="s">
        <v>126</v>
      </c>
      <c r="F112" s="9" t="s">
        <v>194</v>
      </c>
      <c r="G112" s="2"/>
      <c r="H112" s="2"/>
      <c r="I112" s="2"/>
      <c r="J112" s="2"/>
    </row>
    <row r="113" customFormat="false" ht="26.85" hidden="false" customHeight="false" outlineLevel="0" collapsed="false">
      <c r="A113" s="7" t="s">
        <v>195</v>
      </c>
      <c r="B113" s="23" t="n">
        <v>6</v>
      </c>
      <c r="C113" s="2"/>
      <c r="D113" s="2"/>
      <c r="E113" s="7" t="s">
        <v>126</v>
      </c>
      <c r="F113" s="9" t="s">
        <v>196</v>
      </c>
      <c r="G113" s="2"/>
      <c r="H113" s="2"/>
      <c r="I113" s="2"/>
      <c r="J113" s="2"/>
    </row>
    <row r="114" customFormat="false" ht="15" hidden="false" customHeight="false" outlineLevel="0" collapsed="false">
      <c r="A114" s="7" t="s">
        <v>197</v>
      </c>
      <c r="B114" s="23" t="n">
        <v>4</v>
      </c>
      <c r="C114" s="2"/>
      <c r="D114" s="2"/>
      <c r="E114" s="7" t="s">
        <v>126</v>
      </c>
      <c r="F114" s="9" t="s">
        <v>198</v>
      </c>
      <c r="G114" s="2"/>
      <c r="H114" s="2"/>
      <c r="I114" s="2"/>
      <c r="J114" s="2"/>
    </row>
    <row r="115" customFormat="false" ht="15" hidden="false" customHeight="false" outlineLevel="0" collapsed="false">
      <c r="A115" s="7" t="s">
        <v>199</v>
      </c>
      <c r="B115" s="11" t="n">
        <v>49</v>
      </c>
      <c r="C115" s="2"/>
      <c r="D115" s="2"/>
      <c r="E115" s="7" t="s">
        <v>126</v>
      </c>
      <c r="F115" s="9" t="s">
        <v>200</v>
      </c>
      <c r="G115" s="2"/>
      <c r="H115" s="2"/>
      <c r="I115" s="2"/>
      <c r="J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customFormat="false" ht="15" hidden="false" customHeight="false" outlineLevel="0" collapsed="false">
      <c r="A117" s="5" t="s">
        <v>201</v>
      </c>
      <c r="B117" s="6"/>
      <c r="C117" s="6"/>
      <c r="D117" s="6"/>
      <c r="E117" s="6"/>
      <c r="F117" s="6"/>
      <c r="G117" s="2"/>
      <c r="H117" s="2"/>
      <c r="I117" s="2"/>
      <c r="J117" s="2"/>
    </row>
    <row r="118" customFormat="false" ht="15" hidden="false" customHeight="false" outlineLevel="0" collapsed="false">
      <c r="A118" s="7" t="s">
        <v>202</v>
      </c>
      <c r="B118" s="19" t="n">
        <v>6</v>
      </c>
      <c r="C118" s="19" t="n">
        <v>4</v>
      </c>
      <c r="D118" s="19" t="n">
        <v>3</v>
      </c>
      <c r="E118" s="7" t="s">
        <v>99</v>
      </c>
      <c r="F118" s="9" t="s">
        <v>203</v>
      </c>
      <c r="G118" s="2"/>
      <c r="H118" s="2"/>
      <c r="I118" s="2"/>
      <c r="J118" s="2"/>
    </row>
    <row r="119" customFormat="false" ht="15" hidden="false" customHeight="false" outlineLevel="0" collapsed="false">
      <c r="A119" s="7" t="s">
        <v>204</v>
      </c>
      <c r="B119" s="21" t="n">
        <v>2</v>
      </c>
      <c r="C119" s="21" t="n">
        <v>5</v>
      </c>
      <c r="D119" s="21" t="n">
        <v>10</v>
      </c>
      <c r="E119" s="7" t="s">
        <v>167</v>
      </c>
      <c r="F119" s="9" t="s">
        <v>103</v>
      </c>
      <c r="G119" s="2"/>
      <c r="H119" s="2"/>
      <c r="I119" s="2"/>
      <c r="J119" s="2"/>
    </row>
    <row r="120" customFormat="false" ht="15" hidden="false" customHeight="false" outlineLevel="0" collapsed="false">
      <c r="A120" s="7" t="s">
        <v>205</v>
      </c>
      <c r="B120" s="21" t="n">
        <v>1</v>
      </c>
      <c r="C120" s="21" t="n">
        <v>3</v>
      </c>
      <c r="D120" s="21" t="n">
        <v>6</v>
      </c>
      <c r="E120" s="7" t="s">
        <v>206</v>
      </c>
      <c r="F120" s="9" t="s">
        <v>103</v>
      </c>
      <c r="G120" s="2"/>
      <c r="H120" s="2"/>
      <c r="I120" s="2"/>
      <c r="J120" s="2"/>
    </row>
    <row r="121" customFormat="false" ht="15" hidden="false" customHeight="false" outlineLevel="0" collapsed="false">
      <c r="A121" s="7" t="s">
        <v>207</v>
      </c>
      <c r="B121" s="21" t="n">
        <v>1</v>
      </c>
      <c r="C121" s="21" t="n">
        <v>3</v>
      </c>
      <c r="D121" s="21" t="n">
        <v>6</v>
      </c>
      <c r="E121" s="7" t="s">
        <v>206</v>
      </c>
      <c r="F121" s="9" t="s">
        <v>103</v>
      </c>
      <c r="G121" s="2"/>
      <c r="H121" s="2"/>
      <c r="I121" s="2"/>
      <c r="J121" s="2"/>
    </row>
    <row r="122" customFormat="false" ht="15" hidden="false" customHeight="false" outlineLevel="0" collapsed="false">
      <c r="A122" s="7" t="s">
        <v>208</v>
      </c>
      <c r="B122" s="21" t="n">
        <v>0.2</v>
      </c>
      <c r="C122" s="21" t="n">
        <v>0.4</v>
      </c>
      <c r="D122" s="21" t="n">
        <v>0.8</v>
      </c>
      <c r="E122" s="7" t="s">
        <v>114</v>
      </c>
      <c r="F122" s="9" t="s">
        <v>209</v>
      </c>
      <c r="G122" s="2"/>
      <c r="H122" s="2"/>
      <c r="I122" s="2"/>
      <c r="J122" s="2"/>
    </row>
    <row r="123" customFormat="false" ht="15" hidden="false" customHeight="false" outlineLevel="0" collapsed="false">
      <c r="A123" s="7" t="s">
        <v>210</v>
      </c>
      <c r="B123" s="21" t="n">
        <v>0.1</v>
      </c>
      <c r="C123" s="21" t="n">
        <v>0.3</v>
      </c>
      <c r="D123" s="21" t="n">
        <v>0.6</v>
      </c>
      <c r="E123" s="7" t="s">
        <v>114</v>
      </c>
      <c r="F123" s="9" t="s">
        <v>103</v>
      </c>
      <c r="G123" s="2"/>
      <c r="H123" s="2"/>
      <c r="I123" s="2"/>
      <c r="J123" s="2"/>
    </row>
    <row r="124" customFormat="false" ht="15" hidden="false" customHeight="false" outlineLevel="0" collapsed="false">
      <c r="A124" s="7" t="s">
        <v>211</v>
      </c>
      <c r="B124" s="21" t="n">
        <v>0.2</v>
      </c>
      <c r="C124" s="21" t="n">
        <v>0.4</v>
      </c>
      <c r="D124" s="21" t="n">
        <v>0.8</v>
      </c>
      <c r="E124" s="7" t="s">
        <v>114</v>
      </c>
      <c r="F124" s="9" t="s">
        <v>103</v>
      </c>
      <c r="G124" s="2"/>
      <c r="H124" s="2"/>
      <c r="I124" s="2"/>
      <c r="J124" s="2"/>
    </row>
    <row r="125" customFormat="false" ht="15" hidden="false" customHeight="false" outlineLevel="0" collapsed="false">
      <c r="A125" s="7" t="s">
        <v>212</v>
      </c>
      <c r="B125" s="23" t="n">
        <v>2.99</v>
      </c>
      <c r="C125" s="2"/>
      <c r="D125" s="2"/>
      <c r="E125" s="7" t="s">
        <v>126</v>
      </c>
      <c r="F125" s="9" t="s">
        <v>190</v>
      </c>
      <c r="G125" s="2"/>
      <c r="H125" s="2"/>
      <c r="I125" s="2"/>
      <c r="J125" s="2"/>
    </row>
    <row r="126" customFormat="false" ht="15" hidden="false" customHeight="false" outlineLevel="0" collapsed="false">
      <c r="A126" s="7" t="s">
        <v>213</v>
      </c>
      <c r="B126" s="23" t="n">
        <v>7.99</v>
      </c>
      <c r="C126" s="2"/>
      <c r="D126" s="2"/>
      <c r="E126" s="7" t="s">
        <v>126</v>
      </c>
      <c r="F126" s="9" t="s">
        <v>190</v>
      </c>
      <c r="G126" s="2"/>
      <c r="H126" s="2"/>
      <c r="I126" s="2"/>
      <c r="J126" s="2"/>
    </row>
    <row r="127" customFormat="false" ht="15" hidden="false" customHeight="false" outlineLevel="0" collapsed="false">
      <c r="A127" s="7" t="s">
        <v>214</v>
      </c>
      <c r="B127" s="23" t="n">
        <v>4.99</v>
      </c>
      <c r="C127" s="2"/>
      <c r="D127" s="2"/>
      <c r="E127" s="7" t="s">
        <v>126</v>
      </c>
      <c r="F127" s="9" t="s">
        <v>190</v>
      </c>
      <c r="G127" s="2"/>
      <c r="H127" s="2"/>
      <c r="I127" s="2"/>
      <c r="J127" s="2"/>
    </row>
    <row r="128" customFormat="false" ht="15" hidden="false" customHeight="false" outlineLevel="0" collapsed="false">
      <c r="A128" s="7" t="s">
        <v>215</v>
      </c>
      <c r="B128" s="10" t="n">
        <v>0.5</v>
      </c>
      <c r="C128" s="2"/>
      <c r="D128" s="2"/>
      <c r="E128" s="7" t="s">
        <v>16</v>
      </c>
      <c r="F128" s="9" t="s">
        <v>103</v>
      </c>
      <c r="G128" s="2"/>
      <c r="H128" s="2"/>
      <c r="I128" s="2"/>
      <c r="J128" s="2"/>
    </row>
    <row r="129" customFormat="false" ht="26.85" hidden="false" customHeight="false" outlineLevel="0" collapsed="false">
      <c r="A129" s="7" t="s">
        <v>216</v>
      </c>
      <c r="B129" s="10" t="n">
        <v>0.35</v>
      </c>
      <c r="C129" s="2"/>
      <c r="D129" s="2"/>
      <c r="E129" s="7" t="s">
        <v>16</v>
      </c>
      <c r="F129" s="9" t="s">
        <v>217</v>
      </c>
      <c r="G129" s="2"/>
      <c r="H129" s="2"/>
      <c r="I129" s="2"/>
      <c r="J129" s="2"/>
    </row>
    <row r="130" customFormat="false" ht="26.85" hidden="false" customHeight="false" outlineLevel="0" collapsed="false">
      <c r="A130" s="7" t="s">
        <v>218</v>
      </c>
      <c r="B130" s="10" t="n">
        <v>0.7</v>
      </c>
      <c r="C130" s="2"/>
      <c r="D130" s="2"/>
      <c r="E130" s="7" t="s">
        <v>16</v>
      </c>
      <c r="F130" s="9" t="s">
        <v>219</v>
      </c>
      <c r="G130" s="2"/>
      <c r="H130" s="2"/>
      <c r="I130" s="2"/>
      <c r="J130" s="2"/>
    </row>
    <row r="131" customFormat="false" ht="15" hidden="false" customHeight="false" outlineLevel="0" collapsed="false">
      <c r="A131" s="7" t="s">
        <v>220</v>
      </c>
      <c r="B131" s="10" t="n">
        <v>0.5</v>
      </c>
      <c r="C131" s="2"/>
      <c r="D131" s="2"/>
      <c r="E131" s="7" t="s">
        <v>16</v>
      </c>
      <c r="F131" s="9" t="s">
        <v>221</v>
      </c>
      <c r="G131" s="2"/>
      <c r="H131" s="2"/>
      <c r="I131" s="2"/>
      <c r="J131" s="2"/>
    </row>
    <row r="132" customFormat="false" ht="15" hidden="false" customHeight="false" outlineLevel="0" collapsed="false">
      <c r="A132" s="7" t="s">
        <v>222</v>
      </c>
      <c r="B132" s="10" t="n">
        <v>0.7</v>
      </c>
      <c r="C132" s="2"/>
      <c r="D132" s="2"/>
      <c r="E132" s="7" t="s">
        <v>16</v>
      </c>
      <c r="F132" s="9" t="s">
        <v>223</v>
      </c>
      <c r="G132" s="2"/>
      <c r="H132" s="2"/>
      <c r="I132" s="2"/>
      <c r="J132" s="2"/>
    </row>
    <row r="133" customFormat="false" ht="15" hidden="false" customHeight="false" outlineLevel="0" collapsed="false">
      <c r="A133" s="7" t="s">
        <v>224</v>
      </c>
      <c r="B133" s="10" t="n">
        <v>0.4</v>
      </c>
      <c r="C133" s="2"/>
      <c r="D133" s="2"/>
      <c r="E133" s="7" t="s">
        <v>16</v>
      </c>
      <c r="F133" s="9" t="s">
        <v>225</v>
      </c>
      <c r="G133" s="2"/>
      <c r="H133" s="2"/>
      <c r="I133" s="2"/>
      <c r="J133" s="2"/>
    </row>
    <row r="134" customFormat="false" ht="15" hidden="false" customHeight="false" outlineLevel="0" collapsed="false">
      <c r="A134" s="7" t="s">
        <v>226</v>
      </c>
      <c r="B134" s="19" t="n">
        <v>13</v>
      </c>
      <c r="C134" s="19" t="n">
        <v>10</v>
      </c>
      <c r="D134" s="19" t="n">
        <v>7</v>
      </c>
      <c r="E134" s="7" t="s">
        <v>99</v>
      </c>
      <c r="F134" s="9" t="s">
        <v>227</v>
      </c>
      <c r="G134" s="2"/>
      <c r="H134" s="2"/>
      <c r="I134" s="2"/>
      <c r="J134" s="2"/>
    </row>
    <row r="135" customFormat="false" ht="15" hidden="false" customHeight="false" outlineLevel="0" collapsed="false">
      <c r="A135" s="7" t="s">
        <v>228</v>
      </c>
      <c r="B135" s="21" t="n">
        <v>0</v>
      </c>
      <c r="C135" s="21" t="n">
        <v>0.5</v>
      </c>
      <c r="D135" s="21" t="n">
        <v>2</v>
      </c>
      <c r="E135" s="7" t="s">
        <v>167</v>
      </c>
      <c r="F135" s="9" t="s">
        <v>103</v>
      </c>
      <c r="G135" s="2"/>
      <c r="H135" s="2"/>
      <c r="I135" s="2"/>
      <c r="J135" s="2"/>
    </row>
    <row r="136" customFormat="false" ht="15" hidden="false" customHeight="false" outlineLevel="0" collapsed="false">
      <c r="A136" s="7" t="s">
        <v>229</v>
      </c>
      <c r="B136" s="11" t="n">
        <v>390</v>
      </c>
      <c r="C136" s="2"/>
      <c r="D136" s="2"/>
      <c r="E136" s="7" t="s">
        <v>126</v>
      </c>
      <c r="F136" s="9" t="s">
        <v>230</v>
      </c>
      <c r="G136" s="2"/>
      <c r="H136" s="2"/>
      <c r="I136" s="2"/>
      <c r="J136" s="2"/>
    </row>
    <row r="137" customFormat="false" ht="15" hidden="false" customHeight="false" outlineLevel="0" collapsed="false">
      <c r="A137" s="7" t="s">
        <v>231</v>
      </c>
      <c r="B137" s="23" t="n">
        <v>0</v>
      </c>
      <c r="C137" s="2"/>
      <c r="D137" s="2"/>
      <c r="E137" s="7" t="s">
        <v>126</v>
      </c>
      <c r="F137" s="9" t="s">
        <v>232</v>
      </c>
      <c r="G137" s="2"/>
      <c r="H137" s="2"/>
      <c r="I137" s="2"/>
      <c r="J137" s="2"/>
    </row>
    <row r="138" customFormat="false" ht="15" hidden="false" customHeight="false" outlineLevel="0" collapsed="false">
      <c r="A138" s="7" t="s">
        <v>233</v>
      </c>
      <c r="B138" s="25" t="n">
        <f aca="false">$B$128*$B$129+(1-$B$128)*$B$130</f>
        <v>0.525</v>
      </c>
      <c r="C138" s="2"/>
      <c r="D138" s="2"/>
      <c r="E138" s="7" t="s">
        <v>16</v>
      </c>
      <c r="F138" s="9" t="s">
        <v>72</v>
      </c>
      <c r="G138" s="2"/>
      <c r="H138" s="2"/>
      <c r="I138" s="2"/>
      <c r="J138" s="2"/>
    </row>
    <row r="139" customFormat="false" ht="15" hidden="false" customHeight="false" outlineLevel="0" collapsed="false">
      <c r="A139" s="7" t="s">
        <v>234</v>
      </c>
      <c r="B139" s="25" t="n">
        <f aca="false">$B$131*$B$132+(1-$B$131)*$B$133</f>
        <v>0.55</v>
      </c>
      <c r="C139" s="2"/>
      <c r="D139" s="2"/>
      <c r="E139" s="7" t="s">
        <v>16</v>
      </c>
      <c r="F139" s="9" t="s">
        <v>72</v>
      </c>
      <c r="G139" s="2"/>
      <c r="H139" s="2"/>
      <c r="I139" s="2"/>
      <c r="J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customFormat="false" ht="15" hidden="false" customHeight="false" outlineLevel="0" collapsed="false">
      <c r="A141" s="5" t="s">
        <v>235</v>
      </c>
      <c r="B141" s="6"/>
      <c r="C141" s="6"/>
      <c r="D141" s="6"/>
      <c r="E141" s="6"/>
      <c r="F141" s="6"/>
      <c r="G141" s="2"/>
      <c r="H141" s="2"/>
      <c r="I141" s="2"/>
      <c r="J141" s="2"/>
    </row>
    <row r="142" customFormat="false" ht="15" hidden="false" customHeight="false" outlineLevel="0" collapsed="false">
      <c r="A142" s="7" t="s">
        <v>236</v>
      </c>
      <c r="B142" s="26" t="s">
        <v>237</v>
      </c>
      <c r="C142" s="26" t="s">
        <v>238</v>
      </c>
      <c r="D142" s="26" t="s">
        <v>239</v>
      </c>
      <c r="E142" s="7"/>
      <c r="F142" s="9" t="s">
        <v>240</v>
      </c>
      <c r="G142" s="2"/>
      <c r="H142" s="2"/>
      <c r="I142" s="2"/>
      <c r="J142" s="2"/>
    </row>
    <row r="143" customFormat="false" ht="15" hidden="false" customHeight="false" outlineLevel="0" collapsed="false">
      <c r="A143" s="7" t="s">
        <v>241</v>
      </c>
      <c r="B143" s="27" t="n">
        <v>200</v>
      </c>
      <c r="C143" s="27" t="n">
        <v>500</v>
      </c>
      <c r="D143" s="27" t="n">
        <v>2000</v>
      </c>
      <c r="E143" s="7" t="s">
        <v>126</v>
      </c>
      <c r="F143" s="9" t="s">
        <v>242</v>
      </c>
      <c r="G143" s="2"/>
      <c r="H143" s="2"/>
      <c r="I143" s="2"/>
      <c r="J143" s="2"/>
    </row>
    <row r="144" customFormat="false" ht="15" hidden="false" customHeight="false" outlineLevel="0" collapsed="false">
      <c r="A144" s="7" t="s">
        <v>243</v>
      </c>
      <c r="B144" s="27" t="n">
        <v>50</v>
      </c>
      <c r="C144" s="27" t="n">
        <v>150</v>
      </c>
      <c r="D144" s="27" t="n">
        <v>400</v>
      </c>
      <c r="E144" s="7" t="s">
        <v>126</v>
      </c>
      <c r="F144" s="9" t="s">
        <v>244</v>
      </c>
      <c r="G144" s="2"/>
      <c r="H144" s="2"/>
      <c r="I144" s="2"/>
      <c r="J144" s="2"/>
    </row>
    <row r="145" customFormat="false" ht="15" hidden="false" customHeight="false" outlineLevel="0" collapsed="false">
      <c r="A145" s="7" t="s">
        <v>245</v>
      </c>
      <c r="B145" s="27" t="n">
        <v>0</v>
      </c>
      <c r="C145" s="27" t="n">
        <v>100</v>
      </c>
      <c r="D145" s="27" t="n">
        <v>300</v>
      </c>
      <c r="E145" s="7" t="s">
        <v>126</v>
      </c>
      <c r="F145" s="9" t="s">
        <v>246</v>
      </c>
      <c r="G145" s="2"/>
      <c r="H145" s="2"/>
      <c r="I145" s="2"/>
      <c r="J145" s="2"/>
    </row>
    <row r="146" customFormat="false" ht="15" hidden="false" customHeight="false" outlineLevel="0" collapsed="false">
      <c r="A146" s="7" t="s">
        <v>247</v>
      </c>
      <c r="B146" s="11" t="n">
        <v>4500</v>
      </c>
      <c r="C146" s="2"/>
      <c r="D146" s="2"/>
      <c r="E146" s="7" t="s">
        <v>126</v>
      </c>
      <c r="F146" s="9" t="s">
        <v>248</v>
      </c>
      <c r="G146" s="2"/>
      <c r="H146" s="2"/>
      <c r="I146" s="2"/>
      <c r="J146" s="2"/>
    </row>
    <row r="147" customFormat="false" ht="15" hidden="false" customHeight="false" outlineLevel="0" collapsed="false">
      <c r="A147" s="7" t="s">
        <v>249</v>
      </c>
      <c r="B147" s="14" t="n">
        <v>1000</v>
      </c>
      <c r="C147" s="2"/>
      <c r="D147" s="2"/>
      <c r="E147" s="7" t="s">
        <v>250</v>
      </c>
      <c r="F147" s="9" t="s">
        <v>103</v>
      </c>
      <c r="G147" s="2"/>
      <c r="H147" s="2"/>
      <c r="I147" s="2"/>
      <c r="J147" s="2"/>
    </row>
    <row r="148" customFormat="false" ht="15" hidden="false" customHeight="false" outlineLevel="0" collapsed="false">
      <c r="A148" s="7" t="s">
        <v>251</v>
      </c>
      <c r="B148" s="14" t="n">
        <v>3000</v>
      </c>
      <c r="C148" s="2"/>
      <c r="D148" s="2"/>
      <c r="E148" s="7" t="s">
        <v>252</v>
      </c>
      <c r="F148" s="9" t="s">
        <v>103</v>
      </c>
      <c r="G148" s="2"/>
      <c r="H148" s="2"/>
      <c r="I148" s="2"/>
      <c r="J148" s="2"/>
    </row>
    <row r="149" customFormat="false" ht="15" hidden="false" customHeight="false" outlineLevel="0" collapsed="false">
      <c r="A149" s="7" t="s">
        <v>253</v>
      </c>
      <c r="B149" s="16" t="n">
        <v>8</v>
      </c>
      <c r="C149" s="2"/>
      <c r="D149" s="2"/>
      <c r="E149" s="7" t="s">
        <v>254</v>
      </c>
      <c r="F149" s="9" t="s">
        <v>103</v>
      </c>
      <c r="G149" s="2"/>
      <c r="H149" s="2"/>
      <c r="I149" s="2"/>
      <c r="J149" s="2"/>
    </row>
    <row r="150" customFormat="false" ht="15" hidden="false" customHeight="false" outlineLevel="0" collapsed="false">
      <c r="A150" s="7" t="s">
        <v>255</v>
      </c>
      <c r="B150" s="16" t="n">
        <v>15</v>
      </c>
      <c r="C150" s="2"/>
      <c r="D150" s="2"/>
      <c r="E150" s="7" t="s">
        <v>256</v>
      </c>
      <c r="F150" s="9" t="s">
        <v>257</v>
      </c>
      <c r="G150" s="2"/>
      <c r="H150" s="2"/>
      <c r="I150" s="2"/>
      <c r="J150" s="2"/>
    </row>
    <row r="151" customFormat="false" ht="15" hidden="false" customHeight="false" outlineLevel="0" collapsed="false">
      <c r="A151" s="7" t="s">
        <v>258</v>
      </c>
      <c r="B151" s="14" t="n">
        <v>3</v>
      </c>
      <c r="C151" s="2"/>
      <c r="D151" s="2"/>
      <c r="E151" s="7" t="s">
        <v>259</v>
      </c>
      <c r="F151" s="9" t="s">
        <v>260</v>
      </c>
      <c r="G151" s="2"/>
      <c r="H151" s="2"/>
      <c r="I151" s="2"/>
      <c r="J151" s="2"/>
    </row>
    <row r="152" customFormat="false" ht="26.85" hidden="false" customHeight="false" outlineLevel="0" collapsed="false">
      <c r="A152" s="7" t="s">
        <v>261</v>
      </c>
      <c r="B152" s="23" t="n">
        <v>8</v>
      </c>
      <c r="C152" s="2"/>
      <c r="D152" s="2"/>
      <c r="E152" s="7" t="s">
        <v>126</v>
      </c>
      <c r="F152" s="9" t="s">
        <v>262</v>
      </c>
      <c r="G152" s="2"/>
      <c r="H152" s="2"/>
      <c r="I152" s="2"/>
      <c r="J152" s="2"/>
    </row>
    <row r="153" customFormat="false" ht="15" hidden="false" customHeight="false" outlineLevel="0" collapsed="false">
      <c r="A153" s="7" t="s">
        <v>263</v>
      </c>
      <c r="B153" s="23" t="n">
        <v>4</v>
      </c>
      <c r="C153" s="2"/>
      <c r="D153" s="2"/>
      <c r="E153" s="7" t="s">
        <v>126</v>
      </c>
      <c r="F153" s="9" t="s">
        <v>264</v>
      </c>
      <c r="G153" s="2"/>
      <c r="H153" s="2"/>
      <c r="I153" s="2"/>
      <c r="J153" s="2"/>
    </row>
    <row r="154" customFormat="false" ht="15" hidden="false" customHeight="false" outlineLevel="0" collapsed="false">
      <c r="A154" s="7" t="s">
        <v>265</v>
      </c>
      <c r="B154" s="18" t="n">
        <f aca="false">$B$151*($B$152+$B$153)</f>
        <v>36</v>
      </c>
      <c r="C154" s="2"/>
      <c r="D154" s="2"/>
      <c r="E154" s="7" t="s">
        <v>74</v>
      </c>
      <c r="F154" s="9" t="s">
        <v>266</v>
      </c>
      <c r="G154" s="2"/>
      <c r="H154" s="2"/>
      <c r="I154" s="2"/>
      <c r="J154" s="2"/>
    </row>
    <row r="155" customFormat="false" ht="15" hidden="false" customHeight="false" outlineLevel="0" collapsed="false">
      <c r="A155" s="7" t="s">
        <v>267</v>
      </c>
      <c r="B155" s="20" t="n">
        <v>0.2</v>
      </c>
      <c r="C155" s="20" t="n">
        <v>0.3</v>
      </c>
      <c r="D155" s="20" t="n">
        <v>0.4</v>
      </c>
      <c r="E155" s="7" t="s">
        <v>16</v>
      </c>
      <c r="F155" s="9" t="s">
        <v>268</v>
      </c>
      <c r="G155" s="2"/>
      <c r="H155" s="2"/>
      <c r="I155" s="2"/>
      <c r="J155" s="2"/>
    </row>
    <row r="156" customFormat="false" ht="15" hidden="false" customHeight="false" outlineLevel="0" collapsed="false">
      <c r="A156" s="7" t="s">
        <v>269</v>
      </c>
      <c r="B156" s="10" t="n">
        <v>0.5</v>
      </c>
      <c r="C156" s="2"/>
      <c r="D156" s="2"/>
      <c r="E156" s="7" t="s">
        <v>16</v>
      </c>
      <c r="F156" s="9" t="s">
        <v>190</v>
      </c>
      <c r="G156" s="2"/>
      <c r="H156" s="2"/>
      <c r="I156" s="2"/>
      <c r="J156" s="2"/>
    </row>
    <row r="157" customFormat="false" ht="15" hidden="false" customHeight="false" outlineLevel="0" collapsed="false">
      <c r="A157" s="7" t="s">
        <v>270</v>
      </c>
      <c r="B157" s="18" t="n">
        <f aca="false">$B$154*(1+$B$156)</f>
        <v>54</v>
      </c>
      <c r="C157" s="2"/>
      <c r="D157" s="2"/>
      <c r="E157" s="7" t="s">
        <v>86</v>
      </c>
      <c r="F157" s="9" t="s">
        <v>72</v>
      </c>
      <c r="G157" s="2"/>
      <c r="H157" s="2"/>
      <c r="I157" s="2"/>
      <c r="J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customFormat="false" ht="15" hidden="false" customHeight="false" outlineLevel="0" collapsed="false">
      <c r="A159" s="5" t="s">
        <v>271</v>
      </c>
      <c r="B159" s="6"/>
      <c r="C159" s="6"/>
      <c r="D159" s="6"/>
      <c r="E159" s="6"/>
      <c r="F159" s="6"/>
      <c r="G159" s="6"/>
      <c r="H159" s="6"/>
      <c r="I159" s="6"/>
      <c r="J159" s="2"/>
    </row>
    <row r="160" customFormat="false" ht="15" hidden="false" customHeight="false" outlineLevel="0" collapsed="false">
      <c r="A160" s="4" t="s">
        <v>272</v>
      </c>
      <c r="B160" s="4" t="s">
        <v>273</v>
      </c>
      <c r="C160" s="4" t="s">
        <v>274</v>
      </c>
      <c r="D160" s="4" t="s">
        <v>275</v>
      </c>
      <c r="E160" s="4" t="s">
        <v>276</v>
      </c>
      <c r="F160" s="4" t="s">
        <v>277</v>
      </c>
      <c r="G160" s="4" t="s">
        <v>278</v>
      </c>
      <c r="H160" s="4" t="s">
        <v>279</v>
      </c>
      <c r="I160" s="4" t="s">
        <v>7</v>
      </c>
      <c r="J160" s="4" t="s">
        <v>280</v>
      </c>
    </row>
    <row r="161" customFormat="false" ht="15" hidden="false" customHeight="false" outlineLevel="0" collapsed="false">
      <c r="A161" s="7" t="s">
        <v>281</v>
      </c>
      <c r="B161" s="18" t="n">
        <f aca="false">20/$B$7</f>
        <v>17.8683105512374</v>
      </c>
      <c r="C161" s="28" t="s">
        <v>282</v>
      </c>
      <c r="D161" s="14" t="n">
        <v>1</v>
      </c>
      <c r="E161" s="10" t="n">
        <v>0.4</v>
      </c>
      <c r="F161" s="10" t="n">
        <v>0.4</v>
      </c>
      <c r="G161" s="10" t="n">
        <v>0.2</v>
      </c>
      <c r="H161" s="29" t="str">
        <f aca="false">IF(B161&gt;100,"&gt; 100 € – CFO prüfen","")</f>
        <v/>
      </c>
      <c r="I161" s="7" t="s">
        <v>283</v>
      </c>
      <c r="J161" s="7" t="str">
        <f aca="false">IF(ABS(E161+F161+G161-1)&gt;0.0001,"Anteile ≠ 100 %","ok")</f>
        <v>ok</v>
      </c>
    </row>
    <row r="162" customFormat="false" ht="15" hidden="false" customHeight="false" outlineLevel="0" collapsed="false">
      <c r="A162" s="7" t="s">
        <v>284</v>
      </c>
      <c r="B162" s="18" t="n">
        <f aca="false">10/$B$7</f>
        <v>8.93415527561869</v>
      </c>
      <c r="C162" s="28" t="s">
        <v>282</v>
      </c>
      <c r="D162" s="14" t="n">
        <v>1</v>
      </c>
      <c r="E162" s="10" t="n">
        <v>0.5</v>
      </c>
      <c r="F162" s="10" t="n">
        <v>0.3</v>
      </c>
      <c r="G162" s="10" t="n">
        <v>0.2</v>
      </c>
      <c r="H162" s="29" t="str">
        <f aca="false">IF(B162&gt;100,"&gt; 100 € – CFO prüfen","")</f>
        <v/>
      </c>
      <c r="I162" s="7" t="s">
        <v>285</v>
      </c>
      <c r="J162" s="7" t="str">
        <f aca="false">IF(ABS(E162+F162+G162-1)&gt;0.0001,"Anteile ≠ 100 %","ok")</f>
        <v>ok</v>
      </c>
    </row>
    <row r="163" customFormat="false" ht="15" hidden="false" customHeight="false" outlineLevel="0" collapsed="false">
      <c r="A163" s="7" t="s">
        <v>286</v>
      </c>
      <c r="B163" s="23" t="n">
        <v>25</v>
      </c>
      <c r="C163" s="28" t="s">
        <v>282</v>
      </c>
      <c r="D163" s="14" t="n">
        <v>1</v>
      </c>
      <c r="E163" s="10" t="n">
        <v>0.6</v>
      </c>
      <c r="F163" s="10" t="n">
        <v>0.2</v>
      </c>
      <c r="G163" s="10" t="n">
        <v>0.2</v>
      </c>
      <c r="H163" s="29" t="str">
        <f aca="false">IF(B163&gt;100,"&gt; 100 € – CFO prüfen","")</f>
        <v/>
      </c>
      <c r="I163" s="7" t="s">
        <v>103</v>
      </c>
      <c r="J163" s="7" t="str">
        <f aca="false">IF(ABS(E163+F163+G163-1)&gt;0.0001,"Anteile ≠ 100 %","ok")</f>
        <v>ok</v>
      </c>
    </row>
    <row r="164" customFormat="false" ht="15" hidden="false" customHeight="false" outlineLevel="0" collapsed="false">
      <c r="A164" s="7" t="s">
        <v>287</v>
      </c>
      <c r="B164" s="18" t="n">
        <f aca="false">99/12/$B$7</f>
        <v>7.37067810238542</v>
      </c>
      <c r="C164" s="28" t="s">
        <v>282</v>
      </c>
      <c r="D164" s="14" t="n">
        <v>1</v>
      </c>
      <c r="E164" s="10" t="n">
        <v>1</v>
      </c>
      <c r="F164" s="10" t="n">
        <v>0</v>
      </c>
      <c r="G164" s="10" t="n">
        <v>0</v>
      </c>
      <c r="H164" s="29" t="str">
        <f aca="false">IF(B164&gt;100,"&gt; 100 € – CFO prüfen","")</f>
        <v/>
      </c>
      <c r="I164" s="7" t="s">
        <v>288</v>
      </c>
      <c r="J164" s="7" t="str">
        <f aca="false">IF(ABS(E164+F164+G164-1)&gt;0.0001,"Anteile ≠ 100 %","ok")</f>
        <v>ok</v>
      </c>
    </row>
    <row r="165" customFormat="false" ht="15" hidden="false" customHeight="false" outlineLevel="0" collapsed="false">
      <c r="A165" s="7" t="s">
        <v>289</v>
      </c>
      <c r="B165" s="23" t="n">
        <v>80</v>
      </c>
      <c r="C165" s="28" t="s">
        <v>282</v>
      </c>
      <c r="D165" s="14" t="n">
        <v>2</v>
      </c>
      <c r="E165" s="10" t="n">
        <v>0.4</v>
      </c>
      <c r="F165" s="10" t="n">
        <v>0.4</v>
      </c>
      <c r="G165" s="10" t="n">
        <v>0.2</v>
      </c>
      <c r="H165" s="29" t="str">
        <f aca="false">IF(B165&gt;100,"&gt; 100 € – CFO prüfen","")</f>
        <v/>
      </c>
      <c r="I165" s="7" t="s">
        <v>103</v>
      </c>
      <c r="J165" s="7" t="str">
        <f aca="false">IF(ABS(E165+F165+G165-1)&gt;0.0001,"Anteile ≠ 100 %","ok")</f>
        <v>ok</v>
      </c>
    </row>
    <row r="166" customFormat="false" ht="15" hidden="false" customHeight="false" outlineLevel="0" collapsed="false">
      <c r="A166" s="7" t="s">
        <v>290</v>
      </c>
      <c r="B166" s="23" t="n">
        <v>10</v>
      </c>
      <c r="C166" s="28" t="s">
        <v>282</v>
      </c>
      <c r="D166" s="14" t="n">
        <v>2</v>
      </c>
      <c r="E166" s="10" t="n">
        <v>0.4</v>
      </c>
      <c r="F166" s="10" t="n">
        <v>0.4</v>
      </c>
      <c r="G166" s="10" t="n">
        <v>0.2</v>
      </c>
      <c r="H166" s="29" t="str">
        <f aca="false">IF(B166&gt;100,"&gt; 100 € – CFO prüfen","")</f>
        <v/>
      </c>
      <c r="I166" s="7" t="s">
        <v>103</v>
      </c>
      <c r="J166" s="7" t="str">
        <f aca="false">IF(ABS(E166+F166+G166-1)&gt;0.0001,"Anteile ≠ 100 %","ok")</f>
        <v>ok</v>
      </c>
    </row>
    <row r="167" customFormat="false" ht="15" hidden="false" customHeight="false" outlineLevel="0" collapsed="false">
      <c r="A167" s="7" t="s">
        <v>291</v>
      </c>
      <c r="B167" s="23" t="n">
        <v>496</v>
      </c>
      <c r="C167" s="28" t="s">
        <v>292</v>
      </c>
      <c r="D167" s="14" t="n">
        <v>1</v>
      </c>
      <c r="E167" s="10" t="n">
        <v>0.4</v>
      </c>
      <c r="F167" s="10" t="n">
        <v>0.4</v>
      </c>
      <c r="G167" s="10" t="n">
        <v>0.2</v>
      </c>
      <c r="H167" s="29" t="str">
        <f aca="false">IF(B167&gt;100,"&gt; 100 € – CFO prüfen","")</f>
        <v>&gt; 100 € – CFO prüfen</v>
      </c>
      <c r="I167" s="7" t="s">
        <v>293</v>
      </c>
      <c r="J167" s="7" t="str">
        <f aca="false">IF(ABS(E167+F167+G167-1)&gt;0.0001,"Anteile ≠ 100 %","ok")</f>
        <v>ok</v>
      </c>
    </row>
    <row r="168" customFormat="false" ht="15" hidden="false" customHeight="false" outlineLevel="0" collapsed="false">
      <c r="A168" s="7" t="s">
        <v>294</v>
      </c>
      <c r="B168" s="18" t="n">
        <f aca="false">25/$B$7</f>
        <v>22.3353881890467</v>
      </c>
      <c r="C168" s="28" t="s">
        <v>292</v>
      </c>
      <c r="D168" s="14" t="n">
        <v>2</v>
      </c>
      <c r="E168" s="10" t="n">
        <v>1</v>
      </c>
      <c r="F168" s="10" t="n">
        <v>0</v>
      </c>
      <c r="G168" s="10" t="n">
        <v>0</v>
      </c>
      <c r="H168" s="29" t="str">
        <f aca="false">IF(B168&gt;100,"&gt; 100 € – CFO prüfen","")</f>
        <v/>
      </c>
      <c r="I168" s="7" t="s">
        <v>295</v>
      </c>
      <c r="J168" s="7" t="str">
        <f aca="false">IF(ABS(E168+F168+G168-1)&gt;0.0001,"Anteile ≠ 100 %","ok")</f>
        <v>ok</v>
      </c>
    </row>
    <row r="169" customFormat="false" ht="15" hidden="false" customHeight="false" outlineLevel="0" collapsed="false">
      <c r="A169" s="7" t="s">
        <v>296</v>
      </c>
      <c r="B169" s="23" t="n">
        <v>290</v>
      </c>
      <c r="C169" s="28" t="s">
        <v>292</v>
      </c>
      <c r="D169" s="14" t="n">
        <v>1</v>
      </c>
      <c r="E169" s="10" t="n">
        <v>0.6</v>
      </c>
      <c r="F169" s="10" t="n">
        <v>0.3</v>
      </c>
      <c r="G169" s="10" t="n">
        <v>0.1</v>
      </c>
      <c r="H169" s="29" t="str">
        <f aca="false">IF(B169&gt;100,"&gt; 100 € – CFO prüfen","")</f>
        <v>&gt; 100 € – CFO prüfen</v>
      </c>
      <c r="I169" s="7" t="s">
        <v>297</v>
      </c>
      <c r="J169" s="7" t="str">
        <f aca="false">IF(ABS(E169+F169+G169-1)&gt;0.0001,"Anteile ≠ 100 %","ok")</f>
        <v>ok</v>
      </c>
    </row>
    <row r="170" customFormat="false" ht="15" hidden="false" customHeight="false" outlineLevel="0" collapsed="false">
      <c r="A170" s="7" t="s">
        <v>298</v>
      </c>
      <c r="B170" s="18" t="n">
        <f aca="false">180+(653+789+48+144)/$B$8</f>
        <v>1942.29508196721</v>
      </c>
      <c r="C170" s="28" t="s">
        <v>292</v>
      </c>
      <c r="D170" s="14" t="n">
        <v>1</v>
      </c>
      <c r="E170" s="10" t="n">
        <v>0.6</v>
      </c>
      <c r="F170" s="10" t="n">
        <v>0.3</v>
      </c>
      <c r="G170" s="10" t="n">
        <v>0.1</v>
      </c>
      <c r="H170" s="29" t="str">
        <f aca="false">IF(B170&gt;100,"&gt; 100 € – CFO prüfen","")</f>
        <v>&gt; 100 € – CFO prüfen</v>
      </c>
      <c r="I170" s="7" t="s">
        <v>299</v>
      </c>
      <c r="J170" s="7" t="str">
        <f aca="false">IF(ABS(E170+F170+G170-1)&gt;0.0001,"Anteile ≠ 100 %","ok")</f>
        <v>ok</v>
      </c>
    </row>
    <row r="171" customFormat="false" ht="15" hidden="false" customHeight="false" outlineLevel="0" collapsed="false">
      <c r="A171" s="7" t="s">
        <v>300</v>
      </c>
      <c r="B171" s="18" t="n">
        <f aca="false">(1380+368+471+651+138)/$B$8</f>
        <v>3244.176013805</v>
      </c>
      <c r="C171" s="28" t="s">
        <v>292</v>
      </c>
      <c r="D171" s="14" t="n">
        <v>1</v>
      </c>
      <c r="E171" s="10" t="n">
        <v>0.6</v>
      </c>
      <c r="F171" s="10" t="n">
        <v>0.3</v>
      </c>
      <c r="G171" s="10" t="n">
        <v>0.1</v>
      </c>
      <c r="H171" s="29" t="str">
        <f aca="false">IF(B171&gt;100,"&gt; 100 € – CFO prüfen","")</f>
        <v>&gt; 100 € – CFO prüfen</v>
      </c>
      <c r="I171" s="7" t="s">
        <v>301</v>
      </c>
      <c r="J171" s="7" t="str">
        <f aca="false">IF(ABS(E171+F171+G171-1)&gt;0.0001,"Anteile ≠ 100 %","ok")</f>
        <v>ok</v>
      </c>
    </row>
    <row r="172" customFormat="false" ht="15" hidden="false" customHeight="false" outlineLevel="0" collapsed="false">
      <c r="A172" s="7" t="s">
        <v>302</v>
      </c>
      <c r="B172" s="23" t="n">
        <v>350</v>
      </c>
      <c r="C172" s="28" t="s">
        <v>292</v>
      </c>
      <c r="D172" s="14" t="n">
        <v>3</v>
      </c>
      <c r="E172" s="10" t="n">
        <v>0</v>
      </c>
      <c r="F172" s="10" t="n">
        <v>0.8</v>
      </c>
      <c r="G172" s="10" t="n">
        <v>0.2</v>
      </c>
      <c r="H172" s="29" t="str">
        <f aca="false">IF(B172&gt;100,"&gt; 100 € – CFO prüfen","")</f>
        <v>&gt; 100 € – CFO prüfen</v>
      </c>
      <c r="I172" s="7" t="s">
        <v>303</v>
      </c>
      <c r="J172" s="7" t="str">
        <f aca="false">IF(ABS(E172+F172+G172-1)&gt;0.0001,"Anteile ≠ 100 %","ok")</f>
        <v>ok</v>
      </c>
    </row>
    <row r="173" customFormat="false" ht="15" hidden="false" customHeight="false" outlineLevel="0" collapsed="false">
      <c r="A173" s="7" t="s">
        <v>304</v>
      </c>
      <c r="B173" s="23" t="n">
        <v>800</v>
      </c>
      <c r="C173" s="28" t="s">
        <v>292</v>
      </c>
      <c r="D173" s="14" t="n">
        <v>5</v>
      </c>
      <c r="E173" s="10" t="n">
        <v>0.3</v>
      </c>
      <c r="F173" s="10" t="n">
        <v>0.7</v>
      </c>
      <c r="G173" s="10" t="n">
        <v>0</v>
      </c>
      <c r="H173" s="29" t="str">
        <f aca="false">IF(B173&gt;100,"&gt; 100 € – CFO prüfen","")</f>
        <v>&gt; 100 € – CFO prüfen</v>
      </c>
      <c r="I173" s="7" t="s">
        <v>305</v>
      </c>
      <c r="J173" s="7" t="str">
        <f aca="false">IF(ABS(E173+F173+G173-1)&gt;0.0001,"Anteile ≠ 100 %","ok")</f>
        <v>ok</v>
      </c>
    </row>
    <row r="174" customFormat="false" ht="15" hidden="false" customHeight="false" outlineLevel="0" collapsed="false">
      <c r="A174" s="7" t="s">
        <v>306</v>
      </c>
      <c r="B174" s="23" t="n">
        <v>1000</v>
      </c>
      <c r="C174" s="28" t="s">
        <v>307</v>
      </c>
      <c r="D174" s="14" t="n">
        <v>0</v>
      </c>
      <c r="E174" s="10" t="n">
        <v>0.6</v>
      </c>
      <c r="F174" s="10" t="n">
        <v>0.3</v>
      </c>
      <c r="G174" s="10" t="n">
        <v>0.1</v>
      </c>
      <c r="H174" s="29" t="str">
        <f aca="false">IF(B174&gt;100,"&gt; 100 € – CFO prüfen","")</f>
        <v>&gt; 100 € – CFO prüfen</v>
      </c>
      <c r="I174" s="7" t="s">
        <v>308</v>
      </c>
      <c r="J174" s="7" t="str">
        <f aca="false">IF(ABS(E174+F174+G174-1)&gt;0.0001,"Anteile ≠ 100 %","ok")</f>
        <v>ok</v>
      </c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customFormat="false" ht="15" hidden="false" customHeight="false" outlineLevel="0" collapsed="false">
      <c r="A176" s="7" t="s">
        <v>309</v>
      </c>
      <c r="B176" s="2"/>
      <c r="C176" s="2"/>
      <c r="D176" s="2"/>
      <c r="E176" s="2"/>
      <c r="F176" s="2"/>
      <c r="G176" s="2"/>
      <c r="H176" s="2"/>
      <c r="I176" s="2"/>
      <c r="J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customFormat="false" ht="15" hidden="false" customHeight="false" outlineLevel="0" collapsed="false">
      <c r="A179" s="5" t="s">
        <v>310</v>
      </c>
      <c r="B179" s="6"/>
      <c r="C179" s="6"/>
      <c r="D179" s="6"/>
      <c r="E179" s="6"/>
      <c r="F179" s="6"/>
      <c r="G179" s="2"/>
      <c r="H179" s="2"/>
      <c r="I179" s="2"/>
      <c r="J179" s="2"/>
    </row>
    <row r="180" customFormat="false" ht="15" hidden="false" customHeight="false" outlineLevel="0" collapsed="false">
      <c r="A180" s="7" t="s">
        <v>311</v>
      </c>
      <c r="B180" s="19" t="n">
        <v>6</v>
      </c>
      <c r="C180" s="19" t="n">
        <v>4</v>
      </c>
      <c r="D180" s="19" t="n">
        <v>3</v>
      </c>
      <c r="E180" s="7" t="s">
        <v>99</v>
      </c>
      <c r="F180" s="9" t="s">
        <v>103</v>
      </c>
      <c r="G180" s="2"/>
      <c r="H180" s="2"/>
      <c r="I180" s="2"/>
      <c r="J180" s="2"/>
    </row>
    <row r="181" customFormat="false" ht="15" hidden="false" customHeight="false" outlineLevel="0" collapsed="false">
      <c r="A181" s="7" t="s">
        <v>312</v>
      </c>
      <c r="B181" s="21" t="n">
        <v>2</v>
      </c>
      <c r="C181" s="21" t="n">
        <v>5</v>
      </c>
      <c r="D181" s="21" t="n">
        <v>10</v>
      </c>
      <c r="E181" s="7" t="s">
        <v>167</v>
      </c>
      <c r="F181" s="9" t="s">
        <v>313</v>
      </c>
      <c r="G181" s="2"/>
      <c r="H181" s="2"/>
      <c r="I181" s="2"/>
      <c r="J181" s="2"/>
    </row>
    <row r="182" customFormat="false" ht="15" hidden="false" customHeight="false" outlineLevel="0" collapsed="false">
      <c r="A182" s="7" t="s">
        <v>314</v>
      </c>
      <c r="B182" s="16" t="n">
        <v>0</v>
      </c>
      <c r="C182" s="2"/>
      <c r="D182" s="2"/>
      <c r="E182" s="7" t="s">
        <v>71</v>
      </c>
      <c r="F182" s="9" t="s">
        <v>315</v>
      </c>
      <c r="G182" s="2"/>
      <c r="H182" s="2"/>
      <c r="I182" s="2"/>
      <c r="J182" s="2"/>
    </row>
    <row r="183" customFormat="false" ht="15" hidden="false" customHeight="false" outlineLevel="0" collapsed="false">
      <c r="A183" s="7" t="s">
        <v>316</v>
      </c>
      <c r="B183" s="14" t="n">
        <v>15</v>
      </c>
      <c r="C183" s="2"/>
      <c r="D183" s="2"/>
      <c r="E183" s="7" t="s">
        <v>118</v>
      </c>
      <c r="F183" s="9" t="s">
        <v>317</v>
      </c>
      <c r="G183" s="2"/>
      <c r="H183" s="2"/>
      <c r="I183" s="2"/>
      <c r="J183" s="2"/>
    </row>
    <row r="184" customFormat="false" ht="15" hidden="false" customHeight="false" outlineLevel="0" collapsed="false">
      <c r="A184" s="7" t="s">
        <v>318</v>
      </c>
      <c r="B184" s="20" t="n">
        <v>0.005</v>
      </c>
      <c r="C184" s="20" t="n">
        <v>0.01</v>
      </c>
      <c r="D184" s="20" t="n">
        <v>0.015</v>
      </c>
      <c r="E184" s="7" t="s">
        <v>319</v>
      </c>
      <c r="F184" s="9" t="s">
        <v>320</v>
      </c>
      <c r="G184" s="2"/>
      <c r="H184" s="2"/>
      <c r="I184" s="2"/>
      <c r="J184" s="2"/>
    </row>
    <row r="185" customFormat="false" ht="15" hidden="false" customHeight="false" outlineLevel="0" collapsed="false">
      <c r="A185" s="7" t="s">
        <v>321</v>
      </c>
      <c r="B185" s="20" t="n">
        <v>0.05</v>
      </c>
      <c r="C185" s="20" t="n">
        <v>0.1</v>
      </c>
      <c r="D185" s="20" t="n">
        <v>0.15</v>
      </c>
      <c r="E185" s="7" t="s">
        <v>319</v>
      </c>
      <c r="F185" s="9" t="s">
        <v>103</v>
      </c>
      <c r="G185" s="2"/>
      <c r="H185" s="2"/>
      <c r="I185" s="2"/>
      <c r="J185" s="2"/>
    </row>
    <row r="186" customFormat="false" ht="15" hidden="false" customHeight="false" outlineLevel="0" collapsed="false">
      <c r="A186" s="7" t="s">
        <v>322</v>
      </c>
      <c r="B186" s="30" t="n">
        <v>0.0002</v>
      </c>
      <c r="C186" s="30" t="n">
        <v>0.0005</v>
      </c>
      <c r="D186" s="30" t="n">
        <v>0.0008</v>
      </c>
      <c r="E186" s="7" t="s">
        <v>319</v>
      </c>
      <c r="F186" s="9" t="s">
        <v>135</v>
      </c>
      <c r="G186" s="2"/>
      <c r="H186" s="2"/>
      <c r="I186" s="2"/>
      <c r="J186" s="2"/>
    </row>
    <row r="187" customFormat="false" ht="15" hidden="false" customHeight="false" outlineLevel="0" collapsed="false">
      <c r="A187" s="7" t="s">
        <v>323</v>
      </c>
      <c r="B187" s="30" t="n">
        <v>0.002</v>
      </c>
      <c r="C187" s="30" t="n">
        <v>0.005</v>
      </c>
      <c r="D187" s="30" t="n">
        <v>0.008</v>
      </c>
      <c r="E187" s="7" t="s">
        <v>319</v>
      </c>
      <c r="F187" s="9" t="s">
        <v>103</v>
      </c>
      <c r="G187" s="2"/>
      <c r="H187" s="2"/>
      <c r="I187" s="2"/>
      <c r="J187" s="2"/>
    </row>
    <row r="188" customFormat="false" ht="15" hidden="false" customHeight="false" outlineLevel="0" collapsed="false">
      <c r="A188" s="7" t="s">
        <v>324</v>
      </c>
      <c r="B188" s="21" t="n">
        <v>2</v>
      </c>
      <c r="C188" s="21" t="n">
        <v>3</v>
      </c>
      <c r="D188" s="21" t="n">
        <v>4</v>
      </c>
      <c r="E188" s="7" t="s">
        <v>325</v>
      </c>
      <c r="F188" s="9" t="s">
        <v>326</v>
      </c>
      <c r="G188" s="2"/>
      <c r="H188" s="2"/>
      <c r="I188" s="2"/>
      <c r="J188" s="2"/>
    </row>
    <row r="189" customFormat="false" ht="15" hidden="false" customHeight="false" outlineLevel="0" collapsed="false">
      <c r="A189" s="7" t="s">
        <v>327</v>
      </c>
      <c r="B189" s="10" t="n">
        <v>0.7</v>
      </c>
      <c r="C189" s="2"/>
      <c r="D189" s="2"/>
      <c r="E189" s="7" t="s">
        <v>16</v>
      </c>
      <c r="F189" s="9" t="s">
        <v>103</v>
      </c>
      <c r="G189" s="2"/>
      <c r="H189" s="2"/>
      <c r="I189" s="2"/>
      <c r="J189" s="2"/>
    </row>
    <row r="190" customFormat="false" ht="15" hidden="false" customHeight="false" outlineLevel="0" collapsed="false">
      <c r="A190" s="7" t="s">
        <v>328</v>
      </c>
      <c r="B190" s="10" t="n">
        <v>0.35</v>
      </c>
      <c r="C190" s="2"/>
      <c r="D190" s="2"/>
      <c r="E190" s="7" t="s">
        <v>16</v>
      </c>
      <c r="F190" s="9" t="s">
        <v>329</v>
      </c>
      <c r="G190" s="2"/>
      <c r="H190" s="2"/>
      <c r="I190" s="2"/>
      <c r="J190" s="2"/>
    </row>
    <row r="191" customFormat="false" ht="15" hidden="false" customHeight="false" outlineLevel="0" collapsed="false">
      <c r="A191" s="7" t="s">
        <v>330</v>
      </c>
      <c r="B191" s="10" t="n">
        <v>0.5</v>
      </c>
      <c r="C191" s="2"/>
      <c r="D191" s="2"/>
      <c r="E191" s="7" t="s">
        <v>16</v>
      </c>
      <c r="F191" s="9" t="s">
        <v>331</v>
      </c>
      <c r="G191" s="2"/>
      <c r="H191" s="2"/>
      <c r="I191" s="2"/>
      <c r="J191" s="2"/>
    </row>
    <row r="192" customFormat="false" ht="15" hidden="false" customHeight="false" outlineLevel="0" collapsed="false">
      <c r="A192" s="7" t="s">
        <v>332</v>
      </c>
      <c r="B192" s="10" t="n">
        <v>0.75</v>
      </c>
      <c r="C192" s="2"/>
      <c r="D192" s="2"/>
      <c r="E192" s="7" t="s">
        <v>16</v>
      </c>
      <c r="F192" s="9" t="s">
        <v>331</v>
      </c>
      <c r="G192" s="2"/>
      <c r="H192" s="2"/>
      <c r="I192" s="2"/>
      <c r="J192" s="2"/>
    </row>
    <row r="193" customFormat="false" ht="15" hidden="false" customHeight="false" outlineLevel="0" collapsed="false">
      <c r="A193" s="7" t="s">
        <v>333</v>
      </c>
      <c r="B193" s="10" t="n">
        <v>0.2</v>
      </c>
      <c r="C193" s="2"/>
      <c r="D193" s="2"/>
      <c r="E193" s="7" t="s">
        <v>16</v>
      </c>
      <c r="F193" s="9" t="s">
        <v>334</v>
      </c>
      <c r="G193" s="2"/>
      <c r="H193" s="2"/>
      <c r="I193" s="2"/>
      <c r="J193" s="2"/>
    </row>
    <row r="194" customFormat="false" ht="15" hidden="false" customHeight="false" outlineLevel="0" collapsed="false">
      <c r="A194" s="7" t="s">
        <v>335</v>
      </c>
      <c r="B194" s="10" t="n">
        <v>0.3</v>
      </c>
      <c r="C194" s="2"/>
      <c r="D194" s="2"/>
      <c r="E194" s="7" t="s">
        <v>16</v>
      </c>
      <c r="F194" s="9" t="s">
        <v>103</v>
      </c>
      <c r="G194" s="2"/>
      <c r="H194" s="2"/>
      <c r="I194" s="2"/>
      <c r="J194" s="2"/>
    </row>
    <row r="195" customFormat="false" ht="15" hidden="false" customHeight="false" outlineLevel="0" collapsed="false">
      <c r="A195" s="7" t="s">
        <v>336</v>
      </c>
      <c r="B195" s="10" t="n">
        <v>0.5</v>
      </c>
      <c r="C195" s="2"/>
      <c r="D195" s="2"/>
      <c r="E195" s="7" t="s">
        <v>16</v>
      </c>
      <c r="F195" s="9" t="s">
        <v>337</v>
      </c>
      <c r="G195" s="2"/>
      <c r="H195" s="2"/>
      <c r="I195" s="2"/>
      <c r="J195" s="2"/>
    </row>
    <row r="196" customFormat="false" ht="26.85" hidden="false" customHeight="false" outlineLevel="0" collapsed="false">
      <c r="A196" s="7" t="s">
        <v>338</v>
      </c>
      <c r="B196" s="25" t="n">
        <f aca="false">$B$190*$B$193+$B$191*$B$194+$B$192*$B$195</f>
        <v>0.595</v>
      </c>
      <c r="C196" s="2"/>
      <c r="D196" s="2"/>
      <c r="E196" s="7" t="s">
        <v>16</v>
      </c>
      <c r="F196" s="9" t="s">
        <v>339</v>
      </c>
      <c r="G196" s="2"/>
      <c r="H196" s="2"/>
      <c r="I196" s="2"/>
      <c r="J196" s="2"/>
    </row>
    <row r="197" customFormat="false" ht="26.85" hidden="false" customHeight="false" outlineLevel="0" collapsed="false">
      <c r="A197" s="7" t="s">
        <v>340</v>
      </c>
      <c r="B197" s="11" t="n">
        <v>100</v>
      </c>
      <c r="C197" s="2"/>
      <c r="D197" s="2"/>
      <c r="E197" s="7" t="s">
        <v>126</v>
      </c>
      <c r="F197" s="9" t="s">
        <v>341</v>
      </c>
      <c r="G197" s="2"/>
      <c r="H197" s="2"/>
      <c r="I197" s="2"/>
      <c r="J197" s="2"/>
    </row>
    <row r="198" customFormat="false" ht="15" hidden="false" customHeight="false" outlineLevel="0" collapsed="false">
      <c r="A198" s="7" t="s">
        <v>342</v>
      </c>
      <c r="B198" s="11" t="n">
        <v>250</v>
      </c>
      <c r="C198" s="2"/>
      <c r="D198" s="2"/>
      <c r="E198" s="7" t="s">
        <v>126</v>
      </c>
      <c r="F198" s="9" t="s">
        <v>343</v>
      </c>
      <c r="G198" s="2"/>
      <c r="H198" s="2"/>
      <c r="I198" s="2"/>
      <c r="J198" s="2"/>
    </row>
    <row r="199" customFormat="false" ht="15" hidden="false" customHeight="false" outlineLevel="0" collapsed="false">
      <c r="A199" s="7" t="s">
        <v>344</v>
      </c>
      <c r="B199" s="10" t="n">
        <v>0.2</v>
      </c>
      <c r="C199" s="2"/>
      <c r="D199" s="2"/>
      <c r="E199" s="7" t="s">
        <v>16</v>
      </c>
      <c r="F199" s="9" t="s">
        <v>345</v>
      </c>
      <c r="G199" s="2"/>
      <c r="H199" s="2"/>
      <c r="I199" s="2"/>
      <c r="J199" s="2"/>
    </row>
    <row r="200" customFormat="false" ht="15" hidden="false" customHeight="false" outlineLevel="0" collapsed="false">
      <c r="A200" s="7" t="s">
        <v>346</v>
      </c>
      <c r="B200" s="31" t="str">
        <f aca="false">IF(ABS($B$193+$B$194+$B$195-1)&lt;0.0001,"ok","Summe ≠ 100 %")</f>
        <v>ok</v>
      </c>
      <c r="C200" s="2"/>
      <c r="D200" s="2"/>
      <c r="E200" s="7"/>
      <c r="F200" s="9" t="s">
        <v>72</v>
      </c>
      <c r="G200" s="2"/>
      <c r="H200" s="2"/>
      <c r="I200" s="2"/>
      <c r="J200" s="2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2" min="3" style="0" width="13"/>
  </cols>
  <sheetData>
    <row r="1" customFormat="false" ht="17.35" hidden="false" customHeight="false" outlineLevel="0" collapsed="false">
      <c r="A1" s="1" t="s">
        <v>347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52.2" hidden="false" customHeight="false" outlineLevel="0" collapsed="false">
      <c r="A3" s="4" t="s">
        <v>348</v>
      </c>
      <c r="B3" s="32" t="str">
        <f aca="false">"vorsichtig – "&amp;Annahmen!$B$142</f>
        <v>vorsichtig – teures Hobby</v>
      </c>
      <c r="C3" s="32" t="str">
        <f aca="false">"mittel – "&amp;Annahmen!$C$142</f>
        <v>mittel – profitabler Nebenerwerb</v>
      </c>
      <c r="D3" s="32" t="str">
        <f aca="false">"stark – "&amp;Annahmen!$D$142</f>
        <v>stark – skalierbares Business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customFormat="false" ht="15" hidden="false" customHeight="false" outlineLevel="0" collapsed="false">
      <c r="A4" s="33" t="s">
        <v>349</v>
      </c>
      <c r="B4" s="33" t="str">
        <f aca="false">IFERROR("Monat "&amp;MATCH(1,AE18:AE41,0)&amp;" ("&amp;INDEX($B$18:$B$41,MATCH(1,AE18:AE41,0))&amp;")","nicht in 24 M")</f>
        <v>nicht in 24 M</v>
      </c>
      <c r="C4" s="33" t="str">
        <f aca="false">IFERROR("Monat "&amp;MATCH(1,AE47:AE70,0)&amp;" ("&amp;INDEX($B$47:$B$70,MATCH(1,AE47:AE70,0))&amp;")","nicht in 24 M")</f>
        <v>Monat 15 (03/2028)</v>
      </c>
      <c r="D4" s="33" t="str">
        <f aca="false">IFERROR("Monat "&amp;MATCH(1,AE76:AE99,0)&amp;" ("&amp;INDEX($B$76:$B$99,MATCH(1,AE76:AE99,0))&amp;")","nicht in 24 M")</f>
        <v>Monat 7 (07/2027)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customFormat="false" ht="15" hidden="false" customHeight="false" outlineLevel="0" collapsed="false">
      <c r="A5" s="33" t="s">
        <v>350</v>
      </c>
      <c r="B5" s="33" t="str">
        <f aca="false">IFERROR("Monat "&amp;MATCH(1,AF18:AF41,0)&amp;" ("&amp;INDEX($B$18:$B$41,MATCH(1,AF18:AF41,0))&amp;")","nicht in 24 M")</f>
        <v>nicht in 24 M</v>
      </c>
      <c r="C5" s="33" t="str">
        <f aca="false">IFERROR("Monat "&amp;MATCH(1,AF47:AF70,0)&amp;" ("&amp;INDEX($B$47:$B$70,MATCH(1,AF47:AF70,0))&amp;")","nicht in 24 M")</f>
        <v>nicht in 24 M</v>
      </c>
      <c r="D5" s="33" t="str">
        <f aca="false">IFERROR("Monat "&amp;MATCH(1,AF76:AF99,0)&amp;" ("&amp;INDEX($B$76:$B$99,MATCH(1,AF76:AF99,0))&amp;")","nicht in 24 M")</f>
        <v>Monat 15 (03/2028)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customFormat="false" ht="15" hidden="false" customHeight="false" outlineLevel="0" collapsed="false">
      <c r="A6" s="33" t="s">
        <v>351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customFormat="false" ht="15" hidden="false" customHeight="false" outlineLevel="0" collapsed="false">
      <c r="A7" s="7" t="s">
        <v>352</v>
      </c>
      <c r="B7" s="34" t="n">
        <f aca="false">Annahmen!$B$87/(1+Annahmen!$B$9)*(1-Annahmen!$B$84)-Annahmen!$B$85*(Annahmen!$B$62+(1-Annahmen!$B$62)/12)</f>
        <v>4.53081617647059</v>
      </c>
      <c r="C7" s="34" t="n">
        <f aca="false">Annahmen!$C$87/(1+Annahmen!$B$9)*(1-Annahmen!$B$84)-Annahmen!$B$85*(Annahmen!$C$62+(1-Annahmen!$C$62)/12)</f>
        <v>4.47171848739496</v>
      </c>
      <c r="D7" s="34" t="n">
        <f aca="false">Annahmen!$D$87/(1+Annahmen!$B$9)*(1-Annahmen!$B$84)-Annahmen!$B$85*(Annahmen!$D$62+(1-Annahmen!$D$62)/12)</f>
        <v>4.41262079831933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customFormat="false" ht="15" hidden="false" customHeight="false" outlineLevel="0" collapsed="false">
      <c r="A8" s="7" t="s">
        <v>353</v>
      </c>
      <c r="B8" s="34" t="n">
        <f aca="false">Annahmen!$B$87/(1+Annahmen!$B$9)*(1-Annahmen!$B$83)</f>
        <v>4.06625</v>
      </c>
      <c r="C8" s="34" t="n">
        <f aca="false">Annahmen!$C$87/(1+Annahmen!$B$9)*(1-Annahmen!$B$83)</f>
        <v>3.99547619047619</v>
      </c>
      <c r="D8" s="34" t="n">
        <f aca="false">Annahmen!$D$87/(1+Annahmen!$B$9)*(1-Annahmen!$B$83)</f>
        <v>3.92470238095238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customFormat="false" ht="15" hidden="false" customHeight="false" outlineLevel="0" collapsed="false">
      <c r="A9" s="7" t="s">
        <v>354</v>
      </c>
      <c r="B9" s="34" t="n">
        <f aca="false">Annahmen!$B$88/(1+Annahmen!$B$9)*(1-Annahmen!$B$84)-Annahmen!$B$85*(Annahmen!$B$62+(1-Annahmen!$B$62)/12)</f>
        <v>6.10350525210084</v>
      </c>
      <c r="C9" s="34" t="n">
        <f aca="false">Annahmen!$C$88/(1+Annahmen!$B$9)*(1-Annahmen!$B$84)-Annahmen!$B$85*(Annahmen!$C$62+(1-Annahmen!$C$62)/12)</f>
        <v>6.01681652661064</v>
      </c>
      <c r="D9" s="34" t="n">
        <f aca="false">Annahmen!$D$88/(1+Annahmen!$B$9)*(1-Annahmen!$B$84)-Annahmen!$B$85*(Annahmen!$D$62+(1-Annahmen!$D$62)/12)</f>
        <v>5.93012780112045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customFormat="false" ht="15" hidden="false" customHeight="false" outlineLevel="0" collapsed="false">
      <c r="A10" s="7" t="s">
        <v>355</v>
      </c>
      <c r="B10" s="34" t="n">
        <f aca="false">Annahmen!$B$88/(1+Annahmen!$B$9)*(1-Annahmen!$B$83)</f>
        <v>5.42339285714286</v>
      </c>
      <c r="C10" s="34" t="n">
        <f aca="false">Annahmen!$C$88/(1+Annahmen!$B$9)*(1-Annahmen!$B$83)</f>
        <v>5.32880952380952</v>
      </c>
      <c r="D10" s="34" t="n">
        <f aca="false">Annahmen!$D$88/(1+Annahmen!$B$9)*(1-Annahmen!$B$83)</f>
        <v>5.23422619047619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customFormat="false" ht="15" hidden="false" customHeight="false" outlineLevel="0" collapsed="false">
      <c r="A11" s="7" t="s">
        <v>356</v>
      </c>
      <c r="B11" s="34" t="n">
        <f aca="false">Annahmen!$B$80/(1+Annahmen!$B$9)*(1-Annahmen!$B$84)-Annahmen!$B$85-Annahmen!$B$44</f>
        <v>18.4465902748614</v>
      </c>
      <c r="C11" s="34" t="n">
        <f aca="false">Annahmen!$B$80/(1+Annahmen!$B$9)*(1-Annahmen!$B$84)-Annahmen!$B$85-Annahmen!$B$44</f>
        <v>18.4465902748614</v>
      </c>
      <c r="D11" s="34" t="n">
        <f aca="false">Annahmen!$B$80/(1+Annahmen!$B$9)*(1-Annahmen!$B$84)-Annahmen!$B$85-Annahmen!$B$44</f>
        <v>18.4465902748614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customFormat="false" ht="15" hidden="false" customHeight="false" outlineLevel="0" collapsed="false">
      <c r="A12" s="7" t="s">
        <v>357</v>
      </c>
      <c r="B12" s="34" t="n">
        <f aca="false">Annahmen!$B$81/(1+Annahmen!$B$9)*(1-Annahmen!$B$84)-Annahmen!$B$85-Annahmen!$B$45</f>
        <v>29.4956309042464</v>
      </c>
      <c r="C12" s="34" t="n">
        <f aca="false">Annahmen!$B$81/(1+Annahmen!$B$9)*(1-Annahmen!$B$84)-Annahmen!$B$85-Annahmen!$B$45</f>
        <v>29.4956309042464</v>
      </c>
      <c r="D12" s="34" t="n">
        <f aca="false">Annahmen!$B$81/(1+Annahmen!$B$9)*(1-Annahmen!$B$84)-Annahmen!$B$85-Annahmen!$B$45</f>
        <v>29.4956309042464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customFormat="false" ht="15" hidden="false" customHeight="false" outlineLevel="0" collapsed="false">
      <c r="A13" s="7" t="s">
        <v>358</v>
      </c>
      <c r="B13" s="34" t="n">
        <f aca="false">Annahmen!$B$43+Annahmen!$B$154</f>
        <v>64.870962723936</v>
      </c>
      <c r="C13" s="34" t="n">
        <f aca="false">Annahmen!$B$43+Annahmen!$B$154</f>
        <v>64.870962723936</v>
      </c>
      <c r="D13" s="34" t="n">
        <f aca="false">Annahmen!$B$43+Annahmen!$B$154</f>
        <v>64.870962723936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customFormat="false" ht="15" hidden="false" customHeight="false" outlineLevel="0" collapsed="false">
      <c r="A16" s="5" t="str">
        <f aca="false">"Szenario vorsichtig – "&amp;Annahmen!$B$142</f>
        <v>Szenario vorsichtig – teures Hobby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2"/>
      <c r="AF16" s="2"/>
    </row>
    <row r="17" customFormat="false" ht="42" hidden="false" customHeight="true" outlineLevel="0" collapsed="false">
      <c r="A17" s="35" t="s">
        <v>99</v>
      </c>
      <c r="B17" s="35" t="s">
        <v>359</v>
      </c>
      <c r="C17" s="35" t="s">
        <v>360</v>
      </c>
      <c r="D17" s="35" t="s">
        <v>361</v>
      </c>
      <c r="E17" s="35" t="s">
        <v>362</v>
      </c>
      <c r="F17" s="35" t="s">
        <v>363</v>
      </c>
      <c r="G17" s="35" t="s">
        <v>364</v>
      </c>
      <c r="H17" s="35" t="s">
        <v>365</v>
      </c>
      <c r="I17" s="35" t="s">
        <v>366</v>
      </c>
      <c r="J17" s="35" t="s">
        <v>367</v>
      </c>
      <c r="K17" s="35" t="s">
        <v>368</v>
      </c>
      <c r="L17" s="35" t="s">
        <v>369</v>
      </c>
      <c r="M17" s="35" t="s">
        <v>370</v>
      </c>
      <c r="N17" s="35" t="s">
        <v>371</v>
      </c>
      <c r="O17" s="35" t="s">
        <v>372</v>
      </c>
      <c r="P17" s="35" t="s">
        <v>373</v>
      </c>
      <c r="Q17" s="35" t="s">
        <v>374</v>
      </c>
      <c r="R17" s="35" t="s">
        <v>375</v>
      </c>
      <c r="S17" s="35" t="s">
        <v>376</v>
      </c>
      <c r="T17" s="35" t="s">
        <v>377</v>
      </c>
      <c r="U17" s="35" t="s">
        <v>378</v>
      </c>
      <c r="V17" s="35" t="s">
        <v>379</v>
      </c>
      <c r="W17" s="35" t="s">
        <v>380</v>
      </c>
      <c r="X17" s="35" t="s">
        <v>381</v>
      </c>
      <c r="Y17" s="35" t="s">
        <v>382</v>
      </c>
      <c r="Z17" s="35" t="s">
        <v>383</v>
      </c>
      <c r="AA17" s="35" t="s">
        <v>384</v>
      </c>
      <c r="AB17" s="35" t="s">
        <v>385</v>
      </c>
      <c r="AC17" s="35" t="s">
        <v>386</v>
      </c>
      <c r="AD17" s="35" t="s">
        <v>387</v>
      </c>
      <c r="AE17" s="35" t="s">
        <v>388</v>
      </c>
      <c r="AF17" s="35" t="s">
        <v>389</v>
      </c>
    </row>
    <row r="18" customFormat="false" ht="15" hidden="false" customHeight="false" outlineLevel="0" collapsed="false">
      <c r="A18" s="7" t="n">
        <v>1</v>
      </c>
      <c r="B18" s="7" t="s">
        <v>390</v>
      </c>
      <c r="C18" s="15" t="n">
        <f aca="false">AC18+AD18</f>
        <v>0</v>
      </c>
      <c r="D18" s="17" t="n">
        <f aca="false">IF($A18&gt;Annahmen!$B$68,INDEX($AC$18:$AC$41,$A18-Annahmen!$B$68),0)*Annahmen!$B$59+IF($A18=Annahmen!$B$71+Annahmen!$B$73,Annahmen!$B$72*Annahmen!$B$74,0)</f>
        <v>0</v>
      </c>
      <c r="E18" s="17" t="n">
        <f aca="false">D18</f>
        <v>0</v>
      </c>
      <c r="F18" s="17" t="n">
        <f aca="false">E18*(1-Annahmen!$B$61)</f>
        <v>0</v>
      </c>
      <c r="G18" s="17" t="n">
        <f aca="false">E18*Annahmen!$B$61</f>
        <v>0</v>
      </c>
      <c r="H18" s="24" t="n">
        <f aca="false">F18*Annahmen!$B$87+G18*Annahmen!$B$88</f>
        <v>0</v>
      </c>
      <c r="I18" s="17" t="n">
        <f aca="false">IF($A18&gt;=Annahmen!$B$55,Annahmen!$B$64*(1-Annahmen!$B$65),0)</f>
        <v>0</v>
      </c>
      <c r="J18" s="17" t="n">
        <f aca="false">IF($A18&gt;=Annahmen!$B$55,Annahmen!$B$64*Annahmen!$B$65,0)</f>
        <v>0</v>
      </c>
      <c r="K18" s="24" t="n">
        <f aca="false">I18*Annahmen!$B$80+J18*Annahmen!$B$81</f>
        <v>0</v>
      </c>
      <c r="L18" s="17" t="n">
        <f aca="false">IF($A18&gt;=Annahmen!$B$55,Annahmen!$B$66,0)</f>
        <v>0</v>
      </c>
      <c r="M18" s="24" t="n">
        <f aca="false">L18*Annahmen!$B$82</f>
        <v>0</v>
      </c>
      <c r="N18" s="24" t="n">
        <f aca="false">H18+K18+M18</f>
        <v>0</v>
      </c>
      <c r="O18" s="24" t="n">
        <f aca="false">N18/(1+Annahmen!$B$9)</f>
        <v>0</v>
      </c>
      <c r="P18" s="24" t="n">
        <f aca="false">O18*(Annahmen!$B$63*Annahmen!$B$83+(1-Annahmen!$B$63)*Annahmen!$B$84)+(E18*Annahmen!$B$62+E18*(1-Annahmen!$B$62)/12+I18+J18+L18)*(1-Annahmen!$B$63)*Annahmen!$B$85</f>
        <v>0</v>
      </c>
      <c r="Q18" s="17" t="n">
        <f aca="false">Annahmen!$B$67</f>
        <v>4</v>
      </c>
      <c r="R18" s="24" t="n">
        <f aca="false">Q18*(Annahmen!$B$43+Annahmen!$B$154)</f>
        <v>259.483850895744</v>
      </c>
      <c r="S18" s="24" t="n">
        <f aca="false">I18*Annahmen!$B$44+(J18+L18)*Annahmen!$B$45</f>
        <v>0</v>
      </c>
      <c r="T18" s="24" t="n">
        <f aca="false">C18*Annahmen!$B$86</f>
        <v>0</v>
      </c>
      <c r="U18" s="24" t="n">
        <f aca="false">SUMPRODUCT((((Annahmen!$C$161:$C$174="monatlich")*(Annahmen!$D$161:$D$174&lt;=$A18))+((Annahmen!$C$161:$C$174="einmalig")*(Annahmen!$D$161:$D$174=$A18)))*Annahmen!$B$161:$B$174*Annahmen!$E$161:$E$174)</f>
        <v>3518.26773742402</v>
      </c>
      <c r="V18" s="24" t="n">
        <f aca="false">IF($A18&gt;=Annahmen!$B$55,Annahmen!$B$143,0)</f>
        <v>0</v>
      </c>
      <c r="W18" s="36" t="n">
        <f aca="false">MAX(0,(E18-Annahmen!$B$147)/Annahmen!$B$148)</f>
        <v>0</v>
      </c>
      <c r="X18" s="24" t="n">
        <f aca="false">W18*Annahmen!$B$146</f>
        <v>0</v>
      </c>
      <c r="Y18" s="24" t="n">
        <f aca="false">O18-P18-R18-S18-T18-U18-V18-X18+AB18</f>
        <v>-3777.75158831976</v>
      </c>
      <c r="Z18" s="24" t="n">
        <f aca="false">Y18</f>
        <v>-3777.75158831976</v>
      </c>
      <c r="AA18" s="15" t="n">
        <f aca="false">MAX(0,C18-E18)</f>
        <v>0</v>
      </c>
      <c r="AB18" s="24" t="n">
        <f aca="false">IF($A18&gt;=Annahmen!$B$69,AA18*Annahmen!$B$70,0)</f>
        <v>0</v>
      </c>
      <c r="AC18" s="15" t="n">
        <f aca="false">IF($A18&lt;Annahmen!$B$55,0,Annahmen!$B$56)</f>
        <v>0</v>
      </c>
      <c r="AD18" s="15" t="n">
        <f aca="false">IF($A18&lt;Annahmen!$B$71,0,IF($A18&lt;Annahmen!$B$71+Annahmen!$B$73,Annahmen!$B$72,Annahmen!$B$72*Annahmen!$B$75))</f>
        <v>0</v>
      </c>
      <c r="AE18" s="7" t="n">
        <f aca="false">IF(Y18&gt;0,1,0)</f>
        <v>0</v>
      </c>
      <c r="AF18" s="7" t="n">
        <f aca="false">IF(Z18&gt;=0,1,0)</f>
        <v>0</v>
      </c>
    </row>
    <row r="19" customFormat="false" ht="15" hidden="false" customHeight="false" outlineLevel="0" collapsed="false">
      <c r="A19" s="7" t="n">
        <v>2</v>
      </c>
      <c r="B19" s="7" t="s">
        <v>391</v>
      </c>
      <c r="C19" s="15" t="n">
        <f aca="false">AC19+AD19</f>
        <v>0</v>
      </c>
      <c r="D19" s="17" t="n">
        <f aca="false">IF($A19&gt;Annahmen!$B$68,INDEX($AC$18:$AC$41,$A19-Annahmen!$B$68),0)*Annahmen!$B$59+IF($A19=Annahmen!$B$71+Annahmen!$B$73,Annahmen!$B$72*Annahmen!$B$74,0)</f>
        <v>0</v>
      </c>
      <c r="E19" s="17" t="n">
        <f aca="false">E18*(1-Annahmen!$B$60)+D19</f>
        <v>0</v>
      </c>
      <c r="F19" s="17" t="n">
        <f aca="false">E19*(1-Annahmen!$B$61)</f>
        <v>0</v>
      </c>
      <c r="G19" s="17" t="n">
        <f aca="false">E19*Annahmen!$B$61</f>
        <v>0</v>
      </c>
      <c r="H19" s="24" t="n">
        <f aca="false">F19*Annahmen!$B$87+G19*Annahmen!$B$88</f>
        <v>0</v>
      </c>
      <c r="I19" s="17" t="n">
        <f aca="false">IF($A19&gt;=Annahmen!$B$55,Annahmen!$B$64*(1-Annahmen!$B$65),0)</f>
        <v>0</v>
      </c>
      <c r="J19" s="17" t="n">
        <f aca="false">IF($A19&gt;=Annahmen!$B$55,Annahmen!$B$64*Annahmen!$B$65,0)</f>
        <v>0</v>
      </c>
      <c r="K19" s="24" t="n">
        <f aca="false">I19*Annahmen!$B$80+J19*Annahmen!$B$81</f>
        <v>0</v>
      </c>
      <c r="L19" s="17" t="n">
        <f aca="false">IF($A19&gt;=Annahmen!$B$55,Annahmen!$B$66,0)</f>
        <v>0</v>
      </c>
      <c r="M19" s="24" t="n">
        <f aca="false">L19*Annahmen!$B$82</f>
        <v>0</v>
      </c>
      <c r="N19" s="24" t="n">
        <f aca="false">H19+K19+M19</f>
        <v>0</v>
      </c>
      <c r="O19" s="24" t="n">
        <f aca="false">N19/(1+Annahmen!$B$9)</f>
        <v>0</v>
      </c>
      <c r="P19" s="24" t="n">
        <f aca="false">O19*(Annahmen!$B$63*Annahmen!$B$83+(1-Annahmen!$B$63)*Annahmen!$B$84)+(E19*Annahmen!$B$62+E19*(1-Annahmen!$B$62)/12+I19+J19+L19)*(1-Annahmen!$B$63)*Annahmen!$B$85</f>
        <v>0</v>
      </c>
      <c r="Q19" s="17" t="n">
        <f aca="false">Annahmen!$B$67</f>
        <v>4</v>
      </c>
      <c r="R19" s="24" t="n">
        <f aca="false">Q19*(Annahmen!$B$43+Annahmen!$B$154)</f>
        <v>259.483850895744</v>
      </c>
      <c r="S19" s="24" t="n">
        <f aca="false">I19*Annahmen!$B$44+(J19+L19)*Annahmen!$B$45</f>
        <v>0</v>
      </c>
      <c r="T19" s="24" t="n">
        <f aca="false">C19*Annahmen!$B$86</f>
        <v>0</v>
      </c>
      <c r="U19" s="24" t="n">
        <f aca="false">SUMPRODUCT((((Annahmen!$C$161:$C$174="monatlich")*(Annahmen!$D$161:$D$174&lt;=$A19))+((Annahmen!$C$161:$C$174="einmalig")*(Annahmen!$D$161:$D$174=$A19)))*Annahmen!$B$161:$B$174*Annahmen!$E$161:$E$174)</f>
        <v>92.3204681497364</v>
      </c>
      <c r="V19" s="24" t="n">
        <f aca="false">IF($A19&gt;=Annahmen!$B$55,Annahmen!$B$143,0)</f>
        <v>0</v>
      </c>
      <c r="W19" s="36" t="n">
        <f aca="false">MAX(0,(E19-Annahmen!$B$147)/Annahmen!$B$148)</f>
        <v>0</v>
      </c>
      <c r="X19" s="24" t="n">
        <f aca="false">W19*Annahmen!$B$146</f>
        <v>0</v>
      </c>
      <c r="Y19" s="24" t="n">
        <f aca="false">O19-P19-R19-S19-T19-U19-V19-X19+AB19</f>
        <v>-351.804319045481</v>
      </c>
      <c r="Z19" s="24" t="n">
        <f aca="false">Z18+Y19</f>
        <v>-4129.55590736524</v>
      </c>
      <c r="AA19" s="15" t="n">
        <f aca="false">MAX(0,C19-E19)</f>
        <v>0</v>
      </c>
      <c r="AB19" s="24" t="n">
        <f aca="false">IF($A19&gt;=Annahmen!$B$69,AA19*Annahmen!$B$70,0)</f>
        <v>0</v>
      </c>
      <c r="AC19" s="15" t="n">
        <f aca="false">IF($A19&lt;Annahmen!$B$55,0,IF($A19=Annahmen!$B$55,Annahmen!$B$56,AC18*(1+Annahmen!$B$57*(1-C18/Annahmen!$B$58))))</f>
        <v>0</v>
      </c>
      <c r="AD19" s="15" t="n">
        <f aca="false">IF($A19&lt;Annahmen!$B$71,0,IF($A19&lt;Annahmen!$B$71+Annahmen!$B$73,Annahmen!$B$72,Annahmen!$B$72*Annahmen!$B$75))</f>
        <v>0</v>
      </c>
      <c r="AE19" s="7" t="n">
        <f aca="false">IF(Y19&gt;0,1,0)</f>
        <v>0</v>
      </c>
      <c r="AF19" s="7" t="n">
        <f aca="false">IF(Z19&gt;=0,1,0)</f>
        <v>0</v>
      </c>
    </row>
    <row r="20" customFormat="false" ht="15" hidden="false" customHeight="false" outlineLevel="0" collapsed="false">
      <c r="A20" s="7" t="n">
        <v>3</v>
      </c>
      <c r="B20" s="7" t="s">
        <v>392</v>
      </c>
      <c r="C20" s="15" t="n">
        <f aca="false">AC20+AD20</f>
        <v>0</v>
      </c>
      <c r="D20" s="17" t="n">
        <f aca="false">IF($A20&gt;Annahmen!$B$68,INDEX($AC$18:$AC$41,$A20-Annahmen!$B$68),0)*Annahmen!$B$59+IF($A20=Annahmen!$B$71+Annahmen!$B$73,Annahmen!$B$72*Annahmen!$B$74,0)</f>
        <v>0</v>
      </c>
      <c r="E20" s="17" t="n">
        <f aca="false">E19*(1-Annahmen!$B$60)+D20</f>
        <v>0</v>
      </c>
      <c r="F20" s="17" t="n">
        <f aca="false">E20*(1-Annahmen!$B$61)</f>
        <v>0</v>
      </c>
      <c r="G20" s="17" t="n">
        <f aca="false">E20*Annahmen!$B$61</f>
        <v>0</v>
      </c>
      <c r="H20" s="24" t="n">
        <f aca="false">F20*Annahmen!$B$87+G20*Annahmen!$B$88</f>
        <v>0</v>
      </c>
      <c r="I20" s="17" t="n">
        <f aca="false">IF($A20&gt;=Annahmen!$B$55,Annahmen!$B$64*(1-Annahmen!$B$65),0)</f>
        <v>0</v>
      </c>
      <c r="J20" s="17" t="n">
        <f aca="false">IF($A20&gt;=Annahmen!$B$55,Annahmen!$B$64*Annahmen!$B$65,0)</f>
        <v>0</v>
      </c>
      <c r="K20" s="24" t="n">
        <f aca="false">I20*Annahmen!$B$80+J20*Annahmen!$B$81</f>
        <v>0</v>
      </c>
      <c r="L20" s="17" t="n">
        <f aca="false">IF($A20&gt;=Annahmen!$B$55,Annahmen!$B$66,0)</f>
        <v>0</v>
      </c>
      <c r="M20" s="24" t="n">
        <f aca="false">L20*Annahmen!$B$82</f>
        <v>0</v>
      </c>
      <c r="N20" s="24" t="n">
        <f aca="false">H20+K20+M20</f>
        <v>0</v>
      </c>
      <c r="O20" s="24" t="n">
        <f aca="false">N20/(1+Annahmen!$B$9)</f>
        <v>0</v>
      </c>
      <c r="P20" s="24" t="n">
        <f aca="false">O20*(Annahmen!$B$63*Annahmen!$B$83+(1-Annahmen!$B$63)*Annahmen!$B$84)+(E20*Annahmen!$B$62+E20*(1-Annahmen!$B$62)/12+I20+J20+L20)*(1-Annahmen!$B$63)*Annahmen!$B$85</f>
        <v>0</v>
      </c>
      <c r="Q20" s="17" t="n">
        <f aca="false">Annahmen!$B$67</f>
        <v>4</v>
      </c>
      <c r="R20" s="24" t="n">
        <f aca="false">Q20*(Annahmen!$B$43+Annahmen!$B$154)</f>
        <v>259.483850895744</v>
      </c>
      <c r="S20" s="24" t="n">
        <f aca="false">I20*Annahmen!$B$44+(J20+L20)*Annahmen!$B$45</f>
        <v>0</v>
      </c>
      <c r="T20" s="24" t="n">
        <f aca="false">C20*Annahmen!$B$86</f>
        <v>0</v>
      </c>
      <c r="U20" s="24" t="n">
        <f aca="false">SUMPRODUCT((((Annahmen!$C$161:$C$174="monatlich")*(Annahmen!$D$161:$D$174&lt;=$A20))+((Annahmen!$C$161:$C$174="einmalig")*(Annahmen!$D$161:$D$174=$A20)))*Annahmen!$B$161:$B$174*Annahmen!$E$161:$E$174)</f>
        <v>69.9850799606897</v>
      </c>
      <c r="V20" s="24" t="n">
        <f aca="false">IF($A20&gt;=Annahmen!$B$55,Annahmen!$B$143,0)</f>
        <v>0</v>
      </c>
      <c r="W20" s="36" t="n">
        <f aca="false">MAX(0,(E20-Annahmen!$B$147)/Annahmen!$B$148)</f>
        <v>0</v>
      </c>
      <c r="X20" s="24" t="n">
        <f aca="false">W20*Annahmen!$B$146</f>
        <v>0</v>
      </c>
      <c r="Y20" s="24" t="n">
        <f aca="false">O20-P20-R20-S20-T20-U20-V20-X20+AB20</f>
        <v>-329.468930856434</v>
      </c>
      <c r="Z20" s="24" t="n">
        <f aca="false">Z19+Y20</f>
        <v>-4459.02483822168</v>
      </c>
      <c r="AA20" s="15" t="n">
        <f aca="false">MAX(0,C20-E20)</f>
        <v>0</v>
      </c>
      <c r="AB20" s="24" t="n">
        <f aca="false">IF($A20&gt;=Annahmen!$B$69,AA20*Annahmen!$B$70,0)</f>
        <v>0</v>
      </c>
      <c r="AC20" s="15" t="n">
        <f aca="false">IF($A20&lt;Annahmen!$B$55,0,IF($A20=Annahmen!$B$55,Annahmen!$B$56,AC19*(1+Annahmen!$B$57*(1-C19/Annahmen!$B$58))))</f>
        <v>0</v>
      </c>
      <c r="AD20" s="15" t="n">
        <f aca="false">IF($A20&lt;Annahmen!$B$71,0,IF($A20&lt;Annahmen!$B$71+Annahmen!$B$73,Annahmen!$B$72,Annahmen!$B$72*Annahmen!$B$75))</f>
        <v>0</v>
      </c>
      <c r="AE20" s="7" t="n">
        <f aca="false">IF(Y20&gt;0,1,0)</f>
        <v>0</v>
      </c>
      <c r="AF20" s="7" t="n">
        <f aca="false">IF(Z20&gt;=0,1,0)</f>
        <v>0</v>
      </c>
    </row>
    <row r="21" customFormat="false" ht="15" hidden="false" customHeight="false" outlineLevel="0" collapsed="false">
      <c r="A21" s="7" t="n">
        <v>4</v>
      </c>
      <c r="B21" s="7" t="s">
        <v>393</v>
      </c>
      <c r="C21" s="15" t="n">
        <f aca="false">AC21+AD21</f>
        <v>200</v>
      </c>
      <c r="D21" s="17" t="n">
        <f aca="false">IF($A21&gt;Annahmen!$B$68,INDEX($AC$18:$AC$41,$A21-Annahmen!$B$68),0)*Annahmen!$B$59+IF($A21=Annahmen!$B$71+Annahmen!$B$73,Annahmen!$B$72*Annahmen!$B$74,0)</f>
        <v>0</v>
      </c>
      <c r="E21" s="17" t="n">
        <f aca="false">E20*(1-Annahmen!$B$60)+D21</f>
        <v>0</v>
      </c>
      <c r="F21" s="17" t="n">
        <f aca="false">E21*(1-Annahmen!$B$61)</f>
        <v>0</v>
      </c>
      <c r="G21" s="17" t="n">
        <f aca="false">E21*Annahmen!$B$61</f>
        <v>0</v>
      </c>
      <c r="H21" s="24" t="n">
        <f aca="false">F21*Annahmen!$B$87+G21*Annahmen!$B$88</f>
        <v>0</v>
      </c>
      <c r="I21" s="17" t="n">
        <f aca="false">IF($A21&gt;=Annahmen!$B$55,Annahmen!$B$64*(1-Annahmen!$B$65),0)</f>
        <v>0.35</v>
      </c>
      <c r="J21" s="17" t="n">
        <f aca="false">IF($A21&gt;=Annahmen!$B$55,Annahmen!$B$64*Annahmen!$B$65,0)</f>
        <v>0.15</v>
      </c>
      <c r="K21" s="24" t="n">
        <f aca="false">I21*Annahmen!$B$80+J21*Annahmen!$B$81</f>
        <v>32.245</v>
      </c>
      <c r="L21" s="17" t="n">
        <f aca="false">IF($A21&gt;=Annahmen!$B$55,Annahmen!$B$66,0)</f>
        <v>0</v>
      </c>
      <c r="M21" s="24" t="n">
        <f aca="false">L21*Annahmen!$B$82</f>
        <v>0</v>
      </c>
      <c r="N21" s="24" t="n">
        <f aca="false">H21+K21+M21</f>
        <v>32.245</v>
      </c>
      <c r="O21" s="24" t="n">
        <f aca="false">N21/(1+Annahmen!$B$9)</f>
        <v>27.0966386554622</v>
      </c>
      <c r="P21" s="24" t="n">
        <f aca="false">O21*(Annahmen!$B$63*Annahmen!$B$83+(1-Annahmen!$B$63)*Annahmen!$B$84)+(E21*Annahmen!$B$62+E21*(1-Annahmen!$B$62)/12+I21+J21+L21)*(1-Annahmen!$B$63)*Annahmen!$B$85</f>
        <v>2.65127731092437</v>
      </c>
      <c r="Q21" s="17" t="n">
        <f aca="false">Annahmen!$B$67</f>
        <v>4</v>
      </c>
      <c r="R21" s="24" t="n">
        <f aca="false">Q21*(Annahmen!$B$43+Annahmen!$B$154)</f>
        <v>259.483850895744</v>
      </c>
      <c r="S21" s="24" t="n">
        <f aca="false">I21*Annahmen!$B$44+(J21+L21)*Annahmen!$B$45</f>
        <v>15.6845378437918</v>
      </c>
      <c r="T21" s="24" t="n">
        <f aca="false">C21*Annahmen!$B$86</f>
        <v>2</v>
      </c>
      <c r="U21" s="24" t="n">
        <f aca="false">SUMPRODUCT((((Annahmen!$C$161:$C$174="monatlich")*(Annahmen!$D$161:$D$174&lt;=$A21))+((Annahmen!$C$161:$C$174="einmalig")*(Annahmen!$D$161:$D$174=$A21)))*Annahmen!$B$161:$B$174*Annahmen!$E$161:$E$174)</f>
        <v>69.9850799606897</v>
      </c>
      <c r="V21" s="24" t="n">
        <f aca="false">IF($A21&gt;=Annahmen!$B$55,Annahmen!$B$143,0)</f>
        <v>200</v>
      </c>
      <c r="W21" s="36" t="n">
        <f aca="false">MAX(0,(E21-Annahmen!$B$147)/Annahmen!$B$148)</f>
        <v>0</v>
      </c>
      <c r="X21" s="24" t="n">
        <f aca="false">W21*Annahmen!$B$146</f>
        <v>0</v>
      </c>
      <c r="Y21" s="24" t="n">
        <f aca="false">O21-P21-R21-S21-T21-U21-V21-X21+AB21</f>
        <v>-522.708107355688</v>
      </c>
      <c r="Z21" s="24" t="n">
        <f aca="false">Z20+Y21</f>
        <v>-4981.73294557737</v>
      </c>
      <c r="AA21" s="15" t="n">
        <f aca="false">MAX(0,C21-E21)</f>
        <v>200</v>
      </c>
      <c r="AB21" s="24" t="n">
        <f aca="false">IF($A21&gt;=Annahmen!$B$69,AA21*Annahmen!$B$70,0)</f>
        <v>0</v>
      </c>
      <c r="AC21" s="15" t="n">
        <f aca="false">IF($A21&lt;Annahmen!$B$55,0,IF($A21=Annahmen!$B$55,Annahmen!$B$56,AC20*(1+Annahmen!$B$57*(1-C20/Annahmen!$B$58))))</f>
        <v>200</v>
      </c>
      <c r="AD21" s="15" t="n">
        <f aca="false">IF($A21&lt;Annahmen!$B$71,0,IF($A21&lt;Annahmen!$B$71+Annahmen!$B$73,Annahmen!$B$72,Annahmen!$B$72*Annahmen!$B$75))</f>
        <v>0</v>
      </c>
      <c r="AE21" s="7" t="n">
        <f aca="false">IF(Y21&gt;0,1,0)</f>
        <v>0</v>
      </c>
      <c r="AF21" s="7" t="n">
        <f aca="false">IF(Z21&gt;=0,1,0)</f>
        <v>0</v>
      </c>
    </row>
    <row r="22" customFormat="false" ht="15" hidden="false" customHeight="false" outlineLevel="0" collapsed="false">
      <c r="A22" s="7" t="n">
        <v>5</v>
      </c>
      <c r="B22" s="7" t="s">
        <v>394</v>
      </c>
      <c r="C22" s="15" t="n">
        <f aca="false">AC22+AD22</f>
        <v>515.936</v>
      </c>
      <c r="D22" s="17" t="n">
        <f aca="false">IF($A22&gt;Annahmen!$B$68,INDEX($AC$18:$AC$41,$A22-Annahmen!$B$68),0)*Annahmen!$B$59+IF($A22=Annahmen!$B$71+Annahmen!$B$73,Annahmen!$B$72*Annahmen!$B$74,0)</f>
        <v>1</v>
      </c>
      <c r="E22" s="17" t="n">
        <f aca="false">E21*(1-Annahmen!$B$60)+D22</f>
        <v>1</v>
      </c>
      <c r="F22" s="17" t="n">
        <f aca="false">E22*(1-Annahmen!$B$61)</f>
        <v>0.7</v>
      </c>
      <c r="G22" s="17" t="n">
        <f aca="false">E22*Annahmen!$B$61</f>
        <v>0.3</v>
      </c>
      <c r="H22" s="24" t="n">
        <f aca="false">F22*Annahmen!$B$87+G22*Annahmen!$B$88</f>
        <v>6.26275</v>
      </c>
      <c r="I22" s="17" t="n">
        <f aca="false">IF($A22&gt;=Annahmen!$B$55,Annahmen!$B$64*(1-Annahmen!$B$65),0)</f>
        <v>0.35</v>
      </c>
      <c r="J22" s="17" t="n">
        <f aca="false">IF($A22&gt;=Annahmen!$B$55,Annahmen!$B$64*Annahmen!$B$65,0)</f>
        <v>0.15</v>
      </c>
      <c r="K22" s="24" t="n">
        <f aca="false">I22*Annahmen!$B$80+J22*Annahmen!$B$81</f>
        <v>32.245</v>
      </c>
      <c r="L22" s="17" t="n">
        <f aca="false">IF($A22&gt;=Annahmen!$B$55,Annahmen!$B$66,0)</f>
        <v>0</v>
      </c>
      <c r="M22" s="24" t="n">
        <f aca="false">L22*Annahmen!$B$82</f>
        <v>0</v>
      </c>
      <c r="N22" s="24" t="n">
        <f aca="false">H22+K22+M22</f>
        <v>38.50775</v>
      </c>
      <c r="O22" s="24" t="n">
        <f aca="false">N22/(1+Annahmen!$B$9)</f>
        <v>32.3594537815126</v>
      </c>
      <c r="P22" s="24" t="n">
        <f aca="false">O22*(Annahmen!$B$63*Annahmen!$B$83+(1-Annahmen!$B$63)*Annahmen!$B$84)+(E22*Annahmen!$B$62+E22*(1-Annahmen!$B$62)/12+I22+J22+L22)*(1-Annahmen!$B$63)*Annahmen!$B$85</f>
        <v>3.22900756302521</v>
      </c>
      <c r="Q22" s="17" t="n">
        <f aca="false">Annahmen!$B$67</f>
        <v>4</v>
      </c>
      <c r="R22" s="24" t="n">
        <f aca="false">Q22*(Annahmen!$B$43+Annahmen!$B$154)</f>
        <v>259.483850895744</v>
      </c>
      <c r="S22" s="24" t="n">
        <f aca="false">I22*Annahmen!$B$44+(J22+L22)*Annahmen!$B$45</f>
        <v>15.6845378437918</v>
      </c>
      <c r="T22" s="24" t="n">
        <f aca="false">C22*Annahmen!$B$86</f>
        <v>5.15936</v>
      </c>
      <c r="U22" s="24" t="n">
        <f aca="false">SUMPRODUCT((((Annahmen!$C$161:$C$174="monatlich")*(Annahmen!$D$161:$D$174&lt;=$A22))+((Annahmen!$C$161:$C$174="einmalig")*(Annahmen!$D$161:$D$174=$A22)))*Annahmen!$B$161:$B$174*Annahmen!$E$161:$E$174)</f>
        <v>309.98507996069</v>
      </c>
      <c r="V22" s="24" t="n">
        <f aca="false">IF($A22&gt;=Annahmen!$B$55,Annahmen!$B$143,0)</f>
        <v>200</v>
      </c>
      <c r="W22" s="36" t="n">
        <f aca="false">MAX(0,(E22-Annahmen!$B$147)/Annahmen!$B$148)</f>
        <v>0</v>
      </c>
      <c r="X22" s="24" t="n">
        <f aca="false">W22*Annahmen!$B$146</f>
        <v>0</v>
      </c>
      <c r="Y22" s="24" t="n">
        <f aca="false">O22-P22-R22-S22-T22-U22-V22-X22+AB22</f>
        <v>-761.182382481738</v>
      </c>
      <c r="Z22" s="24" t="n">
        <f aca="false">Z21+Y22</f>
        <v>-5742.9153280591</v>
      </c>
      <c r="AA22" s="15" t="n">
        <f aca="false">MAX(0,C22-E22)</f>
        <v>514.936</v>
      </c>
      <c r="AB22" s="24" t="n">
        <f aca="false">IF($A22&gt;=Annahmen!$B$69,AA22*Annahmen!$B$70,0)</f>
        <v>0</v>
      </c>
      <c r="AC22" s="15" t="n">
        <f aca="false">IF($A22&lt;Annahmen!$B$55,0,IF($A22=Annahmen!$B$55,Annahmen!$B$56,AC21*(1+Annahmen!$B$57*(1-C21/Annahmen!$B$58))))</f>
        <v>215.936</v>
      </c>
      <c r="AD22" s="15" t="n">
        <f aca="false">IF($A22&lt;Annahmen!$B$71,0,IF($A22&lt;Annahmen!$B$71+Annahmen!$B$73,Annahmen!$B$72,Annahmen!$B$72*Annahmen!$B$75))</f>
        <v>300</v>
      </c>
      <c r="AE22" s="7" t="n">
        <f aca="false">IF(Y22&gt;0,1,0)</f>
        <v>0</v>
      </c>
      <c r="AF22" s="7" t="n">
        <f aca="false">IF(Z22&gt;=0,1,0)</f>
        <v>0</v>
      </c>
    </row>
    <row r="23" customFormat="false" ht="15" hidden="false" customHeight="false" outlineLevel="0" collapsed="false">
      <c r="A23" s="7" t="n">
        <v>6</v>
      </c>
      <c r="B23" s="7" t="s">
        <v>395</v>
      </c>
      <c r="C23" s="15" t="n">
        <f aca="false">AC23+AD23</f>
        <v>533.032625350246</v>
      </c>
      <c r="D23" s="17" t="n">
        <f aca="false">IF($A23&gt;Annahmen!$B$68,INDEX($AC$18:$AC$41,$A23-Annahmen!$B$68),0)*Annahmen!$B$59+IF($A23=Annahmen!$B$71+Annahmen!$B$73,Annahmen!$B$72*Annahmen!$B$74,0)</f>
        <v>1.07968</v>
      </c>
      <c r="E23" s="17" t="n">
        <f aca="false">E22*(1-Annahmen!$B$60)+D23</f>
        <v>1.99968</v>
      </c>
      <c r="F23" s="17" t="n">
        <f aca="false">E23*(1-Annahmen!$B$61)</f>
        <v>1.399776</v>
      </c>
      <c r="G23" s="17" t="n">
        <f aca="false">E23*Annahmen!$B$61</f>
        <v>0.599904</v>
      </c>
      <c r="H23" s="24" t="n">
        <f aca="false">F23*Annahmen!$B$87+G23*Annahmen!$B$88</f>
        <v>12.52349592</v>
      </c>
      <c r="I23" s="17" t="n">
        <f aca="false">IF($A23&gt;=Annahmen!$B$55,Annahmen!$B$64*(1-Annahmen!$B$65),0)</f>
        <v>0.35</v>
      </c>
      <c r="J23" s="17" t="n">
        <f aca="false">IF($A23&gt;=Annahmen!$B$55,Annahmen!$B$64*Annahmen!$B$65,0)</f>
        <v>0.15</v>
      </c>
      <c r="K23" s="24" t="n">
        <f aca="false">I23*Annahmen!$B$80+J23*Annahmen!$B$81</f>
        <v>32.245</v>
      </c>
      <c r="L23" s="17" t="n">
        <f aca="false">IF($A23&gt;=Annahmen!$B$55,Annahmen!$B$66,0)</f>
        <v>0</v>
      </c>
      <c r="M23" s="24" t="n">
        <f aca="false">L23*Annahmen!$B$82</f>
        <v>0</v>
      </c>
      <c r="N23" s="24" t="n">
        <f aca="false">H23+K23+M23</f>
        <v>44.76849592</v>
      </c>
      <c r="O23" s="24" t="n">
        <f aca="false">N23/(1+Annahmen!$B$9)</f>
        <v>37.6205848067227</v>
      </c>
      <c r="P23" s="24" t="n">
        <f aca="false">O23*(Annahmen!$B$63*Annahmen!$B$83+(1-Annahmen!$B$63)*Annahmen!$B$84)+(E23*Annahmen!$B$62+E23*(1-Annahmen!$B$62)/12+I23+J23+L23)*(1-Annahmen!$B$63)*Annahmen!$B$85</f>
        <v>3.80655294144538</v>
      </c>
      <c r="Q23" s="17" t="n">
        <f aca="false">Annahmen!$B$67</f>
        <v>4</v>
      </c>
      <c r="R23" s="24" t="n">
        <f aca="false">Q23*(Annahmen!$B$43+Annahmen!$B$154)</f>
        <v>259.483850895744</v>
      </c>
      <c r="S23" s="24" t="n">
        <f aca="false">I23*Annahmen!$B$44+(J23+L23)*Annahmen!$B$45</f>
        <v>15.6845378437918</v>
      </c>
      <c r="T23" s="24" t="n">
        <f aca="false">C23*Annahmen!$B$86</f>
        <v>5.33032625350246</v>
      </c>
      <c r="U23" s="24" t="n">
        <f aca="false">SUMPRODUCT((((Annahmen!$C$161:$C$174="monatlich")*(Annahmen!$D$161:$D$174&lt;=$A23))+((Annahmen!$C$161:$C$174="einmalig")*(Annahmen!$D$161:$D$174=$A23)))*Annahmen!$B$161:$B$174*Annahmen!$E$161:$E$174)</f>
        <v>69.9850799606897</v>
      </c>
      <c r="V23" s="24" t="n">
        <f aca="false">IF($A23&gt;=Annahmen!$B$55,Annahmen!$B$143,0)</f>
        <v>200</v>
      </c>
      <c r="W23" s="36" t="n">
        <f aca="false">MAX(0,(E23-Annahmen!$B$147)/Annahmen!$B$148)</f>
        <v>0</v>
      </c>
      <c r="X23" s="24" t="n">
        <f aca="false">W23*Annahmen!$B$146</f>
        <v>0</v>
      </c>
      <c r="Y23" s="24" t="n">
        <f aca="false">O23-P23-R23-S23-T23-U23-V23-X23+AB23</f>
        <v>-516.669763088451</v>
      </c>
      <c r="Z23" s="24" t="n">
        <f aca="false">Z22+Y23</f>
        <v>-6259.58509114755</v>
      </c>
      <c r="AA23" s="15" t="n">
        <f aca="false">MAX(0,C23-E23)</f>
        <v>531.032945350246</v>
      </c>
      <c r="AB23" s="24" t="n">
        <f aca="false">IF($A23&gt;=Annahmen!$B$69,AA23*Annahmen!$B$70,0)</f>
        <v>0</v>
      </c>
      <c r="AC23" s="15" t="n">
        <f aca="false">IF($A23&lt;Annahmen!$B$55,0,IF($A23=Annahmen!$B$55,Annahmen!$B$56,AC22*(1+Annahmen!$B$57*(1-C22/Annahmen!$B$58))))</f>
        <v>233.032625350246</v>
      </c>
      <c r="AD23" s="15" t="n">
        <f aca="false">IF($A23&lt;Annahmen!$B$71,0,IF($A23&lt;Annahmen!$B$71+Annahmen!$B$73,Annahmen!$B$72,Annahmen!$B$72*Annahmen!$B$75))</f>
        <v>300</v>
      </c>
      <c r="AE23" s="7" t="n">
        <f aca="false">IF(Y23&gt;0,1,0)</f>
        <v>0</v>
      </c>
      <c r="AF23" s="7" t="n">
        <f aca="false">IF(Z23&gt;=0,1,0)</f>
        <v>0</v>
      </c>
    </row>
    <row r="24" customFormat="false" ht="15" hidden="false" customHeight="false" outlineLevel="0" collapsed="false">
      <c r="A24" s="7" t="n">
        <v>7</v>
      </c>
      <c r="B24" s="7" t="s">
        <v>396</v>
      </c>
      <c r="C24" s="15" t="n">
        <f aca="false">AC24+AD24</f>
        <v>551.476492990934</v>
      </c>
      <c r="D24" s="17" t="n">
        <f aca="false">IF($A24&gt;Annahmen!$B$68,INDEX($AC$18:$AC$41,$A24-Annahmen!$B$68),0)*Annahmen!$B$59+IF($A24=Annahmen!$B$71+Annahmen!$B$73,Annahmen!$B$72*Annahmen!$B$74,0)</f>
        <v>1.16516312675123</v>
      </c>
      <c r="E24" s="17" t="n">
        <f aca="false">E23*(1-Annahmen!$B$60)+D24</f>
        <v>3.00486872675123</v>
      </c>
      <c r="F24" s="17" t="n">
        <f aca="false">E24*(1-Annahmen!$B$61)</f>
        <v>2.10340810872586</v>
      </c>
      <c r="G24" s="17" t="n">
        <f aca="false">E24*Annahmen!$B$61</f>
        <v>0.90146061802537</v>
      </c>
      <c r="H24" s="24" t="n">
        <f aca="false">F24*Annahmen!$B$87+G24*Annahmen!$B$88</f>
        <v>18.8187416184613</v>
      </c>
      <c r="I24" s="17" t="n">
        <f aca="false">IF($A24&gt;=Annahmen!$B$55,Annahmen!$B$64*(1-Annahmen!$B$65),0)</f>
        <v>0.35</v>
      </c>
      <c r="J24" s="17" t="n">
        <f aca="false">IF($A24&gt;=Annahmen!$B$55,Annahmen!$B$64*Annahmen!$B$65,0)</f>
        <v>0.15</v>
      </c>
      <c r="K24" s="24" t="n">
        <f aca="false">I24*Annahmen!$B$80+J24*Annahmen!$B$81</f>
        <v>32.245</v>
      </c>
      <c r="L24" s="17" t="n">
        <f aca="false">IF($A24&gt;=Annahmen!$B$55,Annahmen!$B$66,0)</f>
        <v>0</v>
      </c>
      <c r="M24" s="24" t="n">
        <f aca="false">L24*Annahmen!$B$82</f>
        <v>0</v>
      </c>
      <c r="N24" s="24" t="n">
        <f aca="false">H24+K24+M24</f>
        <v>51.0637416184613</v>
      </c>
      <c r="O24" s="24" t="n">
        <f aca="false">N24/(1+Annahmen!$B$9)</f>
        <v>42.9107072424044</v>
      </c>
      <c r="P24" s="24" t="n">
        <f aca="false">O24*(Annahmen!$B$63*Annahmen!$B$83+(1-Annahmen!$B$63)*Annahmen!$B$84)+(E24*Annahmen!$B$62+E24*(1-Annahmen!$B$62)/12+I24+J24+L24)*(1-Annahmen!$B$63)*Annahmen!$B$85</f>
        <v>4.38728087796029</v>
      </c>
      <c r="Q24" s="17" t="n">
        <f aca="false">Annahmen!$B$67</f>
        <v>4</v>
      </c>
      <c r="R24" s="24" t="n">
        <f aca="false">Q24*(Annahmen!$B$43+Annahmen!$B$154)</f>
        <v>259.483850895744</v>
      </c>
      <c r="S24" s="24" t="n">
        <f aca="false">I24*Annahmen!$B$44+(J24+L24)*Annahmen!$B$45</f>
        <v>15.6845378437918</v>
      </c>
      <c r="T24" s="24" t="n">
        <f aca="false">C24*Annahmen!$B$86</f>
        <v>5.51476492990934</v>
      </c>
      <c r="U24" s="24" t="n">
        <f aca="false">SUMPRODUCT((((Annahmen!$C$161:$C$174="monatlich")*(Annahmen!$D$161:$D$174&lt;=$A24))+((Annahmen!$C$161:$C$174="einmalig")*(Annahmen!$D$161:$D$174=$A24)))*Annahmen!$B$161:$B$174*Annahmen!$E$161:$E$174)</f>
        <v>69.9850799606897</v>
      </c>
      <c r="V24" s="24" t="n">
        <f aca="false">IF($A24&gt;=Annahmen!$B$55,Annahmen!$B$143,0)</f>
        <v>200</v>
      </c>
      <c r="W24" s="36" t="n">
        <f aca="false">MAX(0,(E24-Annahmen!$B$147)/Annahmen!$B$148)</f>
        <v>0</v>
      </c>
      <c r="X24" s="24" t="n">
        <f aca="false">W24*Annahmen!$B$146</f>
        <v>0</v>
      </c>
      <c r="Y24" s="24" t="n">
        <f aca="false">O24-P24-R24-S24-T24-U24-V24-X24+AB24</f>
        <v>-512.144807265691</v>
      </c>
      <c r="Z24" s="24" t="n">
        <f aca="false">Z23+Y24</f>
        <v>-6771.72989841325</v>
      </c>
      <c r="AA24" s="15" t="n">
        <f aca="false">MAX(0,C24-E24)</f>
        <v>548.471624264183</v>
      </c>
      <c r="AB24" s="24" t="n">
        <f aca="false">IF($A24&gt;=Annahmen!$B$69,AA24*Annahmen!$B$70,0)</f>
        <v>0</v>
      </c>
      <c r="AC24" s="15" t="n">
        <f aca="false">IF($A24&lt;Annahmen!$B$55,0,IF($A24=Annahmen!$B$55,Annahmen!$B$56,AC23*(1+Annahmen!$B$57*(1-C23/Annahmen!$B$58))))</f>
        <v>251.476492990934</v>
      </c>
      <c r="AD24" s="15" t="n">
        <f aca="false">IF($A24&lt;Annahmen!$B$71,0,IF($A24&lt;Annahmen!$B$71+Annahmen!$B$73,Annahmen!$B$72,Annahmen!$B$72*Annahmen!$B$75))</f>
        <v>300</v>
      </c>
      <c r="AE24" s="7" t="n">
        <f aca="false">IF(Y24&gt;0,1,0)</f>
        <v>0</v>
      </c>
      <c r="AF24" s="7" t="n">
        <f aca="false">IF(Z24&gt;=0,1,0)</f>
        <v>0</v>
      </c>
    </row>
    <row r="25" customFormat="false" ht="15" hidden="false" customHeight="false" outlineLevel="0" collapsed="false">
      <c r="A25" s="7" t="n">
        <v>8</v>
      </c>
      <c r="B25" s="7" t="s">
        <v>397</v>
      </c>
      <c r="C25" s="15" t="n">
        <f aca="false">AC25+AD25</f>
        <v>361.37271903113</v>
      </c>
      <c r="D25" s="17" t="n">
        <f aca="false">IF($A25&gt;Annahmen!$B$68,INDEX($AC$18:$AC$41,$A25-Annahmen!$B$68),0)*Annahmen!$B$59+IF($A25=Annahmen!$B$71+Annahmen!$B$73,Annahmen!$B$72*Annahmen!$B$74,0)</f>
        <v>10.2573824649547</v>
      </c>
      <c r="E25" s="17" t="n">
        <f aca="false">E24*(1-Annahmen!$B$60)+D25</f>
        <v>13.0218616935658</v>
      </c>
      <c r="F25" s="17" t="n">
        <f aca="false">E25*(1-Annahmen!$B$61)</f>
        <v>9.11530318549606</v>
      </c>
      <c r="G25" s="17" t="n">
        <f aca="false">E25*Annahmen!$B$61</f>
        <v>3.90655850806974</v>
      </c>
      <c r="H25" s="24" t="n">
        <f aca="false">F25*Annahmen!$B$87+G25*Annahmen!$B$88</f>
        <v>81.5526643213792</v>
      </c>
      <c r="I25" s="17" t="n">
        <f aca="false">IF($A25&gt;=Annahmen!$B$55,Annahmen!$B$64*(1-Annahmen!$B$65),0)</f>
        <v>0.35</v>
      </c>
      <c r="J25" s="17" t="n">
        <f aca="false">IF($A25&gt;=Annahmen!$B$55,Annahmen!$B$64*Annahmen!$B$65,0)</f>
        <v>0.15</v>
      </c>
      <c r="K25" s="24" t="n">
        <f aca="false">I25*Annahmen!$B$80+J25*Annahmen!$B$81</f>
        <v>32.245</v>
      </c>
      <c r="L25" s="17" t="n">
        <f aca="false">IF($A25&gt;=Annahmen!$B$55,Annahmen!$B$66,0)</f>
        <v>0</v>
      </c>
      <c r="M25" s="24" t="n">
        <f aca="false">L25*Annahmen!$B$82</f>
        <v>0</v>
      </c>
      <c r="N25" s="24" t="n">
        <f aca="false">H25+K25+M25</f>
        <v>113.797664321379</v>
      </c>
      <c r="O25" s="24" t="n">
        <f aca="false">N25/(1+Annahmen!$B$9)</f>
        <v>95.6282893456968</v>
      </c>
      <c r="P25" s="24" t="n">
        <f aca="false">O25*(Annahmen!$B$63*Annahmen!$B$83+(1-Annahmen!$B$63)*Annahmen!$B$84)+(E25*Annahmen!$B$62+E25*(1-Annahmen!$B$62)/12+I25+J25+L25)*(1-Annahmen!$B$63)*Annahmen!$B$85</f>
        <v>10.1744007499704</v>
      </c>
      <c r="Q25" s="17" t="n">
        <f aca="false">Annahmen!$B$67</f>
        <v>4</v>
      </c>
      <c r="R25" s="24" t="n">
        <f aca="false">Q25*(Annahmen!$B$43+Annahmen!$B$154)</f>
        <v>259.483850895744</v>
      </c>
      <c r="S25" s="24" t="n">
        <f aca="false">I25*Annahmen!$B$44+(J25+L25)*Annahmen!$B$45</f>
        <v>15.6845378437918</v>
      </c>
      <c r="T25" s="24" t="n">
        <f aca="false">C25*Annahmen!$B$86</f>
        <v>3.6137271903113</v>
      </c>
      <c r="U25" s="24" t="n">
        <f aca="false">SUMPRODUCT((((Annahmen!$C$161:$C$174="monatlich")*(Annahmen!$D$161:$D$174&lt;=$A25))+((Annahmen!$C$161:$C$174="einmalig")*(Annahmen!$D$161:$D$174=$A25)))*Annahmen!$B$161:$B$174*Annahmen!$E$161:$E$174)</f>
        <v>69.9850799606897</v>
      </c>
      <c r="V25" s="24" t="n">
        <f aca="false">IF($A25&gt;=Annahmen!$B$55,Annahmen!$B$143,0)</f>
        <v>200</v>
      </c>
      <c r="W25" s="36" t="n">
        <f aca="false">MAX(0,(E25-Annahmen!$B$147)/Annahmen!$B$148)</f>
        <v>0</v>
      </c>
      <c r="X25" s="24" t="n">
        <f aca="false">W25*Annahmen!$B$146</f>
        <v>0</v>
      </c>
      <c r="Y25" s="24" t="n">
        <f aca="false">O25-P25-R25-S25-T25-U25-V25-X25+AB25</f>
        <v>-463.31330729481</v>
      </c>
      <c r="Z25" s="24" t="n">
        <f aca="false">Z24+Y25</f>
        <v>-7235.04320570806</v>
      </c>
      <c r="AA25" s="15" t="n">
        <f aca="false">MAX(0,C25-E25)</f>
        <v>348.350857337564</v>
      </c>
      <c r="AB25" s="24" t="n">
        <f aca="false">IF($A25&gt;=Annahmen!$B$69,AA25*Annahmen!$B$70,0)</f>
        <v>0</v>
      </c>
      <c r="AC25" s="15" t="n">
        <f aca="false">IF($A25&lt;Annahmen!$B$55,0,IF($A25=Annahmen!$B$55,Annahmen!$B$56,AC24*(1+Annahmen!$B$57*(1-C24/Annahmen!$B$58))))</f>
        <v>271.37271903113</v>
      </c>
      <c r="AD25" s="15" t="n">
        <f aca="false">IF($A25&lt;Annahmen!$B$71,0,IF($A25&lt;Annahmen!$B$71+Annahmen!$B$73,Annahmen!$B$72,Annahmen!$B$72*Annahmen!$B$75))</f>
        <v>90</v>
      </c>
      <c r="AE25" s="7" t="n">
        <f aca="false">IF(Y25&gt;0,1,0)</f>
        <v>0</v>
      </c>
      <c r="AF25" s="7" t="n">
        <f aca="false">IF(Z25&gt;=0,1,0)</f>
        <v>0</v>
      </c>
    </row>
    <row r="26" customFormat="false" ht="15" hidden="false" customHeight="false" outlineLevel="0" collapsed="false">
      <c r="A26" s="7" t="n">
        <v>9</v>
      </c>
      <c r="B26" s="7" t="s">
        <v>398</v>
      </c>
      <c r="C26" s="15" t="n">
        <f aca="false">AC26+AD26</f>
        <v>382.925629837865</v>
      </c>
      <c r="D26" s="17" t="n">
        <f aca="false">IF($A26&gt;Annahmen!$B$68,INDEX($AC$18:$AC$41,$A26-Annahmen!$B$68),0)*Annahmen!$B$59+IF($A26=Annahmen!$B$71+Annahmen!$B$73,Annahmen!$B$72*Annahmen!$B$74,0)</f>
        <v>1.35686359515565</v>
      </c>
      <c r="E26" s="17" t="n">
        <f aca="false">E25*(1-Annahmen!$B$60)+D26</f>
        <v>13.3369763532362</v>
      </c>
      <c r="F26" s="17" t="n">
        <f aca="false">E26*(1-Annahmen!$B$61)</f>
        <v>9.33588344726533</v>
      </c>
      <c r="G26" s="17" t="n">
        <f aca="false">E26*Annahmen!$B$61</f>
        <v>4.00109290597086</v>
      </c>
      <c r="H26" s="24" t="n">
        <f aca="false">F26*Annahmen!$B$87+G26*Annahmen!$B$88</f>
        <v>83.5261486562299</v>
      </c>
      <c r="I26" s="17" t="n">
        <f aca="false">IF($A26&gt;=Annahmen!$B$55,Annahmen!$B$64*(1-Annahmen!$B$65),0)</f>
        <v>0.35</v>
      </c>
      <c r="J26" s="17" t="n">
        <f aca="false">IF($A26&gt;=Annahmen!$B$55,Annahmen!$B$64*Annahmen!$B$65,0)</f>
        <v>0.15</v>
      </c>
      <c r="K26" s="24" t="n">
        <f aca="false">I26*Annahmen!$B$80+J26*Annahmen!$B$81</f>
        <v>32.245</v>
      </c>
      <c r="L26" s="17" t="n">
        <f aca="false">IF($A26&gt;=Annahmen!$B$55,Annahmen!$B$66,0)</f>
        <v>0</v>
      </c>
      <c r="M26" s="24" t="n">
        <f aca="false">L26*Annahmen!$B$82</f>
        <v>0</v>
      </c>
      <c r="N26" s="24" t="n">
        <f aca="false">H26+K26+M26</f>
        <v>115.77114865623</v>
      </c>
      <c r="O26" s="24" t="n">
        <f aca="false">N26/(1+Annahmen!$B$9)</f>
        <v>97.2866795430504</v>
      </c>
      <c r="P26" s="24" t="n">
        <f aca="false">O26*(Annahmen!$B$63*Annahmen!$B$83+(1-Annahmen!$B$63)*Annahmen!$B$84)+(E26*Annahmen!$B$62+E26*(1-Annahmen!$B$62)/12+I26+J26+L26)*(1-Annahmen!$B$63)*Annahmen!$B$85</f>
        <v>10.3564520217425</v>
      </c>
      <c r="Q26" s="17" t="n">
        <f aca="false">Annahmen!$B$67</f>
        <v>4</v>
      </c>
      <c r="R26" s="24" t="n">
        <f aca="false">Q26*(Annahmen!$B$43+Annahmen!$B$154)</f>
        <v>259.483850895744</v>
      </c>
      <c r="S26" s="24" t="n">
        <f aca="false">I26*Annahmen!$B$44+(J26+L26)*Annahmen!$B$45</f>
        <v>15.6845378437918</v>
      </c>
      <c r="T26" s="24" t="n">
        <f aca="false">C26*Annahmen!$B$86</f>
        <v>3.82925629837865</v>
      </c>
      <c r="U26" s="24" t="n">
        <f aca="false">SUMPRODUCT((((Annahmen!$C$161:$C$174="monatlich")*(Annahmen!$D$161:$D$174&lt;=$A26))+((Annahmen!$C$161:$C$174="einmalig")*(Annahmen!$D$161:$D$174=$A26)))*Annahmen!$B$161:$B$174*Annahmen!$E$161:$E$174)</f>
        <v>69.9850799606897</v>
      </c>
      <c r="V26" s="24" t="n">
        <f aca="false">IF($A26&gt;=Annahmen!$B$55,Annahmen!$B$143,0)</f>
        <v>200</v>
      </c>
      <c r="W26" s="36" t="n">
        <f aca="false">MAX(0,(E26-Annahmen!$B$147)/Annahmen!$B$148)</f>
        <v>0</v>
      </c>
      <c r="X26" s="24" t="n">
        <f aca="false">W26*Annahmen!$B$146</f>
        <v>0</v>
      </c>
      <c r="Y26" s="24" t="n">
        <f aca="false">O26-P26-R26-S26-T26-U26-V26-X26+AB26</f>
        <v>-462.052497477296</v>
      </c>
      <c r="Z26" s="24" t="n">
        <f aca="false">Z25+Y26</f>
        <v>-7697.09570318535</v>
      </c>
      <c r="AA26" s="15" t="n">
        <f aca="false">MAX(0,C26-E26)</f>
        <v>369.588653484628</v>
      </c>
      <c r="AB26" s="24" t="n">
        <f aca="false">IF($A26&gt;=Annahmen!$B$69,AA26*Annahmen!$B$70,0)</f>
        <v>0</v>
      </c>
      <c r="AC26" s="15" t="n">
        <f aca="false">IF($A26&lt;Annahmen!$B$55,0,IF($A26=Annahmen!$B$55,Annahmen!$B$56,AC25*(1+Annahmen!$B$57*(1-C25/Annahmen!$B$58))))</f>
        <v>292.925629837865</v>
      </c>
      <c r="AD26" s="15" t="n">
        <f aca="false">IF($A26&lt;Annahmen!$B$71,0,IF($A26&lt;Annahmen!$B$71+Annahmen!$B$73,Annahmen!$B$72,Annahmen!$B$72*Annahmen!$B$75))</f>
        <v>90</v>
      </c>
      <c r="AE26" s="7" t="n">
        <f aca="false">IF(Y26&gt;0,1,0)</f>
        <v>0</v>
      </c>
      <c r="AF26" s="7" t="n">
        <f aca="false">IF(Z26&gt;=0,1,0)</f>
        <v>0</v>
      </c>
    </row>
    <row r="27" customFormat="false" ht="15" hidden="false" customHeight="false" outlineLevel="0" collapsed="false">
      <c r="A27" s="7" t="n">
        <v>10</v>
      </c>
      <c r="B27" s="7" t="s">
        <v>399</v>
      </c>
      <c r="C27" s="15" t="n">
        <f aca="false">AC27+AD27</f>
        <v>406.180210254812</v>
      </c>
      <c r="D27" s="17" t="n">
        <f aca="false">IF($A27&gt;Annahmen!$B$68,INDEX($AC$18:$AC$41,$A27-Annahmen!$B$68),0)*Annahmen!$B$59+IF($A27=Annahmen!$B$71+Annahmen!$B$73,Annahmen!$B$72*Annahmen!$B$74,0)</f>
        <v>1.46462814918932</v>
      </c>
      <c r="E27" s="17" t="n">
        <f aca="false">E26*(1-Annahmen!$B$60)+D27</f>
        <v>13.7346463941666</v>
      </c>
      <c r="F27" s="17" t="n">
        <f aca="false">E27*(1-Annahmen!$B$61)</f>
        <v>9.61425247591663</v>
      </c>
      <c r="G27" s="17" t="n">
        <f aca="false">E27*Annahmen!$B$61</f>
        <v>4.12039391824998</v>
      </c>
      <c r="H27" s="24" t="n">
        <f aca="false">F27*Annahmen!$B$87+G27*Annahmen!$B$88</f>
        <v>86.016656705067</v>
      </c>
      <c r="I27" s="17" t="n">
        <f aca="false">IF($A27&gt;=Annahmen!$B$55,Annahmen!$B$64*(1-Annahmen!$B$65),0)</f>
        <v>0.35</v>
      </c>
      <c r="J27" s="17" t="n">
        <f aca="false">IF($A27&gt;=Annahmen!$B$55,Annahmen!$B$64*Annahmen!$B$65,0)</f>
        <v>0.15</v>
      </c>
      <c r="K27" s="24" t="n">
        <f aca="false">I27*Annahmen!$B$80+J27*Annahmen!$B$81</f>
        <v>32.245</v>
      </c>
      <c r="L27" s="17" t="n">
        <f aca="false">IF($A27&gt;=Annahmen!$B$55,Annahmen!$B$66,0)</f>
        <v>0</v>
      </c>
      <c r="M27" s="24" t="n">
        <f aca="false">L27*Annahmen!$B$82</f>
        <v>0</v>
      </c>
      <c r="N27" s="24" t="n">
        <f aca="false">H27+K27+M27</f>
        <v>118.261656705067</v>
      </c>
      <c r="O27" s="24" t="n">
        <f aca="false">N27/(1+Annahmen!$B$9)</f>
        <v>99.3795434496361</v>
      </c>
      <c r="P27" s="24" t="n">
        <f aca="false">O27*(Annahmen!$B$63*Annahmen!$B$83+(1-Annahmen!$B$63)*Annahmen!$B$84)+(E27*Annahmen!$B$62+E27*(1-Annahmen!$B$62)/12+I27+J27+L27)*(1-Annahmen!$B$63)*Annahmen!$B$85</f>
        <v>10.5861980347421</v>
      </c>
      <c r="Q27" s="17" t="n">
        <f aca="false">Annahmen!$B$67</f>
        <v>4</v>
      </c>
      <c r="R27" s="24" t="n">
        <f aca="false">Q27*(Annahmen!$B$43+Annahmen!$B$154)</f>
        <v>259.483850895744</v>
      </c>
      <c r="S27" s="24" t="n">
        <f aca="false">I27*Annahmen!$B$44+(J27+L27)*Annahmen!$B$45</f>
        <v>15.6845378437918</v>
      </c>
      <c r="T27" s="24" t="n">
        <f aca="false">C27*Annahmen!$B$86</f>
        <v>4.06180210254812</v>
      </c>
      <c r="U27" s="24" t="n">
        <f aca="false">SUMPRODUCT((((Annahmen!$C$161:$C$174="monatlich")*(Annahmen!$D$161:$D$174&lt;=$A27))+((Annahmen!$C$161:$C$174="einmalig")*(Annahmen!$D$161:$D$174=$A27)))*Annahmen!$B$161:$B$174*Annahmen!$E$161:$E$174)</f>
        <v>69.9850799606897</v>
      </c>
      <c r="V27" s="24" t="n">
        <f aca="false">IF($A27&gt;=Annahmen!$B$55,Annahmen!$B$143,0)</f>
        <v>200</v>
      </c>
      <c r="W27" s="36" t="n">
        <f aca="false">MAX(0,(E27-Annahmen!$B$147)/Annahmen!$B$148)</f>
        <v>0</v>
      </c>
      <c r="X27" s="24" t="n">
        <f aca="false">W27*Annahmen!$B$146</f>
        <v>0</v>
      </c>
      <c r="Y27" s="24" t="n">
        <f aca="false">O27-P27-R27-S27-T27-U27-V27-X27+AB27</f>
        <v>-460.42192538788</v>
      </c>
      <c r="Z27" s="24" t="n">
        <f aca="false">Z26+Y27</f>
        <v>-8157.51762857323</v>
      </c>
      <c r="AA27" s="15" t="n">
        <f aca="false">MAX(0,C27-E27)</f>
        <v>392.445563860645</v>
      </c>
      <c r="AB27" s="24" t="n">
        <f aca="false">IF($A27&gt;=Annahmen!$B$69,AA27*Annahmen!$B$70,0)</f>
        <v>0</v>
      </c>
      <c r="AC27" s="15" t="n">
        <f aca="false">IF($A27&lt;Annahmen!$B$55,0,IF($A27=Annahmen!$B$55,Annahmen!$B$56,AC26*(1+Annahmen!$B$57*(1-C26/Annahmen!$B$58))))</f>
        <v>316.180210254812</v>
      </c>
      <c r="AD27" s="15" t="n">
        <f aca="false">IF($A27&lt;Annahmen!$B$71,0,IF($A27&lt;Annahmen!$B$71+Annahmen!$B$73,Annahmen!$B$72,Annahmen!$B$72*Annahmen!$B$75))</f>
        <v>90</v>
      </c>
      <c r="AE27" s="7" t="n">
        <f aca="false">IF(Y27&gt;0,1,0)</f>
        <v>0</v>
      </c>
      <c r="AF27" s="7" t="n">
        <f aca="false">IF(Z27&gt;=0,1,0)</f>
        <v>0</v>
      </c>
    </row>
    <row r="28" customFormat="false" ht="15" hidden="false" customHeight="false" outlineLevel="0" collapsed="false">
      <c r="A28" s="7" t="n">
        <v>11</v>
      </c>
      <c r="B28" s="7" t="s">
        <v>400</v>
      </c>
      <c r="C28" s="15" t="n">
        <f aca="false">AC28+AD28</f>
        <v>431.269145244349</v>
      </c>
      <c r="D28" s="17" t="n">
        <f aca="false">IF($A28&gt;Annahmen!$B$68,INDEX($AC$18:$AC$41,$A28-Annahmen!$B$68),0)*Annahmen!$B$59+IF($A28=Annahmen!$B$71+Annahmen!$B$73,Annahmen!$B$72*Annahmen!$B$74,0)</f>
        <v>1.58090105127406</v>
      </c>
      <c r="E28" s="17" t="n">
        <f aca="false">E27*(1-Annahmen!$B$60)+D28</f>
        <v>14.2167757339073</v>
      </c>
      <c r="F28" s="17" t="n">
        <f aca="false">E28*(1-Annahmen!$B$61)</f>
        <v>9.95174301373514</v>
      </c>
      <c r="G28" s="17" t="n">
        <f aca="false">E28*Annahmen!$B$61</f>
        <v>4.2650327201722</v>
      </c>
      <c r="H28" s="24" t="n">
        <f aca="false">F28*Annahmen!$B$87+G28*Annahmen!$B$88</f>
        <v>89.0361122275282</v>
      </c>
      <c r="I28" s="17" t="n">
        <f aca="false">IF($A28&gt;=Annahmen!$B$55,Annahmen!$B$64*(1-Annahmen!$B$65),0)</f>
        <v>0.35</v>
      </c>
      <c r="J28" s="17" t="n">
        <f aca="false">IF($A28&gt;=Annahmen!$B$55,Annahmen!$B$64*Annahmen!$B$65,0)</f>
        <v>0.15</v>
      </c>
      <c r="K28" s="24" t="n">
        <f aca="false">I28*Annahmen!$B$80+J28*Annahmen!$B$81</f>
        <v>32.245</v>
      </c>
      <c r="L28" s="17" t="n">
        <f aca="false">IF($A28&gt;=Annahmen!$B$55,Annahmen!$B$66,0)</f>
        <v>0</v>
      </c>
      <c r="M28" s="24" t="n">
        <f aca="false">L28*Annahmen!$B$82</f>
        <v>0</v>
      </c>
      <c r="N28" s="24" t="n">
        <f aca="false">H28+K28+M28</f>
        <v>121.281112227528</v>
      </c>
      <c r="O28" s="24" t="n">
        <f aca="false">N28/(1+Annahmen!$B$9)</f>
        <v>101.916901031536</v>
      </c>
      <c r="P28" s="24" t="n">
        <f aca="false">O28*(Annahmen!$B$63*Annahmen!$B$83+(1-Annahmen!$B$63)*Annahmen!$B$84)+(E28*Annahmen!$B$62+E28*(1-Annahmen!$B$62)/12+I28+J28+L28)*(1-Annahmen!$B$63)*Annahmen!$B$85</f>
        <v>10.8647387397358</v>
      </c>
      <c r="Q28" s="17" t="n">
        <f aca="false">Annahmen!$B$67</f>
        <v>4</v>
      </c>
      <c r="R28" s="24" t="n">
        <f aca="false">Q28*(Annahmen!$B$43+Annahmen!$B$154)</f>
        <v>259.483850895744</v>
      </c>
      <c r="S28" s="24" t="n">
        <f aca="false">I28*Annahmen!$B$44+(J28+L28)*Annahmen!$B$45</f>
        <v>15.6845378437918</v>
      </c>
      <c r="T28" s="24" t="n">
        <f aca="false">C28*Annahmen!$B$86</f>
        <v>4.31269145244349</v>
      </c>
      <c r="U28" s="24" t="n">
        <f aca="false">SUMPRODUCT((((Annahmen!$C$161:$C$174="monatlich")*(Annahmen!$D$161:$D$174&lt;=$A28))+((Annahmen!$C$161:$C$174="einmalig")*(Annahmen!$D$161:$D$174=$A28)))*Annahmen!$B$161:$B$174*Annahmen!$E$161:$E$174)</f>
        <v>69.9850799606897</v>
      </c>
      <c r="V28" s="24" t="n">
        <f aca="false">IF($A28&gt;=Annahmen!$B$55,Annahmen!$B$143,0)</f>
        <v>200</v>
      </c>
      <c r="W28" s="36" t="n">
        <f aca="false">MAX(0,(E28-Annahmen!$B$147)/Annahmen!$B$148)</f>
        <v>0</v>
      </c>
      <c r="X28" s="24" t="n">
        <f aca="false">W28*Annahmen!$B$146</f>
        <v>0</v>
      </c>
      <c r="Y28" s="24" t="n">
        <f aca="false">O28-P28-R28-S28-T28-U28-V28-X28+AB28</f>
        <v>-458.413997860869</v>
      </c>
      <c r="Z28" s="24" t="n">
        <f aca="false">Z27+Y28</f>
        <v>-8615.9316264341</v>
      </c>
      <c r="AA28" s="15" t="n">
        <f aca="false">MAX(0,C28-E28)</f>
        <v>417.052369510442</v>
      </c>
      <c r="AB28" s="24" t="n">
        <f aca="false">IF($A28&gt;=Annahmen!$B$69,AA28*Annahmen!$B$70,0)</f>
        <v>0</v>
      </c>
      <c r="AC28" s="15" t="n">
        <f aca="false">IF($A28&lt;Annahmen!$B$55,0,IF($A28=Annahmen!$B$55,Annahmen!$B$56,AC27*(1+Annahmen!$B$57*(1-C27/Annahmen!$B$58))))</f>
        <v>341.269145244349</v>
      </c>
      <c r="AD28" s="15" t="n">
        <f aca="false">IF($A28&lt;Annahmen!$B$71,0,IF($A28&lt;Annahmen!$B$71+Annahmen!$B$73,Annahmen!$B$72,Annahmen!$B$72*Annahmen!$B$75))</f>
        <v>90</v>
      </c>
      <c r="AE28" s="7" t="n">
        <f aca="false">IF(Y28&gt;0,1,0)</f>
        <v>0</v>
      </c>
      <c r="AF28" s="7" t="n">
        <f aca="false">IF(Z28&gt;=0,1,0)</f>
        <v>0</v>
      </c>
    </row>
    <row r="29" customFormat="false" ht="15" hidden="false" customHeight="false" outlineLevel="0" collapsed="false">
      <c r="A29" s="7" t="n">
        <v>12</v>
      </c>
      <c r="B29" s="7" t="s">
        <v>401</v>
      </c>
      <c r="C29" s="15" t="n">
        <f aca="false">AC29+AD29</f>
        <v>458.335190699789</v>
      </c>
      <c r="D29" s="17" t="n">
        <f aca="false">IF($A29&gt;Annahmen!$B$68,INDEX($AC$18:$AC$41,$A29-Annahmen!$B$68),0)*Annahmen!$B$59+IF($A29=Annahmen!$B$71+Annahmen!$B$73,Annahmen!$B$72*Annahmen!$B$74,0)</f>
        <v>1.70634572622175</v>
      </c>
      <c r="E29" s="17" t="n">
        <f aca="false">E28*(1-Annahmen!$B$60)+D29</f>
        <v>14.7857794014165</v>
      </c>
      <c r="F29" s="17" t="n">
        <f aca="false">E29*(1-Annahmen!$B$61)</f>
        <v>10.3500455809916</v>
      </c>
      <c r="G29" s="17" t="n">
        <f aca="false">E29*Annahmen!$B$61</f>
        <v>4.43573382042495</v>
      </c>
      <c r="H29" s="24" t="n">
        <f aca="false">F29*Annahmen!$B$87+G29*Annahmen!$B$88</f>
        <v>92.5996399462212</v>
      </c>
      <c r="I29" s="17" t="n">
        <f aca="false">IF($A29&gt;=Annahmen!$B$55,Annahmen!$B$64*(1-Annahmen!$B$65),0)</f>
        <v>0.35</v>
      </c>
      <c r="J29" s="17" t="n">
        <f aca="false">IF($A29&gt;=Annahmen!$B$55,Annahmen!$B$64*Annahmen!$B$65,0)</f>
        <v>0.15</v>
      </c>
      <c r="K29" s="24" t="n">
        <f aca="false">I29*Annahmen!$B$80+J29*Annahmen!$B$81</f>
        <v>32.245</v>
      </c>
      <c r="L29" s="17" t="n">
        <f aca="false">IF($A29&gt;=Annahmen!$B$55,Annahmen!$B$66,0)</f>
        <v>0</v>
      </c>
      <c r="M29" s="24" t="n">
        <f aca="false">L29*Annahmen!$B$82</f>
        <v>0</v>
      </c>
      <c r="N29" s="24" t="n">
        <f aca="false">H29+K29+M29</f>
        <v>124.844639946221</v>
      </c>
      <c r="O29" s="24" t="n">
        <f aca="false">N29/(1+Annahmen!$B$9)</f>
        <v>104.911462139682</v>
      </c>
      <c r="P29" s="24" t="n">
        <f aca="false">O29*(Annahmen!$B$63*Annahmen!$B$83+(1-Annahmen!$B$63)*Annahmen!$B$84)+(E29*Annahmen!$B$62+E29*(1-Annahmen!$B$62)/12+I29+J29+L29)*(1-Annahmen!$B$63)*Annahmen!$B$85</f>
        <v>11.1934693720121</v>
      </c>
      <c r="Q29" s="17" t="n">
        <f aca="false">Annahmen!$B$67</f>
        <v>4</v>
      </c>
      <c r="R29" s="24" t="n">
        <f aca="false">Q29*(Annahmen!$B$43+Annahmen!$B$154)</f>
        <v>259.483850895744</v>
      </c>
      <c r="S29" s="24" t="n">
        <f aca="false">I29*Annahmen!$B$44+(J29+L29)*Annahmen!$B$45</f>
        <v>15.6845378437918</v>
      </c>
      <c r="T29" s="24" t="n">
        <f aca="false">C29*Annahmen!$B$86</f>
        <v>4.58335190699789</v>
      </c>
      <c r="U29" s="24" t="n">
        <f aca="false">SUMPRODUCT((((Annahmen!$C$161:$C$174="monatlich")*(Annahmen!$D$161:$D$174&lt;=$A29))+((Annahmen!$C$161:$C$174="einmalig")*(Annahmen!$D$161:$D$174=$A29)))*Annahmen!$B$161:$B$174*Annahmen!$E$161:$E$174)</f>
        <v>69.9850799606897</v>
      </c>
      <c r="V29" s="24" t="n">
        <f aca="false">IF($A29&gt;=Annahmen!$B$55,Annahmen!$B$143,0)</f>
        <v>200</v>
      </c>
      <c r="W29" s="36" t="n">
        <f aca="false">MAX(0,(E29-Annahmen!$B$147)/Annahmen!$B$148)</f>
        <v>0</v>
      </c>
      <c r="X29" s="24" t="n">
        <f aca="false">W29*Annahmen!$B$146</f>
        <v>0</v>
      </c>
      <c r="Y29" s="24" t="n">
        <f aca="false">O29-P29-R29-S29-T29-U29-V29-X29+AB29</f>
        <v>-456.018827839554</v>
      </c>
      <c r="Z29" s="24" t="n">
        <f aca="false">Z28+Y29</f>
        <v>-9071.95045427365</v>
      </c>
      <c r="AA29" s="15" t="n">
        <f aca="false">MAX(0,C29-E29)</f>
        <v>443.549411298372</v>
      </c>
      <c r="AB29" s="24" t="n">
        <f aca="false">IF($A29&gt;=Annahmen!$B$69,AA29*Annahmen!$B$70,0)</f>
        <v>0</v>
      </c>
      <c r="AC29" s="15" t="n">
        <f aca="false">IF($A29&lt;Annahmen!$B$55,0,IF($A29=Annahmen!$B$55,Annahmen!$B$56,AC28*(1+Annahmen!$B$57*(1-C28/Annahmen!$B$58))))</f>
        <v>368.335190699789</v>
      </c>
      <c r="AD29" s="15" t="n">
        <f aca="false">IF($A29&lt;Annahmen!$B$71,0,IF($A29&lt;Annahmen!$B$71+Annahmen!$B$73,Annahmen!$B$72,Annahmen!$B$72*Annahmen!$B$75))</f>
        <v>90</v>
      </c>
      <c r="AE29" s="7" t="n">
        <f aca="false">IF(Y29&gt;0,1,0)</f>
        <v>0</v>
      </c>
      <c r="AF29" s="7" t="n">
        <f aca="false">IF(Z29&gt;=0,1,0)</f>
        <v>0</v>
      </c>
    </row>
    <row r="30" customFormat="false" ht="15" hidden="false" customHeight="false" outlineLevel="0" collapsed="false">
      <c r="A30" s="7" t="n">
        <v>13</v>
      </c>
      <c r="B30" s="7" t="s">
        <v>402</v>
      </c>
      <c r="C30" s="15" t="n">
        <f aca="false">AC30+AD30</f>
        <v>487.531892387978</v>
      </c>
      <c r="D30" s="17" t="n">
        <f aca="false">IF($A30&gt;Annahmen!$B$68,INDEX($AC$18:$AC$41,$A30-Annahmen!$B$68),0)*Annahmen!$B$59+IF($A30=Annahmen!$B$71+Annahmen!$B$73,Annahmen!$B$72*Annahmen!$B$74,0)</f>
        <v>1.84167595349894</v>
      </c>
      <c r="E30" s="17" t="n">
        <f aca="false">E29*(1-Annahmen!$B$60)+D30</f>
        <v>15.4445930028021</v>
      </c>
      <c r="F30" s="17" t="n">
        <f aca="false">E30*(1-Annahmen!$B$61)</f>
        <v>10.8112151019615</v>
      </c>
      <c r="G30" s="17" t="n">
        <f aca="false">E30*Annahmen!$B$61</f>
        <v>4.63337790084064</v>
      </c>
      <c r="H30" s="24" t="n">
        <f aca="false">F30*Annahmen!$B$87+G30*Annahmen!$B$88</f>
        <v>96.725624828299</v>
      </c>
      <c r="I30" s="17" t="n">
        <f aca="false">IF($A30&gt;=Annahmen!$B$55,Annahmen!$B$64*(1-Annahmen!$B$65),0)</f>
        <v>0.35</v>
      </c>
      <c r="J30" s="17" t="n">
        <f aca="false">IF($A30&gt;=Annahmen!$B$55,Annahmen!$B$64*Annahmen!$B$65,0)</f>
        <v>0.15</v>
      </c>
      <c r="K30" s="24" t="n">
        <f aca="false">I30*Annahmen!$B$80+J30*Annahmen!$B$81</f>
        <v>32.245</v>
      </c>
      <c r="L30" s="17" t="n">
        <f aca="false">IF($A30&gt;=Annahmen!$B$55,Annahmen!$B$66,0)</f>
        <v>0</v>
      </c>
      <c r="M30" s="24" t="n">
        <f aca="false">L30*Annahmen!$B$82</f>
        <v>0</v>
      </c>
      <c r="N30" s="24" t="n">
        <f aca="false">H30+K30+M30</f>
        <v>128.970624828299</v>
      </c>
      <c r="O30" s="24" t="n">
        <f aca="false">N30/(1+Annahmen!$B$9)</f>
        <v>108.378676326302</v>
      </c>
      <c r="P30" s="24" t="n">
        <f aca="false">O30*(Annahmen!$B$63*Annahmen!$B$83+(1-Annahmen!$B$63)*Annahmen!$B$84)+(E30*Annahmen!$B$62+E30*(1-Annahmen!$B$62)/12+I30+J30+L30)*(1-Annahmen!$B$63)*Annahmen!$B$85</f>
        <v>11.5740859200281</v>
      </c>
      <c r="Q30" s="17" t="n">
        <f aca="false">Annahmen!$B$67</f>
        <v>4</v>
      </c>
      <c r="R30" s="24" t="n">
        <f aca="false">Q30*(Annahmen!$B$43+Annahmen!$B$154)</f>
        <v>259.483850895744</v>
      </c>
      <c r="S30" s="24" t="n">
        <f aca="false">I30*Annahmen!$B$44+(J30+L30)*Annahmen!$B$45</f>
        <v>15.6845378437918</v>
      </c>
      <c r="T30" s="24" t="n">
        <f aca="false">C30*Annahmen!$B$86</f>
        <v>4.87531892387978</v>
      </c>
      <c r="U30" s="24" t="n">
        <f aca="false">SUMPRODUCT((((Annahmen!$C$161:$C$174="monatlich")*(Annahmen!$D$161:$D$174&lt;=$A30))+((Annahmen!$C$161:$C$174="einmalig")*(Annahmen!$D$161:$D$174=$A30)))*Annahmen!$B$161:$B$174*Annahmen!$E$161:$E$174)</f>
        <v>69.9850799606897</v>
      </c>
      <c r="V30" s="24" t="n">
        <f aca="false">IF($A30&gt;=Annahmen!$B$55,Annahmen!$B$143,0)</f>
        <v>200</v>
      </c>
      <c r="W30" s="36" t="n">
        <f aca="false">MAX(0,(E30-Annahmen!$B$147)/Annahmen!$B$148)</f>
        <v>0</v>
      </c>
      <c r="X30" s="24" t="n">
        <f aca="false">W30*Annahmen!$B$146</f>
        <v>0</v>
      </c>
      <c r="Y30" s="24" t="n">
        <f aca="false">O30-P30-R30-S30-T30-U30-V30-X30+AB30</f>
        <v>-429.619832248573</v>
      </c>
      <c r="Z30" s="24" t="n">
        <f aca="false">Z29+Y30</f>
        <v>-9501.57028652223</v>
      </c>
      <c r="AA30" s="15" t="n">
        <f aca="false">MAX(0,C30-E30)</f>
        <v>472.087299385176</v>
      </c>
      <c r="AB30" s="24" t="n">
        <f aca="false">IF($A30&gt;=Annahmen!$B$69,AA30*Annahmen!$B$70,0)</f>
        <v>23.6043649692588</v>
      </c>
      <c r="AC30" s="15" t="n">
        <f aca="false">IF($A30&lt;Annahmen!$B$55,0,IF($A30=Annahmen!$B$55,Annahmen!$B$56,AC29*(1+Annahmen!$B$57*(1-C29/Annahmen!$B$58))))</f>
        <v>397.531892387978</v>
      </c>
      <c r="AD30" s="15" t="n">
        <f aca="false">IF($A30&lt;Annahmen!$B$71,0,IF($A30&lt;Annahmen!$B$71+Annahmen!$B$73,Annahmen!$B$72,Annahmen!$B$72*Annahmen!$B$75))</f>
        <v>90</v>
      </c>
      <c r="AE30" s="7" t="n">
        <f aca="false">IF(Y30&gt;0,1,0)</f>
        <v>0</v>
      </c>
      <c r="AF30" s="7" t="n">
        <f aca="false">IF(Z30&gt;=0,1,0)</f>
        <v>0</v>
      </c>
    </row>
    <row r="31" customFormat="false" ht="15" hidden="false" customHeight="false" outlineLevel="0" collapsed="false">
      <c r="A31" s="7" t="n">
        <v>14</v>
      </c>
      <c r="B31" s="7" t="s">
        <v>403</v>
      </c>
      <c r="C31" s="15" t="n">
        <f aca="false">AC31+AD31</f>
        <v>519.024348617768</v>
      </c>
      <c r="D31" s="17" t="n">
        <f aca="false">IF($A31&gt;Annahmen!$B$68,INDEX($AC$18:$AC$41,$A31-Annahmen!$B$68),0)*Annahmen!$B$59+IF($A31=Annahmen!$B$71+Annahmen!$B$73,Annahmen!$B$72*Annahmen!$B$74,0)</f>
        <v>1.98765946193989</v>
      </c>
      <c r="E31" s="17" t="n">
        <f aca="false">E30*(1-Annahmen!$B$60)+D31</f>
        <v>16.1966850245178</v>
      </c>
      <c r="F31" s="17" t="n">
        <f aca="false">E31*(1-Annahmen!$B$61)</f>
        <v>11.3376795171625</v>
      </c>
      <c r="G31" s="17" t="n">
        <f aca="false">E31*Annahmen!$B$61</f>
        <v>4.85900550735535</v>
      </c>
      <c r="H31" s="24" t="n">
        <f aca="false">F31*Annahmen!$B$87+G31*Annahmen!$B$88</f>
        <v>101.435789137299</v>
      </c>
      <c r="I31" s="17" t="n">
        <f aca="false">IF($A31&gt;=Annahmen!$B$55,Annahmen!$B$64*(1-Annahmen!$B$65),0)</f>
        <v>0.35</v>
      </c>
      <c r="J31" s="17" t="n">
        <f aca="false">IF($A31&gt;=Annahmen!$B$55,Annahmen!$B$64*Annahmen!$B$65,0)</f>
        <v>0.15</v>
      </c>
      <c r="K31" s="24" t="n">
        <f aca="false">I31*Annahmen!$B$80+J31*Annahmen!$B$81</f>
        <v>32.245</v>
      </c>
      <c r="L31" s="17" t="n">
        <f aca="false">IF($A31&gt;=Annahmen!$B$55,Annahmen!$B$66,0)</f>
        <v>0</v>
      </c>
      <c r="M31" s="24" t="n">
        <f aca="false">L31*Annahmen!$B$82</f>
        <v>0</v>
      </c>
      <c r="N31" s="24" t="n">
        <f aca="false">H31+K31+M31</f>
        <v>133.680789137299</v>
      </c>
      <c r="O31" s="24" t="n">
        <f aca="false">N31/(1+Annahmen!$B$9)</f>
        <v>112.336797594369</v>
      </c>
      <c r="P31" s="24" t="n">
        <f aca="false">O31*(Annahmen!$B$63*Annahmen!$B$83+(1-Annahmen!$B$63)*Annahmen!$B$84)+(E31*Annahmen!$B$62+E31*(1-Annahmen!$B$62)/12+I31+J31+L31)*(1-Annahmen!$B$63)*Annahmen!$B$85</f>
        <v>12.008592233337</v>
      </c>
      <c r="Q31" s="17" t="n">
        <f aca="false">Annahmen!$B$67</f>
        <v>4</v>
      </c>
      <c r="R31" s="24" t="n">
        <f aca="false">Q31*(Annahmen!$B$43+Annahmen!$B$154)</f>
        <v>259.483850895744</v>
      </c>
      <c r="S31" s="24" t="n">
        <f aca="false">I31*Annahmen!$B$44+(J31+L31)*Annahmen!$B$45</f>
        <v>15.6845378437918</v>
      </c>
      <c r="T31" s="24" t="n">
        <f aca="false">C31*Annahmen!$B$86</f>
        <v>5.19024348617768</v>
      </c>
      <c r="U31" s="24" t="n">
        <f aca="false">SUMPRODUCT((((Annahmen!$C$161:$C$174="monatlich")*(Annahmen!$D$161:$D$174&lt;=$A31))+((Annahmen!$C$161:$C$174="einmalig")*(Annahmen!$D$161:$D$174=$A31)))*Annahmen!$B$161:$B$174*Annahmen!$E$161:$E$174)</f>
        <v>69.9850799606897</v>
      </c>
      <c r="V31" s="24" t="n">
        <f aca="false">IF($A31&gt;=Annahmen!$B$55,Annahmen!$B$143,0)</f>
        <v>200</v>
      </c>
      <c r="W31" s="36" t="n">
        <f aca="false">MAX(0,(E31-Annahmen!$B$147)/Annahmen!$B$148)</f>
        <v>0</v>
      </c>
      <c r="X31" s="24" t="n">
        <f aca="false">W31*Annahmen!$B$146</f>
        <v>0</v>
      </c>
      <c r="Y31" s="24" t="n">
        <f aca="false">O31-P31-R31-S31-T31-U31-V31-X31+AB31</f>
        <v>-424.874123645709</v>
      </c>
      <c r="Z31" s="24" t="n">
        <f aca="false">Z30+Y31</f>
        <v>-9926.44441016794</v>
      </c>
      <c r="AA31" s="15" t="n">
        <f aca="false">MAX(0,C31-E31)</f>
        <v>502.82766359325</v>
      </c>
      <c r="AB31" s="24" t="n">
        <f aca="false">IF($A31&gt;=Annahmen!$B$69,AA31*Annahmen!$B$70,0)</f>
        <v>25.1413831796625</v>
      </c>
      <c r="AC31" s="15" t="n">
        <f aca="false">IF($A31&lt;Annahmen!$B$55,0,IF($A31=Annahmen!$B$55,Annahmen!$B$56,AC30*(1+Annahmen!$B$57*(1-C30/Annahmen!$B$58))))</f>
        <v>429.024348617768</v>
      </c>
      <c r="AD31" s="15" t="n">
        <f aca="false">IF($A31&lt;Annahmen!$B$71,0,IF($A31&lt;Annahmen!$B$71+Annahmen!$B$73,Annahmen!$B$72,Annahmen!$B$72*Annahmen!$B$75))</f>
        <v>90</v>
      </c>
      <c r="AE31" s="7" t="n">
        <f aca="false">IF(Y31&gt;0,1,0)</f>
        <v>0</v>
      </c>
      <c r="AF31" s="7" t="n">
        <f aca="false">IF(Z31&gt;=0,1,0)</f>
        <v>0</v>
      </c>
    </row>
    <row r="32" customFormat="false" ht="15" hidden="false" customHeight="false" outlineLevel="0" collapsed="false">
      <c r="A32" s="7" t="n">
        <v>15</v>
      </c>
      <c r="B32" s="7" t="s">
        <v>404</v>
      </c>
      <c r="C32" s="15" t="n">
        <f aca="false">AC32+AD32</f>
        <v>552.990017974257</v>
      </c>
      <c r="D32" s="17" t="n">
        <f aca="false">IF($A32&gt;Annahmen!$B$68,INDEX($AC$18:$AC$41,$A32-Annahmen!$B$68),0)*Annahmen!$B$59+IF($A32=Annahmen!$B$71+Annahmen!$B$73,Annahmen!$B$72*Annahmen!$B$74,0)</f>
        <v>2.14512174308884</v>
      </c>
      <c r="E32" s="17" t="n">
        <f aca="false">E31*(1-Annahmen!$B$60)+D32</f>
        <v>17.0460719656453</v>
      </c>
      <c r="F32" s="17" t="n">
        <f aca="false">E32*(1-Annahmen!$B$61)</f>
        <v>11.9322503759517</v>
      </c>
      <c r="G32" s="17" t="n">
        <f aca="false">E32*Annahmen!$B$61</f>
        <v>5.11382158969358</v>
      </c>
      <c r="H32" s="24" t="n">
        <f aca="false">F32*Annahmen!$B$87+G32*Annahmen!$B$88</f>
        <v>106.755287202845</v>
      </c>
      <c r="I32" s="17" t="n">
        <f aca="false">IF($A32&gt;=Annahmen!$B$55,Annahmen!$B$64*(1-Annahmen!$B$65),0)</f>
        <v>0.35</v>
      </c>
      <c r="J32" s="17" t="n">
        <f aca="false">IF($A32&gt;=Annahmen!$B$55,Annahmen!$B$64*Annahmen!$B$65,0)</f>
        <v>0.15</v>
      </c>
      <c r="K32" s="24" t="n">
        <f aca="false">I32*Annahmen!$B$80+J32*Annahmen!$B$81</f>
        <v>32.245</v>
      </c>
      <c r="L32" s="17" t="n">
        <f aca="false">IF($A32&gt;=Annahmen!$B$55,Annahmen!$B$66,0)</f>
        <v>0</v>
      </c>
      <c r="M32" s="24" t="n">
        <f aca="false">L32*Annahmen!$B$82</f>
        <v>0</v>
      </c>
      <c r="N32" s="24" t="n">
        <f aca="false">H32+K32+M32</f>
        <v>139.000287202845</v>
      </c>
      <c r="O32" s="24" t="n">
        <f aca="false">N32/(1+Annahmen!$B$9)</f>
        <v>116.806964036004</v>
      </c>
      <c r="P32" s="24" t="n">
        <f aca="false">O32*(Annahmen!$B$63*Annahmen!$B$83+(1-Annahmen!$B$63)*Annahmen!$B$84)+(E32*Annahmen!$B$62+E32*(1-Annahmen!$B$62)/12+I32+J32+L32)*(1-Annahmen!$B$63)*Annahmen!$B$85</f>
        <v>12.4993087649657</v>
      </c>
      <c r="Q32" s="17" t="n">
        <f aca="false">Annahmen!$B$67</f>
        <v>4</v>
      </c>
      <c r="R32" s="24" t="n">
        <f aca="false">Q32*(Annahmen!$B$43+Annahmen!$B$154)</f>
        <v>259.483850895744</v>
      </c>
      <c r="S32" s="24" t="n">
        <f aca="false">I32*Annahmen!$B$44+(J32+L32)*Annahmen!$B$45</f>
        <v>15.6845378437918</v>
      </c>
      <c r="T32" s="24" t="n">
        <f aca="false">C32*Annahmen!$B$86</f>
        <v>5.52990017974257</v>
      </c>
      <c r="U32" s="24" t="n">
        <f aca="false">SUMPRODUCT((((Annahmen!$C$161:$C$174="monatlich")*(Annahmen!$D$161:$D$174&lt;=$A32))+((Annahmen!$C$161:$C$174="einmalig")*(Annahmen!$D$161:$D$174=$A32)))*Annahmen!$B$161:$B$174*Annahmen!$E$161:$E$174)</f>
        <v>69.9850799606897</v>
      </c>
      <c r="V32" s="24" t="n">
        <f aca="false">IF($A32&gt;=Annahmen!$B$55,Annahmen!$B$143,0)</f>
        <v>200</v>
      </c>
      <c r="W32" s="36" t="n">
        <f aca="false">MAX(0,(E32-Annahmen!$B$147)/Annahmen!$B$148)</f>
        <v>0</v>
      </c>
      <c r="X32" s="24" t="n">
        <f aca="false">W32*Annahmen!$B$146</f>
        <v>0</v>
      </c>
      <c r="Y32" s="24" t="n">
        <f aca="false">O32-P32-R32-S32-T32-U32-V32-X32+AB32</f>
        <v>-419.578516308499</v>
      </c>
      <c r="Z32" s="24" t="n">
        <f aca="false">Z31+Y32</f>
        <v>-10346.0229264764</v>
      </c>
      <c r="AA32" s="15" t="n">
        <f aca="false">MAX(0,C32-E32)</f>
        <v>535.943946008612</v>
      </c>
      <c r="AB32" s="24" t="n">
        <f aca="false">IF($A32&gt;=Annahmen!$B$69,AA32*Annahmen!$B$70,0)</f>
        <v>26.7971973004306</v>
      </c>
      <c r="AC32" s="15" t="n">
        <f aca="false">IF($A32&lt;Annahmen!$B$55,0,IF($A32=Annahmen!$B$55,Annahmen!$B$56,AC31*(1+Annahmen!$B$57*(1-C31/Annahmen!$B$58))))</f>
        <v>462.990017974257</v>
      </c>
      <c r="AD32" s="15" t="n">
        <f aca="false">IF($A32&lt;Annahmen!$B$71,0,IF($A32&lt;Annahmen!$B$71+Annahmen!$B$73,Annahmen!$B$72,Annahmen!$B$72*Annahmen!$B$75))</f>
        <v>90</v>
      </c>
      <c r="AE32" s="7" t="n">
        <f aca="false">IF(Y32&gt;0,1,0)</f>
        <v>0</v>
      </c>
      <c r="AF32" s="7" t="n">
        <f aca="false">IF(Z32&gt;=0,1,0)</f>
        <v>0</v>
      </c>
    </row>
    <row r="33" customFormat="false" ht="15" hidden="false" customHeight="false" outlineLevel="0" collapsed="false">
      <c r="A33" s="7" t="n">
        <v>16</v>
      </c>
      <c r="B33" s="7" t="s">
        <v>405</v>
      </c>
      <c r="C33" s="15" t="n">
        <f aca="false">AC33+AD33</f>
        <v>589.619573238819</v>
      </c>
      <c r="D33" s="17" t="n">
        <f aca="false">IF($A33&gt;Annahmen!$B$68,INDEX($AC$18:$AC$41,$A33-Annahmen!$B$68),0)*Annahmen!$B$59+IF($A33=Annahmen!$B$71+Annahmen!$B$73,Annahmen!$B$72*Annahmen!$B$74,0)</f>
        <v>2.31495008987129</v>
      </c>
      <c r="E33" s="17" t="n">
        <f aca="false">E32*(1-Annahmen!$B$60)+D33</f>
        <v>17.9973362982649</v>
      </c>
      <c r="F33" s="17" t="n">
        <f aca="false">E33*(1-Annahmen!$B$61)</f>
        <v>12.5981354087854</v>
      </c>
      <c r="G33" s="17" t="n">
        <f aca="false">E33*Annahmen!$B$61</f>
        <v>5.39920088947948</v>
      </c>
      <c r="H33" s="24" t="n">
        <f aca="false">F33*Annahmen!$B$87+G33*Annahmen!$B$88</f>
        <v>112.712817901959</v>
      </c>
      <c r="I33" s="17" t="n">
        <f aca="false">IF($A33&gt;=Annahmen!$B$55,Annahmen!$B$64*(1-Annahmen!$B$65),0)</f>
        <v>0.35</v>
      </c>
      <c r="J33" s="17" t="n">
        <f aca="false">IF($A33&gt;=Annahmen!$B$55,Annahmen!$B$64*Annahmen!$B$65,0)</f>
        <v>0.15</v>
      </c>
      <c r="K33" s="24" t="n">
        <f aca="false">I33*Annahmen!$B$80+J33*Annahmen!$B$81</f>
        <v>32.245</v>
      </c>
      <c r="L33" s="17" t="n">
        <f aca="false">IF($A33&gt;=Annahmen!$B$55,Annahmen!$B$66,0)</f>
        <v>0</v>
      </c>
      <c r="M33" s="24" t="n">
        <f aca="false">L33*Annahmen!$B$82</f>
        <v>0</v>
      </c>
      <c r="N33" s="24" t="n">
        <f aca="false">H33+K33+M33</f>
        <v>144.957817901959</v>
      </c>
      <c r="O33" s="24" t="n">
        <f aca="false">N33/(1+Annahmen!$B$9)</f>
        <v>121.813292354587</v>
      </c>
      <c r="P33" s="24" t="n">
        <f aca="false">O33*(Annahmen!$B$63*Annahmen!$B$83+(1-Annahmen!$B$63)*Annahmen!$B$84)+(E33*Annahmen!$B$62+E33*(1-Annahmen!$B$62)/12+I33+J33+L33)*(1-Annahmen!$B$63)*Annahmen!$B$85</f>
        <v>13.0488829476646</v>
      </c>
      <c r="Q33" s="17" t="n">
        <f aca="false">Annahmen!$B$67</f>
        <v>4</v>
      </c>
      <c r="R33" s="24" t="n">
        <f aca="false">Q33*(Annahmen!$B$43+Annahmen!$B$154)</f>
        <v>259.483850895744</v>
      </c>
      <c r="S33" s="24" t="n">
        <f aca="false">I33*Annahmen!$B$44+(J33+L33)*Annahmen!$B$45</f>
        <v>15.6845378437918</v>
      </c>
      <c r="T33" s="24" t="n">
        <f aca="false">C33*Annahmen!$B$86</f>
        <v>5.89619573238819</v>
      </c>
      <c r="U33" s="24" t="n">
        <f aca="false">SUMPRODUCT((((Annahmen!$C$161:$C$174="monatlich")*(Annahmen!$D$161:$D$174&lt;=$A33))+((Annahmen!$C$161:$C$174="einmalig")*(Annahmen!$D$161:$D$174=$A33)))*Annahmen!$B$161:$B$174*Annahmen!$E$161:$E$174)</f>
        <v>69.9850799606897</v>
      </c>
      <c r="V33" s="24" t="n">
        <f aca="false">IF($A33&gt;=Annahmen!$B$55,Annahmen!$B$143,0)</f>
        <v>200</v>
      </c>
      <c r="W33" s="36" t="n">
        <f aca="false">MAX(0,(E33-Annahmen!$B$147)/Annahmen!$B$148)</f>
        <v>0</v>
      </c>
      <c r="X33" s="24" t="n">
        <f aca="false">W33*Annahmen!$B$146</f>
        <v>0</v>
      </c>
      <c r="Y33" s="24" t="n">
        <f aca="false">O33-P33-R33-S33-T33-U33-V33-X33+AB33</f>
        <v>-413.704143178664</v>
      </c>
      <c r="Z33" s="24" t="n">
        <f aca="false">Z32+Y33</f>
        <v>-10759.7270696551</v>
      </c>
      <c r="AA33" s="15" t="n">
        <f aca="false">MAX(0,C33-E33)</f>
        <v>571.622236940554</v>
      </c>
      <c r="AB33" s="24" t="n">
        <f aca="false">IF($A33&gt;=Annahmen!$B$69,AA33*Annahmen!$B$70,0)</f>
        <v>28.5811118470277</v>
      </c>
      <c r="AC33" s="15" t="n">
        <f aca="false">IF($A33&lt;Annahmen!$B$55,0,IF($A33=Annahmen!$B$55,Annahmen!$B$56,AC32*(1+Annahmen!$B$57*(1-C32/Annahmen!$B$58))))</f>
        <v>499.619573238819</v>
      </c>
      <c r="AD33" s="15" t="n">
        <f aca="false">IF($A33&lt;Annahmen!$B$71,0,IF($A33&lt;Annahmen!$B$71+Annahmen!$B$73,Annahmen!$B$72,Annahmen!$B$72*Annahmen!$B$75))</f>
        <v>90</v>
      </c>
      <c r="AE33" s="7" t="n">
        <f aca="false">IF(Y33&gt;0,1,0)</f>
        <v>0</v>
      </c>
      <c r="AF33" s="7" t="n">
        <f aca="false">IF(Z33&gt;=0,1,0)</f>
        <v>0</v>
      </c>
    </row>
    <row r="34" customFormat="false" ht="15" hidden="false" customHeight="false" outlineLevel="0" collapsed="false">
      <c r="A34" s="7" t="n">
        <v>17</v>
      </c>
      <c r="B34" s="7" t="s">
        <v>406</v>
      </c>
      <c r="C34" s="15" t="n">
        <f aca="false">AC34+AD34</f>
        <v>629.117802330637</v>
      </c>
      <c r="D34" s="17" t="n">
        <f aca="false">IF($A34&gt;Annahmen!$B$68,INDEX($AC$18:$AC$41,$A34-Annahmen!$B$68),0)*Annahmen!$B$59+IF($A34=Annahmen!$B$71+Annahmen!$B$73,Annahmen!$B$72*Annahmen!$B$74,0)</f>
        <v>2.4980978661941</v>
      </c>
      <c r="E34" s="17" t="n">
        <f aca="false">E33*(1-Annahmen!$B$60)+D34</f>
        <v>19.0556472605978</v>
      </c>
      <c r="F34" s="17" t="n">
        <f aca="false">E34*(1-Annahmen!$B$61)</f>
        <v>13.3389530824185</v>
      </c>
      <c r="G34" s="17" t="n">
        <f aca="false">E34*Annahmen!$B$61</f>
        <v>5.71669417817935</v>
      </c>
      <c r="H34" s="24" t="n">
        <f aca="false">F34*Annahmen!$B$87+G34*Annahmen!$B$88</f>
        <v>119.340754881309</v>
      </c>
      <c r="I34" s="17" t="n">
        <f aca="false">IF($A34&gt;=Annahmen!$B$55,Annahmen!$B$64*(1-Annahmen!$B$65),0)</f>
        <v>0.35</v>
      </c>
      <c r="J34" s="17" t="n">
        <f aca="false">IF($A34&gt;=Annahmen!$B$55,Annahmen!$B$64*Annahmen!$B$65,0)</f>
        <v>0.15</v>
      </c>
      <c r="K34" s="24" t="n">
        <f aca="false">I34*Annahmen!$B$80+J34*Annahmen!$B$81</f>
        <v>32.245</v>
      </c>
      <c r="L34" s="17" t="n">
        <f aca="false">IF($A34&gt;=Annahmen!$B$55,Annahmen!$B$66,0)</f>
        <v>0</v>
      </c>
      <c r="M34" s="24" t="n">
        <f aca="false">L34*Annahmen!$B$82</f>
        <v>0</v>
      </c>
      <c r="N34" s="24" t="n">
        <f aca="false">H34+K34+M34</f>
        <v>151.585754881309</v>
      </c>
      <c r="O34" s="24" t="n">
        <f aca="false">N34/(1+Annahmen!$B$9)</f>
        <v>127.382987295218</v>
      </c>
      <c r="P34" s="24" t="n">
        <f aca="false">O34*(Annahmen!$B$63*Annahmen!$B$83+(1-Annahmen!$B$63)*Annahmen!$B$84)+(E34*Annahmen!$B$62+E34*(1-Annahmen!$B$62)/12+I34+J34+L34)*(1-Annahmen!$B$63)*Annahmen!$B$85</f>
        <v>13.6603012067342</v>
      </c>
      <c r="Q34" s="17" t="n">
        <f aca="false">Annahmen!$B$67</f>
        <v>4</v>
      </c>
      <c r="R34" s="24" t="n">
        <f aca="false">Q34*(Annahmen!$B$43+Annahmen!$B$154)</f>
        <v>259.483850895744</v>
      </c>
      <c r="S34" s="24" t="n">
        <f aca="false">I34*Annahmen!$B$44+(J34+L34)*Annahmen!$B$45</f>
        <v>15.6845378437918</v>
      </c>
      <c r="T34" s="24" t="n">
        <f aca="false">C34*Annahmen!$B$86</f>
        <v>6.29117802330637</v>
      </c>
      <c r="U34" s="24" t="n">
        <f aca="false">SUMPRODUCT((((Annahmen!$C$161:$C$174="monatlich")*(Annahmen!$D$161:$D$174&lt;=$A34))+((Annahmen!$C$161:$C$174="einmalig")*(Annahmen!$D$161:$D$174=$A34)))*Annahmen!$B$161:$B$174*Annahmen!$E$161:$E$174)</f>
        <v>69.9850799606897</v>
      </c>
      <c r="V34" s="24" t="n">
        <f aca="false">IF($A34&gt;=Annahmen!$B$55,Annahmen!$B$143,0)</f>
        <v>200</v>
      </c>
      <c r="W34" s="36" t="n">
        <f aca="false">MAX(0,(E34-Annahmen!$B$147)/Annahmen!$B$148)</f>
        <v>0</v>
      </c>
      <c r="X34" s="24" t="n">
        <f aca="false">W34*Annahmen!$B$146</f>
        <v>0</v>
      </c>
      <c r="Y34" s="24" t="n">
        <f aca="false">O34-P34-R34-S34-T34-U34-V34-X34+AB34</f>
        <v>-407.218852881547</v>
      </c>
      <c r="Z34" s="24" t="n">
        <f aca="false">Z33+Y34</f>
        <v>-11166.9459225366</v>
      </c>
      <c r="AA34" s="15" t="n">
        <f aca="false">MAX(0,C34-E34)</f>
        <v>610.062155070039</v>
      </c>
      <c r="AB34" s="24" t="n">
        <f aca="false">IF($A34&gt;=Annahmen!$B$69,AA34*Annahmen!$B$70,0)</f>
        <v>30.503107753502</v>
      </c>
      <c r="AC34" s="15" t="n">
        <f aca="false">IF($A34&lt;Annahmen!$B$55,0,IF($A34=Annahmen!$B$55,Annahmen!$B$56,AC33*(1+Annahmen!$B$57*(1-C33/Annahmen!$B$58))))</f>
        <v>539.117802330637</v>
      </c>
      <c r="AD34" s="15" t="n">
        <f aca="false">IF($A34&lt;Annahmen!$B$71,0,IF($A34&lt;Annahmen!$B$71+Annahmen!$B$73,Annahmen!$B$72,Annahmen!$B$72*Annahmen!$B$75))</f>
        <v>90</v>
      </c>
      <c r="AE34" s="7" t="n">
        <f aca="false">IF(Y34&gt;0,1,0)</f>
        <v>0</v>
      </c>
      <c r="AF34" s="7" t="n">
        <f aca="false">IF(Z34&gt;=0,1,0)</f>
        <v>0</v>
      </c>
    </row>
    <row r="35" customFormat="false" ht="15" hidden="false" customHeight="false" outlineLevel="0" collapsed="false">
      <c r="A35" s="7" t="n">
        <v>18</v>
      </c>
      <c r="B35" s="7" t="s">
        <v>407</v>
      </c>
      <c r="C35" s="15" t="n">
        <f aca="false">AC35+AD35</f>
        <v>671.704556745889</v>
      </c>
      <c r="D35" s="17" t="n">
        <f aca="false">IF($A35&gt;Annahmen!$B$68,INDEX($AC$18:$AC$41,$A35-Annahmen!$B$68),0)*Annahmen!$B$59+IF($A35=Annahmen!$B$71+Annahmen!$B$73,Annahmen!$B$72*Annahmen!$B$74,0)</f>
        <v>2.69558901165319</v>
      </c>
      <c r="E35" s="17" t="n">
        <f aca="false">E34*(1-Annahmen!$B$60)+D35</f>
        <v>20.2267844914032</v>
      </c>
      <c r="F35" s="17" t="n">
        <f aca="false">E35*(1-Annahmen!$B$61)</f>
        <v>14.1587491439822</v>
      </c>
      <c r="G35" s="17" t="n">
        <f aca="false">E35*Annahmen!$B$61</f>
        <v>6.06803534742096</v>
      </c>
      <c r="H35" s="24" t="n">
        <f aca="false">F35*Annahmen!$B$87+G35*Annahmen!$B$88</f>
        <v>126.675294573535</v>
      </c>
      <c r="I35" s="17" t="n">
        <f aca="false">IF($A35&gt;=Annahmen!$B$55,Annahmen!$B$64*(1-Annahmen!$B$65),0)</f>
        <v>0.35</v>
      </c>
      <c r="J35" s="17" t="n">
        <f aca="false">IF($A35&gt;=Annahmen!$B$55,Annahmen!$B$64*Annahmen!$B$65,0)</f>
        <v>0.15</v>
      </c>
      <c r="K35" s="24" t="n">
        <f aca="false">I35*Annahmen!$B$80+J35*Annahmen!$B$81</f>
        <v>32.245</v>
      </c>
      <c r="L35" s="17" t="n">
        <f aca="false">IF($A35&gt;=Annahmen!$B$55,Annahmen!$B$66,0)</f>
        <v>0</v>
      </c>
      <c r="M35" s="24" t="n">
        <f aca="false">L35*Annahmen!$B$82</f>
        <v>0</v>
      </c>
      <c r="N35" s="24" t="n">
        <f aca="false">H35+K35+M35</f>
        <v>158.920294573535</v>
      </c>
      <c r="O35" s="24" t="n">
        <f aca="false">N35/(1+Annahmen!$B$9)</f>
        <v>133.546466028181</v>
      </c>
      <c r="P35" s="24" t="n">
        <f aca="false">O35*(Annahmen!$B$63*Annahmen!$B$83+(1-Annahmen!$B$63)*Annahmen!$B$84)+(E35*Annahmen!$B$62+E35*(1-Annahmen!$B$62)/12+I35+J35+L35)*(1-Annahmen!$B$63)*Annahmen!$B$85</f>
        <v>14.3369026143321</v>
      </c>
      <c r="Q35" s="17" t="n">
        <f aca="false">Annahmen!$B$67</f>
        <v>4</v>
      </c>
      <c r="R35" s="24" t="n">
        <f aca="false">Q35*(Annahmen!$B$43+Annahmen!$B$154)</f>
        <v>259.483850895744</v>
      </c>
      <c r="S35" s="24" t="n">
        <f aca="false">I35*Annahmen!$B$44+(J35+L35)*Annahmen!$B$45</f>
        <v>15.6845378437918</v>
      </c>
      <c r="T35" s="24" t="n">
        <f aca="false">C35*Annahmen!$B$86</f>
        <v>6.71704556745889</v>
      </c>
      <c r="U35" s="24" t="n">
        <f aca="false">SUMPRODUCT((((Annahmen!$C$161:$C$174="monatlich")*(Annahmen!$D$161:$D$174&lt;=$A35))+((Annahmen!$C$161:$C$174="einmalig")*(Annahmen!$D$161:$D$174=$A35)))*Annahmen!$B$161:$B$174*Annahmen!$E$161:$E$174)</f>
        <v>69.9850799606897</v>
      </c>
      <c r="V35" s="24" t="n">
        <f aca="false">IF($A35&gt;=Annahmen!$B$55,Annahmen!$B$143,0)</f>
        <v>200</v>
      </c>
      <c r="W35" s="36" t="n">
        <f aca="false">MAX(0,(E35-Annahmen!$B$147)/Annahmen!$B$148)</f>
        <v>0</v>
      </c>
      <c r="X35" s="24" t="n">
        <f aca="false">W35*Annahmen!$B$146</f>
        <v>0</v>
      </c>
      <c r="Y35" s="24" t="n">
        <f aca="false">O35-P35-R35-S35-T35-U35-V35-X35+AB35</f>
        <v>-400.087062241111</v>
      </c>
      <c r="Z35" s="24" t="n">
        <f aca="false">Z34+Y35</f>
        <v>-11567.0329847778</v>
      </c>
      <c r="AA35" s="15" t="n">
        <f aca="false">MAX(0,C35-E35)</f>
        <v>651.477772254486</v>
      </c>
      <c r="AB35" s="24" t="n">
        <f aca="false">IF($A35&gt;=Annahmen!$B$69,AA35*Annahmen!$B$70,0)</f>
        <v>32.5738886127243</v>
      </c>
      <c r="AC35" s="15" t="n">
        <f aca="false">IF($A35&lt;Annahmen!$B$55,0,IF($A35=Annahmen!$B$55,Annahmen!$B$56,AC34*(1+Annahmen!$B$57*(1-C34/Annahmen!$B$58))))</f>
        <v>581.704556745889</v>
      </c>
      <c r="AD35" s="15" t="n">
        <f aca="false">IF($A35&lt;Annahmen!$B$71,0,IF($A35&lt;Annahmen!$B$71+Annahmen!$B$73,Annahmen!$B$72,Annahmen!$B$72*Annahmen!$B$75))</f>
        <v>90</v>
      </c>
      <c r="AE35" s="7" t="n">
        <f aca="false">IF(Y35&gt;0,1,0)</f>
        <v>0</v>
      </c>
      <c r="AF35" s="7" t="n">
        <f aca="false">IF(Z35&gt;=0,1,0)</f>
        <v>0</v>
      </c>
    </row>
    <row r="36" customFormat="false" ht="15" hidden="false" customHeight="false" outlineLevel="0" collapsed="false">
      <c r="A36" s="7" t="n">
        <v>19</v>
      </c>
      <c r="B36" s="7" t="s">
        <v>408</v>
      </c>
      <c r="C36" s="15" t="n">
        <f aca="false">AC36+AD36</f>
        <v>717.615747523246</v>
      </c>
      <c r="D36" s="17" t="n">
        <f aca="false">IF($A36&gt;Annahmen!$B$68,INDEX($AC$18:$AC$41,$A36-Annahmen!$B$68),0)*Annahmen!$B$59+IF($A36=Annahmen!$B$71+Annahmen!$B$73,Annahmen!$B$72*Annahmen!$B$74,0)</f>
        <v>2.90852278372944</v>
      </c>
      <c r="E36" s="17" t="n">
        <f aca="false">E35*(1-Annahmen!$B$60)+D36</f>
        <v>21.5171645158204</v>
      </c>
      <c r="F36" s="17" t="n">
        <f aca="false">E36*(1-Annahmen!$B$61)</f>
        <v>15.0620151610743</v>
      </c>
      <c r="G36" s="17" t="n">
        <f aca="false">E36*Annahmen!$B$61</f>
        <v>6.45514935474611</v>
      </c>
      <c r="H36" s="24" t="n">
        <f aca="false">F36*Annahmen!$B$87+G36*Annahmen!$B$88</f>
        <v>134.756622071454</v>
      </c>
      <c r="I36" s="17" t="n">
        <f aca="false">IF($A36&gt;=Annahmen!$B$55,Annahmen!$B$64*(1-Annahmen!$B$65),0)</f>
        <v>0.35</v>
      </c>
      <c r="J36" s="17" t="n">
        <f aca="false">IF($A36&gt;=Annahmen!$B$55,Annahmen!$B$64*Annahmen!$B$65,0)</f>
        <v>0.15</v>
      </c>
      <c r="K36" s="24" t="n">
        <f aca="false">I36*Annahmen!$B$80+J36*Annahmen!$B$81</f>
        <v>32.245</v>
      </c>
      <c r="L36" s="17" t="n">
        <f aca="false">IF($A36&gt;=Annahmen!$B$55,Annahmen!$B$66,0)</f>
        <v>0</v>
      </c>
      <c r="M36" s="24" t="n">
        <f aca="false">L36*Annahmen!$B$82</f>
        <v>0</v>
      </c>
      <c r="N36" s="24" t="n">
        <f aca="false">H36+K36+M36</f>
        <v>167.001622071454</v>
      </c>
      <c r="O36" s="24" t="n">
        <f aca="false">N36/(1+Annahmen!$B$9)</f>
        <v>140.337497539037</v>
      </c>
      <c r="P36" s="24" t="n">
        <f aca="false">O36*(Annahmen!$B$63*Annahmen!$B$83+(1-Annahmen!$B$63)*Annahmen!$B$84)+(E36*Annahmen!$B$62+E36*(1-Annahmen!$B$62)/12+I36+J36+L36)*(1-Annahmen!$B$63)*Annahmen!$B$85</f>
        <v>15.0823941911445</v>
      </c>
      <c r="Q36" s="17" t="n">
        <f aca="false">Annahmen!$B$67</f>
        <v>4</v>
      </c>
      <c r="R36" s="24" t="n">
        <f aca="false">Q36*(Annahmen!$B$43+Annahmen!$B$154)</f>
        <v>259.483850895744</v>
      </c>
      <c r="S36" s="24" t="n">
        <f aca="false">I36*Annahmen!$B$44+(J36+L36)*Annahmen!$B$45</f>
        <v>15.6845378437918</v>
      </c>
      <c r="T36" s="24" t="n">
        <f aca="false">C36*Annahmen!$B$86</f>
        <v>7.17615747523246</v>
      </c>
      <c r="U36" s="24" t="n">
        <f aca="false">SUMPRODUCT((((Annahmen!$C$161:$C$174="monatlich")*(Annahmen!$D$161:$D$174&lt;=$A36))+((Annahmen!$C$161:$C$174="einmalig")*(Annahmen!$D$161:$D$174=$A36)))*Annahmen!$B$161:$B$174*Annahmen!$E$161:$E$174)</f>
        <v>69.9850799606897</v>
      </c>
      <c r="V36" s="24" t="n">
        <f aca="false">IF($A36&gt;=Annahmen!$B$55,Annahmen!$B$143,0)</f>
        <v>200</v>
      </c>
      <c r="W36" s="36" t="n">
        <f aca="false">MAX(0,(E36-Annahmen!$B$147)/Annahmen!$B$148)</f>
        <v>0</v>
      </c>
      <c r="X36" s="24" t="n">
        <f aca="false">W36*Annahmen!$B$146</f>
        <v>0</v>
      </c>
      <c r="Y36" s="24" t="n">
        <f aca="false">O36-P36-R36-S36-T36-U36-V36-X36+AB36</f>
        <v>-392.269593677194</v>
      </c>
      <c r="Z36" s="24" t="n">
        <f aca="false">Z35+Y36</f>
        <v>-11959.3025784549</v>
      </c>
      <c r="AA36" s="15" t="n">
        <f aca="false">MAX(0,C36-E36)</f>
        <v>696.098583007426</v>
      </c>
      <c r="AB36" s="24" t="n">
        <f aca="false">IF($A36&gt;=Annahmen!$B$69,AA36*Annahmen!$B$70,0)</f>
        <v>34.8049291503713</v>
      </c>
      <c r="AC36" s="15" t="n">
        <f aca="false">IF($A36&lt;Annahmen!$B$55,0,IF($A36=Annahmen!$B$55,Annahmen!$B$56,AC35*(1+Annahmen!$B$57*(1-C35/Annahmen!$B$58))))</f>
        <v>627.615747523246</v>
      </c>
      <c r="AD36" s="15" t="n">
        <f aca="false">IF($A36&lt;Annahmen!$B$71,0,IF($A36&lt;Annahmen!$B$71+Annahmen!$B$73,Annahmen!$B$72,Annahmen!$B$72*Annahmen!$B$75))</f>
        <v>90</v>
      </c>
      <c r="AE36" s="7" t="n">
        <f aca="false">IF(Y36&gt;0,1,0)</f>
        <v>0</v>
      </c>
      <c r="AF36" s="7" t="n">
        <f aca="false">IF(Z36&gt;=0,1,0)</f>
        <v>0</v>
      </c>
    </row>
    <row r="37" customFormat="false" ht="15" hidden="false" customHeight="false" outlineLevel="0" collapsed="false">
      <c r="A37" s="7" t="n">
        <v>20</v>
      </c>
      <c r="B37" s="7" t="s">
        <v>409</v>
      </c>
      <c r="C37" s="15" t="n">
        <f aca="false">AC37+AD37</f>
        <v>767.104388215</v>
      </c>
      <c r="D37" s="17" t="n">
        <f aca="false">IF($A37&gt;Annahmen!$B$68,INDEX($AC$18:$AC$41,$A37-Annahmen!$B$68),0)*Annahmen!$B$59+IF($A37=Annahmen!$B$71+Annahmen!$B$73,Annahmen!$B$72*Annahmen!$B$74,0)</f>
        <v>3.13807873761623</v>
      </c>
      <c r="E37" s="17" t="n">
        <f aca="false">E36*(1-Annahmen!$B$60)+D37</f>
        <v>22.933870092171</v>
      </c>
      <c r="F37" s="17" t="n">
        <f aca="false">E37*(1-Annahmen!$B$61)</f>
        <v>16.0537090645197</v>
      </c>
      <c r="G37" s="17" t="n">
        <f aca="false">E37*Annahmen!$B$61</f>
        <v>6.8801610276513</v>
      </c>
      <c r="H37" s="24" t="n">
        <f aca="false">F37*Annahmen!$B$87+G37*Annahmen!$B$88</f>
        <v>143.629094919744</v>
      </c>
      <c r="I37" s="17" t="n">
        <f aca="false">IF($A37&gt;=Annahmen!$B$55,Annahmen!$B$64*(1-Annahmen!$B$65),0)</f>
        <v>0.35</v>
      </c>
      <c r="J37" s="17" t="n">
        <f aca="false">IF($A37&gt;=Annahmen!$B$55,Annahmen!$B$64*Annahmen!$B$65,0)</f>
        <v>0.15</v>
      </c>
      <c r="K37" s="24" t="n">
        <f aca="false">I37*Annahmen!$B$80+J37*Annahmen!$B$81</f>
        <v>32.245</v>
      </c>
      <c r="L37" s="17" t="n">
        <f aca="false">IF($A37&gt;=Annahmen!$B$55,Annahmen!$B$66,0)</f>
        <v>0</v>
      </c>
      <c r="M37" s="24" t="n">
        <f aca="false">L37*Annahmen!$B$82</f>
        <v>0</v>
      </c>
      <c r="N37" s="24" t="n">
        <f aca="false">H37+K37+M37</f>
        <v>175.874094919744</v>
      </c>
      <c r="O37" s="24" t="n">
        <f aca="false">N37/(1+Annahmen!$B$9)</f>
        <v>147.793357075415</v>
      </c>
      <c r="P37" s="24" t="n">
        <f aca="false">O37*(Annahmen!$B$63*Annahmen!$B$83+(1-Annahmen!$B$63)*Annahmen!$B$84)+(E37*Annahmen!$B$62+E37*(1-Annahmen!$B$62)/12+I37+J37+L37)*(1-Annahmen!$B$63)*Annahmen!$B$85</f>
        <v>15.9008678609222</v>
      </c>
      <c r="Q37" s="17" t="n">
        <f aca="false">Annahmen!$B$67</f>
        <v>4</v>
      </c>
      <c r="R37" s="24" t="n">
        <f aca="false">Q37*(Annahmen!$B$43+Annahmen!$B$154)</f>
        <v>259.483850895744</v>
      </c>
      <c r="S37" s="24" t="n">
        <f aca="false">I37*Annahmen!$B$44+(J37+L37)*Annahmen!$B$45</f>
        <v>15.6845378437918</v>
      </c>
      <c r="T37" s="24" t="n">
        <f aca="false">C37*Annahmen!$B$86</f>
        <v>7.67104388215</v>
      </c>
      <c r="U37" s="24" t="n">
        <f aca="false">SUMPRODUCT((((Annahmen!$C$161:$C$174="monatlich")*(Annahmen!$D$161:$D$174&lt;=$A37))+((Annahmen!$C$161:$C$174="einmalig")*(Annahmen!$D$161:$D$174=$A37)))*Annahmen!$B$161:$B$174*Annahmen!$E$161:$E$174)</f>
        <v>69.9850799606897</v>
      </c>
      <c r="V37" s="24" t="n">
        <f aca="false">IF($A37&gt;=Annahmen!$B$55,Annahmen!$B$143,0)</f>
        <v>200</v>
      </c>
      <c r="W37" s="36" t="n">
        <f aca="false">MAX(0,(E37-Annahmen!$B$147)/Annahmen!$B$148)</f>
        <v>0</v>
      </c>
      <c r="X37" s="24" t="n">
        <f aca="false">W37*Annahmen!$B$146</f>
        <v>0</v>
      </c>
      <c r="Y37" s="24" t="n">
        <f aca="false">O37-P37-R37-S37-T37-U37-V37-X37+AB37</f>
        <v>-383.723497461741</v>
      </c>
      <c r="Z37" s="24" t="n">
        <f aca="false">Z36+Y37</f>
        <v>-12343.0260759167</v>
      </c>
      <c r="AA37" s="15" t="n">
        <f aca="false">MAX(0,C37-E37)</f>
        <v>744.170518122829</v>
      </c>
      <c r="AB37" s="24" t="n">
        <f aca="false">IF($A37&gt;=Annahmen!$B$69,AA37*Annahmen!$B$70,0)</f>
        <v>37.2085259061414</v>
      </c>
      <c r="AC37" s="15" t="n">
        <f aca="false">IF($A37&lt;Annahmen!$B$55,0,IF($A37=Annahmen!$B$55,Annahmen!$B$56,AC36*(1+Annahmen!$B$57*(1-C36/Annahmen!$B$58))))</f>
        <v>677.104388215</v>
      </c>
      <c r="AD37" s="15" t="n">
        <f aca="false">IF($A37&lt;Annahmen!$B$71,0,IF($A37&lt;Annahmen!$B$71+Annahmen!$B$73,Annahmen!$B$72,Annahmen!$B$72*Annahmen!$B$75))</f>
        <v>90</v>
      </c>
      <c r="AE37" s="7" t="n">
        <f aca="false">IF(Y37&gt;0,1,0)</f>
        <v>0</v>
      </c>
      <c r="AF37" s="7" t="n">
        <f aca="false">IF(Z37&gt;=0,1,0)</f>
        <v>0</v>
      </c>
    </row>
    <row r="38" customFormat="false" ht="15" hidden="false" customHeight="false" outlineLevel="0" collapsed="false">
      <c r="A38" s="7" t="n">
        <v>21</v>
      </c>
      <c r="B38" s="7" t="s">
        <v>410</v>
      </c>
      <c r="C38" s="15" t="n">
        <f aca="false">AC38+AD38</f>
        <v>820.441683676233</v>
      </c>
      <c r="D38" s="17" t="n">
        <f aca="false">IF($A38&gt;Annahmen!$B$68,INDEX($AC$18:$AC$41,$A38-Annahmen!$B$68),0)*Annahmen!$B$59+IF($A38=Annahmen!$B$71+Annahmen!$B$73,Annahmen!$B$72*Annahmen!$B$74,0)</f>
        <v>3.385521941075</v>
      </c>
      <c r="E38" s="17" t="n">
        <f aca="false">E37*(1-Annahmen!$B$60)+D38</f>
        <v>24.4846824258723</v>
      </c>
      <c r="F38" s="17" t="n">
        <f aca="false">E38*(1-Annahmen!$B$61)</f>
        <v>17.1392776981106</v>
      </c>
      <c r="G38" s="17" t="n">
        <f aca="false">E38*Annahmen!$B$61</f>
        <v>7.34540472776169</v>
      </c>
      <c r="H38" s="24" t="n">
        <f aca="false">F38*Annahmen!$B$87+G38*Annahmen!$B$88</f>
        <v>153.341444862632</v>
      </c>
      <c r="I38" s="17" t="n">
        <f aca="false">IF($A38&gt;=Annahmen!$B$55,Annahmen!$B$64*(1-Annahmen!$B$65),0)</f>
        <v>0.35</v>
      </c>
      <c r="J38" s="17" t="n">
        <f aca="false">IF($A38&gt;=Annahmen!$B$55,Annahmen!$B$64*Annahmen!$B$65,0)</f>
        <v>0.15</v>
      </c>
      <c r="K38" s="24" t="n">
        <f aca="false">I38*Annahmen!$B$80+J38*Annahmen!$B$81</f>
        <v>32.245</v>
      </c>
      <c r="L38" s="17" t="n">
        <f aca="false">IF($A38&gt;=Annahmen!$B$55,Annahmen!$B$66,0)</f>
        <v>0</v>
      </c>
      <c r="M38" s="24" t="n">
        <f aca="false">L38*Annahmen!$B$82</f>
        <v>0</v>
      </c>
      <c r="N38" s="24" t="n">
        <f aca="false">H38+K38+M38</f>
        <v>185.586444862632</v>
      </c>
      <c r="O38" s="24" t="n">
        <f aca="false">N38/(1+Annahmen!$B$9)</f>
        <v>155.954995682884</v>
      </c>
      <c r="P38" s="24" t="n">
        <f aca="false">O38*(Annahmen!$B$63*Annahmen!$B$83+(1-Annahmen!$B$63)*Annahmen!$B$84)+(E38*Annahmen!$B$62+E38*(1-Annahmen!$B$62)/12+I38+J38+L38)*(1-Annahmen!$B$63)*Annahmen!$B$85</f>
        <v>16.7968190614326</v>
      </c>
      <c r="Q38" s="17" t="n">
        <f aca="false">Annahmen!$B$67</f>
        <v>4</v>
      </c>
      <c r="R38" s="24" t="n">
        <f aca="false">Q38*(Annahmen!$B$43+Annahmen!$B$154)</f>
        <v>259.483850895744</v>
      </c>
      <c r="S38" s="24" t="n">
        <f aca="false">I38*Annahmen!$B$44+(J38+L38)*Annahmen!$B$45</f>
        <v>15.6845378437918</v>
      </c>
      <c r="T38" s="24" t="n">
        <f aca="false">C38*Annahmen!$B$86</f>
        <v>8.20441683676233</v>
      </c>
      <c r="U38" s="24" t="n">
        <f aca="false">SUMPRODUCT((((Annahmen!$C$161:$C$174="monatlich")*(Annahmen!$D$161:$D$174&lt;=$A38))+((Annahmen!$C$161:$C$174="einmalig")*(Annahmen!$D$161:$D$174=$A38)))*Annahmen!$B$161:$B$174*Annahmen!$E$161:$E$174)</f>
        <v>69.9850799606897</v>
      </c>
      <c r="V38" s="24" t="n">
        <f aca="false">IF($A38&gt;=Annahmen!$B$55,Annahmen!$B$143,0)</f>
        <v>200</v>
      </c>
      <c r="W38" s="36" t="n">
        <f aca="false">MAX(0,(E38-Annahmen!$B$147)/Annahmen!$B$148)</f>
        <v>0</v>
      </c>
      <c r="X38" s="24" t="n">
        <f aca="false">W38*Annahmen!$B$146</f>
        <v>0</v>
      </c>
      <c r="Y38" s="24" t="n">
        <f aca="false">O38-P38-R38-S38-T38-U38-V38-X38+AB38</f>
        <v>-374.401858853019</v>
      </c>
      <c r="Z38" s="24" t="n">
        <f aca="false">Z37+Y38</f>
        <v>-12717.4279347697</v>
      </c>
      <c r="AA38" s="15" t="n">
        <f aca="false">MAX(0,C38-E38)</f>
        <v>795.957001250361</v>
      </c>
      <c r="AB38" s="24" t="n">
        <f aca="false">IF($A38&gt;=Annahmen!$B$69,AA38*Annahmen!$B$70,0)</f>
        <v>39.797850062518</v>
      </c>
      <c r="AC38" s="15" t="n">
        <f aca="false">IF($A38&lt;Annahmen!$B$55,0,IF($A38=Annahmen!$B$55,Annahmen!$B$56,AC37*(1+Annahmen!$B$57*(1-C37/Annahmen!$B$58))))</f>
        <v>730.441683676233</v>
      </c>
      <c r="AD38" s="15" t="n">
        <f aca="false">IF($A38&lt;Annahmen!$B$71,0,IF($A38&lt;Annahmen!$B$71+Annahmen!$B$73,Annahmen!$B$72,Annahmen!$B$72*Annahmen!$B$75))</f>
        <v>90</v>
      </c>
      <c r="AE38" s="7" t="n">
        <f aca="false">IF(Y38&gt;0,1,0)</f>
        <v>0</v>
      </c>
      <c r="AF38" s="7" t="n">
        <f aca="false">IF(Z38&gt;=0,1,0)</f>
        <v>0</v>
      </c>
    </row>
    <row r="39" customFormat="false" ht="15" hidden="false" customHeight="false" outlineLevel="0" collapsed="false">
      <c r="A39" s="7" t="n">
        <v>22</v>
      </c>
      <c r="B39" s="7" t="s">
        <v>411</v>
      </c>
      <c r="C39" s="15" t="n">
        <f aca="false">AC39+AD39</f>
        <v>877.918162682679</v>
      </c>
      <c r="D39" s="17" t="n">
        <f aca="false">IF($A39&gt;Annahmen!$B$68,INDEX($AC$18:$AC$41,$A39-Annahmen!$B$68),0)*Annahmen!$B$59+IF($A39=Annahmen!$B$71+Annahmen!$B$73,Annahmen!$B$72*Annahmen!$B$74,0)</f>
        <v>3.65220841838116</v>
      </c>
      <c r="E39" s="17" t="n">
        <f aca="false">E38*(1-Annahmen!$B$60)+D39</f>
        <v>26.1781162501837</v>
      </c>
      <c r="F39" s="17" t="n">
        <f aca="false">E39*(1-Annahmen!$B$61)</f>
        <v>18.3246813751286</v>
      </c>
      <c r="G39" s="17" t="n">
        <f aca="false">E39*Annahmen!$B$61</f>
        <v>7.85343487505511</v>
      </c>
      <c r="H39" s="24" t="n">
        <f aca="false">F39*Annahmen!$B$87+G39*Annahmen!$B$88</f>
        <v>163.946997545838</v>
      </c>
      <c r="I39" s="17" t="n">
        <f aca="false">IF($A39&gt;=Annahmen!$B$55,Annahmen!$B$64*(1-Annahmen!$B$65),0)</f>
        <v>0.35</v>
      </c>
      <c r="J39" s="17" t="n">
        <f aca="false">IF($A39&gt;=Annahmen!$B$55,Annahmen!$B$64*Annahmen!$B$65,0)</f>
        <v>0.15</v>
      </c>
      <c r="K39" s="24" t="n">
        <f aca="false">I39*Annahmen!$B$80+J39*Annahmen!$B$81</f>
        <v>32.245</v>
      </c>
      <c r="L39" s="17" t="n">
        <f aca="false">IF($A39&gt;=Annahmen!$B$55,Annahmen!$B$66,0)</f>
        <v>0</v>
      </c>
      <c r="M39" s="24" t="n">
        <f aca="false">L39*Annahmen!$B$82</f>
        <v>0</v>
      </c>
      <c r="N39" s="24" t="n">
        <f aca="false">H39+K39+M39</f>
        <v>196.191997545838</v>
      </c>
      <c r="O39" s="24" t="n">
        <f aca="false">N39/(1+Annahmen!$B$9)</f>
        <v>164.867224828435</v>
      </c>
      <c r="P39" s="24" t="n">
        <f aca="false">O39*(Annahmen!$B$63*Annahmen!$B$83+(1-Annahmen!$B$63)*Annahmen!$B$84)+(E39*Annahmen!$B$62+E39*(1-Annahmen!$B$62)/12+I39+J39+L39)*(1-Annahmen!$B$63)*Annahmen!$B$85</f>
        <v>17.7751670116681</v>
      </c>
      <c r="Q39" s="17" t="n">
        <f aca="false">Annahmen!$B$67</f>
        <v>4</v>
      </c>
      <c r="R39" s="24" t="n">
        <f aca="false">Q39*(Annahmen!$B$43+Annahmen!$B$154)</f>
        <v>259.483850895744</v>
      </c>
      <c r="S39" s="24" t="n">
        <f aca="false">I39*Annahmen!$B$44+(J39+L39)*Annahmen!$B$45</f>
        <v>15.6845378437918</v>
      </c>
      <c r="T39" s="24" t="n">
        <f aca="false">C39*Annahmen!$B$86</f>
        <v>8.77918162682679</v>
      </c>
      <c r="U39" s="24" t="n">
        <f aca="false">SUMPRODUCT((((Annahmen!$C$161:$C$174="monatlich")*(Annahmen!$D$161:$D$174&lt;=$A39))+((Annahmen!$C$161:$C$174="einmalig")*(Annahmen!$D$161:$D$174=$A39)))*Annahmen!$B$161:$B$174*Annahmen!$E$161:$E$174)</f>
        <v>69.9850799606897</v>
      </c>
      <c r="V39" s="24" t="n">
        <f aca="false">IF($A39&gt;=Annahmen!$B$55,Annahmen!$B$143,0)</f>
        <v>200</v>
      </c>
      <c r="W39" s="36" t="n">
        <f aca="false">MAX(0,(E39-Annahmen!$B$147)/Annahmen!$B$148)</f>
        <v>0</v>
      </c>
      <c r="X39" s="24" t="n">
        <f aca="false">W39*Annahmen!$B$146</f>
        <v>0</v>
      </c>
      <c r="Y39" s="24" t="n">
        <f aca="false">O39-P39-R39-S39-T39-U39-V39-X39+AB39</f>
        <v>-364.253590188661</v>
      </c>
      <c r="Z39" s="24" t="n">
        <f aca="false">Z38+Y39</f>
        <v>-13081.6815249584</v>
      </c>
      <c r="AA39" s="15" t="n">
        <f aca="false">MAX(0,C39-E39)</f>
        <v>851.740046432496</v>
      </c>
      <c r="AB39" s="24" t="n">
        <f aca="false">IF($A39&gt;=Annahmen!$B$69,AA39*Annahmen!$B$70,0)</f>
        <v>42.5870023216248</v>
      </c>
      <c r="AC39" s="15" t="n">
        <f aca="false">IF($A39&lt;Annahmen!$B$55,0,IF($A39=Annahmen!$B$55,Annahmen!$B$56,AC38*(1+Annahmen!$B$57*(1-C38/Annahmen!$B$58))))</f>
        <v>787.918162682679</v>
      </c>
      <c r="AD39" s="15" t="n">
        <f aca="false">IF($A39&lt;Annahmen!$B$71,0,IF($A39&lt;Annahmen!$B$71+Annahmen!$B$73,Annahmen!$B$72,Annahmen!$B$72*Annahmen!$B$75))</f>
        <v>90</v>
      </c>
      <c r="AE39" s="7" t="n">
        <f aca="false">IF(Y39&gt;0,1,0)</f>
        <v>0</v>
      </c>
      <c r="AF39" s="7" t="n">
        <f aca="false">IF(Z39&gt;=0,1,0)</f>
        <v>0</v>
      </c>
    </row>
    <row r="40" customFormat="false" ht="15" hidden="false" customHeight="false" outlineLevel="0" collapsed="false">
      <c r="A40" s="7" t="n">
        <v>23</v>
      </c>
      <c r="B40" s="7" t="s">
        <v>412</v>
      </c>
      <c r="C40" s="15" t="n">
        <f aca="false">AC40+AD40</f>
        <v>939.844851432131</v>
      </c>
      <c r="D40" s="17" t="n">
        <f aca="false">IF($A40&gt;Annahmen!$B$68,INDEX($AC$18:$AC$41,$A40-Annahmen!$B$68),0)*Annahmen!$B$59+IF($A40=Annahmen!$B$71+Annahmen!$B$73,Annahmen!$B$72*Annahmen!$B$74,0)</f>
        <v>3.9395908134134</v>
      </c>
      <c r="E40" s="17" t="n">
        <f aca="false">E39*(1-Annahmen!$B$60)+D40</f>
        <v>28.0234577635824</v>
      </c>
      <c r="F40" s="17" t="n">
        <f aca="false">E40*(1-Annahmen!$B$61)</f>
        <v>19.6164204345077</v>
      </c>
      <c r="G40" s="17" t="n">
        <f aca="false">E40*Annahmen!$B$61</f>
        <v>8.40703732907472</v>
      </c>
      <c r="H40" s="24" t="n">
        <f aca="false">F40*Annahmen!$B$87+G40*Annahmen!$B$88</f>
        <v>175.503910108876</v>
      </c>
      <c r="I40" s="17" t="n">
        <f aca="false">IF($A40&gt;=Annahmen!$B$55,Annahmen!$B$64*(1-Annahmen!$B$65),0)</f>
        <v>0.35</v>
      </c>
      <c r="J40" s="17" t="n">
        <f aca="false">IF($A40&gt;=Annahmen!$B$55,Annahmen!$B$64*Annahmen!$B$65,0)</f>
        <v>0.15</v>
      </c>
      <c r="K40" s="24" t="n">
        <f aca="false">I40*Annahmen!$B$80+J40*Annahmen!$B$81</f>
        <v>32.245</v>
      </c>
      <c r="L40" s="17" t="n">
        <f aca="false">IF($A40&gt;=Annahmen!$B$55,Annahmen!$B$66,0)</f>
        <v>0</v>
      </c>
      <c r="M40" s="24" t="n">
        <f aca="false">L40*Annahmen!$B$82</f>
        <v>0</v>
      </c>
      <c r="N40" s="24" t="n">
        <f aca="false">H40+K40+M40</f>
        <v>207.748910108876</v>
      </c>
      <c r="O40" s="24" t="n">
        <f aca="false">N40/(1+Annahmen!$B$9)</f>
        <v>174.578916057879</v>
      </c>
      <c r="P40" s="24" t="n">
        <f aca="false">O40*(Annahmen!$B$63*Annahmen!$B$83+(1-Annahmen!$B$63)*Annahmen!$B$84)+(E40*Annahmen!$B$62+E40*(1-Annahmen!$B$62)/12+I40+J40+L40)*(1-Annahmen!$B$63)*Annahmen!$B$85</f>
        <v>18.8412766294161</v>
      </c>
      <c r="Q40" s="17" t="n">
        <f aca="false">Annahmen!$B$67</f>
        <v>4</v>
      </c>
      <c r="R40" s="24" t="n">
        <f aca="false">Q40*(Annahmen!$B$43+Annahmen!$B$154)</f>
        <v>259.483850895744</v>
      </c>
      <c r="S40" s="24" t="n">
        <f aca="false">I40*Annahmen!$B$44+(J40+L40)*Annahmen!$B$45</f>
        <v>15.6845378437918</v>
      </c>
      <c r="T40" s="24" t="n">
        <f aca="false">C40*Annahmen!$B$86</f>
        <v>9.39844851432131</v>
      </c>
      <c r="U40" s="24" t="n">
        <f aca="false">SUMPRODUCT((((Annahmen!$C$161:$C$174="monatlich")*(Annahmen!$D$161:$D$174&lt;=$A40))+((Annahmen!$C$161:$C$174="einmalig")*(Annahmen!$D$161:$D$174=$A40)))*Annahmen!$B$161:$B$174*Annahmen!$E$161:$E$174)</f>
        <v>69.9850799606897</v>
      </c>
      <c r="V40" s="24" t="n">
        <f aca="false">IF($A40&gt;=Annahmen!$B$55,Annahmen!$B$143,0)</f>
        <v>200</v>
      </c>
      <c r="W40" s="36" t="n">
        <f aca="false">MAX(0,(E40-Annahmen!$B$147)/Annahmen!$B$148)</f>
        <v>0</v>
      </c>
      <c r="X40" s="24" t="n">
        <f aca="false">W40*Annahmen!$B$146</f>
        <v>0</v>
      </c>
      <c r="Y40" s="24" t="n">
        <f aca="false">O40-P40-R40-S40-T40-U40-V40-X40+AB40</f>
        <v>-353.223208102657</v>
      </c>
      <c r="Z40" s="24" t="n">
        <f aca="false">Z39+Y40</f>
        <v>-13434.904733061</v>
      </c>
      <c r="AA40" s="15" t="n">
        <f aca="false">MAX(0,C40-E40)</f>
        <v>911.821393668549</v>
      </c>
      <c r="AB40" s="24" t="n">
        <f aca="false">IF($A40&gt;=Annahmen!$B$69,AA40*Annahmen!$B$70,0)</f>
        <v>45.5910696834274</v>
      </c>
      <c r="AC40" s="15" t="n">
        <f aca="false">IF($A40&lt;Annahmen!$B$55,0,IF($A40=Annahmen!$B$55,Annahmen!$B$56,AC39*(1+Annahmen!$B$57*(1-C39/Annahmen!$B$58))))</f>
        <v>849.844851432131</v>
      </c>
      <c r="AD40" s="15" t="n">
        <f aca="false">IF($A40&lt;Annahmen!$B$71,0,IF($A40&lt;Annahmen!$B$71+Annahmen!$B$73,Annahmen!$B$72,Annahmen!$B$72*Annahmen!$B$75))</f>
        <v>90</v>
      </c>
      <c r="AE40" s="7" t="n">
        <f aca="false">IF(Y40&gt;0,1,0)</f>
        <v>0</v>
      </c>
      <c r="AF40" s="7" t="n">
        <f aca="false">IF(Z40&gt;=0,1,0)</f>
        <v>0</v>
      </c>
    </row>
    <row r="41" customFormat="false" ht="15" hidden="false" customHeight="false" outlineLevel="0" collapsed="false">
      <c r="A41" s="7" t="n">
        <v>24</v>
      </c>
      <c r="B41" s="7" t="s">
        <v>413</v>
      </c>
      <c r="C41" s="15" t="n">
        <f aca="false">AC41+AD41</f>
        <v>1006.55448385369</v>
      </c>
      <c r="D41" s="17" t="n">
        <f aca="false">IF($A41&gt;Annahmen!$B$68,INDEX($AC$18:$AC$41,$A41-Annahmen!$B$68),0)*Annahmen!$B$59+IF($A41=Annahmen!$B$71+Annahmen!$B$73,Annahmen!$B$72*Annahmen!$B$74,0)</f>
        <v>4.24922425716066</v>
      </c>
      <c r="E41" s="17" t="n">
        <f aca="false">E40*(1-Annahmen!$B$60)+D41</f>
        <v>30.0308053996565</v>
      </c>
      <c r="F41" s="17" t="n">
        <f aca="false">E41*(1-Annahmen!$B$61)</f>
        <v>21.0215637797595</v>
      </c>
      <c r="G41" s="17" t="n">
        <f aca="false">E41*Annahmen!$B$61</f>
        <v>9.00924161989694</v>
      </c>
      <c r="H41" s="24" t="n">
        <f aca="false">F41*Annahmen!$B$87+G41*Annahmen!$B$88</f>
        <v>188.075426516698</v>
      </c>
      <c r="I41" s="17" t="n">
        <f aca="false">IF($A41&gt;=Annahmen!$B$55,Annahmen!$B$64*(1-Annahmen!$B$65),0)</f>
        <v>0.35</v>
      </c>
      <c r="J41" s="17" t="n">
        <f aca="false">IF($A41&gt;=Annahmen!$B$55,Annahmen!$B$64*Annahmen!$B$65,0)</f>
        <v>0.15</v>
      </c>
      <c r="K41" s="24" t="n">
        <f aca="false">I41*Annahmen!$B$80+J41*Annahmen!$B$81</f>
        <v>32.245</v>
      </c>
      <c r="L41" s="17" t="n">
        <f aca="false">IF($A41&gt;=Annahmen!$B$55,Annahmen!$B$66,0)</f>
        <v>0</v>
      </c>
      <c r="M41" s="24" t="n">
        <f aca="false">L41*Annahmen!$B$82</f>
        <v>0</v>
      </c>
      <c r="N41" s="24" t="n">
        <f aca="false">H41+K41+M41</f>
        <v>220.320426516698</v>
      </c>
      <c r="O41" s="24" t="n">
        <f aca="false">N41/(1+Annahmen!$B$9)</f>
        <v>185.143215560251</v>
      </c>
      <c r="P41" s="24" t="n">
        <f aca="false">O41*(Annahmen!$B$63*Annahmen!$B$83+(1-Annahmen!$B$63)*Annahmen!$B$84)+(E41*Annahmen!$B$62+E41*(1-Annahmen!$B$62)/12+I41+J41+L41)*(1-Annahmen!$B$63)*Annahmen!$B$85</f>
        <v>20.0009820852592</v>
      </c>
      <c r="Q41" s="17" t="n">
        <f aca="false">Annahmen!$B$67</f>
        <v>4</v>
      </c>
      <c r="R41" s="24" t="n">
        <f aca="false">Q41*(Annahmen!$B$43+Annahmen!$B$154)</f>
        <v>259.483850895744</v>
      </c>
      <c r="S41" s="24" t="n">
        <f aca="false">I41*Annahmen!$B$44+(J41+L41)*Annahmen!$B$45</f>
        <v>15.6845378437918</v>
      </c>
      <c r="T41" s="24" t="n">
        <f aca="false">C41*Annahmen!$B$86</f>
        <v>10.0655448385369</v>
      </c>
      <c r="U41" s="24" t="n">
        <f aca="false">SUMPRODUCT((((Annahmen!$C$161:$C$174="monatlich")*(Annahmen!$D$161:$D$174&lt;=$A41))+((Annahmen!$C$161:$C$174="einmalig")*(Annahmen!$D$161:$D$174=$A41)))*Annahmen!$B$161:$B$174*Annahmen!$E$161:$E$174)</f>
        <v>69.9850799606897</v>
      </c>
      <c r="V41" s="24" t="n">
        <f aca="false">IF($A41&gt;=Annahmen!$B$55,Annahmen!$B$143,0)</f>
        <v>200</v>
      </c>
      <c r="W41" s="36" t="n">
        <f aca="false">MAX(0,(E41-Annahmen!$B$147)/Annahmen!$B$148)</f>
        <v>0</v>
      </c>
      <c r="X41" s="24" t="n">
        <f aca="false">W41*Annahmen!$B$146</f>
        <v>0</v>
      </c>
      <c r="Y41" s="24" t="n">
        <f aca="false">O41-P41-R41-S41-T41-U41-V41-X41+AB41</f>
        <v>-341.250596141069</v>
      </c>
      <c r="Z41" s="24" t="n">
        <f aca="false">Z40+Y41</f>
        <v>-13776.1553292021</v>
      </c>
      <c r="AA41" s="15" t="n">
        <f aca="false">MAX(0,C41-E41)</f>
        <v>976.52367845403</v>
      </c>
      <c r="AB41" s="24" t="n">
        <f aca="false">IF($A41&gt;=Annahmen!$B$69,AA41*Annahmen!$B$70,0)</f>
        <v>48.8261839227015</v>
      </c>
      <c r="AC41" s="15" t="n">
        <f aca="false">IF($A41&lt;Annahmen!$B$55,0,IF($A41=Annahmen!$B$55,Annahmen!$B$56,AC40*(1+Annahmen!$B$57*(1-C40/Annahmen!$B$58))))</f>
        <v>916.554483853686</v>
      </c>
      <c r="AD41" s="15" t="n">
        <f aca="false">IF($A41&lt;Annahmen!$B$71,0,IF($A41&lt;Annahmen!$B$71+Annahmen!$B$73,Annahmen!$B$72,Annahmen!$B$72*Annahmen!$B$75))</f>
        <v>90</v>
      </c>
      <c r="AE41" s="7" t="n">
        <f aca="false">IF(Y41&gt;0,1,0)</f>
        <v>0</v>
      </c>
      <c r="AF41" s="7" t="n">
        <f aca="false">IF(Z41&gt;=0,1,0)</f>
        <v>0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customFormat="false" ht="15" hidden="false" customHeight="false" outlineLevel="0" collapsed="false">
      <c r="A45" s="5" t="str">
        <f aca="false">"Szenario mittel – "&amp;Annahmen!$C$142</f>
        <v>Szenario mittel – profitabler Nebenerwerb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2"/>
      <c r="AF45" s="2"/>
    </row>
    <row r="46" customFormat="false" ht="42" hidden="false" customHeight="true" outlineLevel="0" collapsed="false">
      <c r="A46" s="35" t="s">
        <v>99</v>
      </c>
      <c r="B46" s="35" t="s">
        <v>359</v>
      </c>
      <c r="C46" s="35" t="s">
        <v>360</v>
      </c>
      <c r="D46" s="35" t="s">
        <v>361</v>
      </c>
      <c r="E46" s="35" t="s">
        <v>362</v>
      </c>
      <c r="F46" s="35" t="s">
        <v>363</v>
      </c>
      <c r="G46" s="35" t="s">
        <v>364</v>
      </c>
      <c r="H46" s="35" t="s">
        <v>365</v>
      </c>
      <c r="I46" s="35" t="s">
        <v>366</v>
      </c>
      <c r="J46" s="35" t="s">
        <v>367</v>
      </c>
      <c r="K46" s="35" t="s">
        <v>368</v>
      </c>
      <c r="L46" s="35" t="s">
        <v>369</v>
      </c>
      <c r="M46" s="35" t="s">
        <v>370</v>
      </c>
      <c r="N46" s="35" t="s">
        <v>371</v>
      </c>
      <c r="O46" s="35" t="s">
        <v>372</v>
      </c>
      <c r="P46" s="35" t="s">
        <v>373</v>
      </c>
      <c r="Q46" s="35" t="s">
        <v>374</v>
      </c>
      <c r="R46" s="35" t="s">
        <v>375</v>
      </c>
      <c r="S46" s="35" t="s">
        <v>376</v>
      </c>
      <c r="T46" s="35" t="s">
        <v>377</v>
      </c>
      <c r="U46" s="35" t="s">
        <v>378</v>
      </c>
      <c r="V46" s="35" t="s">
        <v>379</v>
      </c>
      <c r="W46" s="35" t="s">
        <v>380</v>
      </c>
      <c r="X46" s="35" t="s">
        <v>381</v>
      </c>
      <c r="Y46" s="35" t="s">
        <v>382</v>
      </c>
      <c r="Z46" s="35" t="s">
        <v>383</v>
      </c>
      <c r="AA46" s="35" t="s">
        <v>384</v>
      </c>
      <c r="AB46" s="35" t="s">
        <v>385</v>
      </c>
      <c r="AC46" s="35" t="s">
        <v>386</v>
      </c>
      <c r="AD46" s="35" t="s">
        <v>387</v>
      </c>
      <c r="AE46" s="35" t="s">
        <v>388</v>
      </c>
      <c r="AF46" s="35" t="s">
        <v>389</v>
      </c>
    </row>
    <row r="47" customFormat="false" ht="15" hidden="false" customHeight="false" outlineLevel="0" collapsed="false">
      <c r="A47" s="7" t="n">
        <v>1</v>
      </c>
      <c r="B47" s="7" t="s">
        <v>390</v>
      </c>
      <c r="C47" s="15" t="n">
        <f aca="false">AC47+AD47</f>
        <v>0</v>
      </c>
      <c r="D47" s="17" t="n">
        <f aca="false">IF($A47&gt;Annahmen!$B$68,INDEX($AC$47:$AC$70,$A47-Annahmen!$B$68),0)*Annahmen!$C$59+IF($A47=Annahmen!$C$71+Annahmen!$B$73,Annahmen!$C$72*Annahmen!$C$74,0)</f>
        <v>0</v>
      </c>
      <c r="E47" s="17" t="n">
        <f aca="false">D47</f>
        <v>0</v>
      </c>
      <c r="F47" s="17" t="n">
        <f aca="false">E47*(1-Annahmen!$C$61)</f>
        <v>0</v>
      </c>
      <c r="G47" s="17" t="n">
        <f aca="false">E47*Annahmen!$C$61</f>
        <v>0</v>
      </c>
      <c r="H47" s="24" t="n">
        <f aca="false">F47*Annahmen!$C$87+G47*Annahmen!$C$88</f>
        <v>0</v>
      </c>
      <c r="I47" s="17" t="n">
        <f aca="false">IF($A47&gt;=Annahmen!$C$55,Annahmen!$C$64*(1-Annahmen!$C$65),0)</f>
        <v>0</v>
      </c>
      <c r="J47" s="17" t="n">
        <f aca="false">IF($A47&gt;=Annahmen!$C$55,Annahmen!$C$64*Annahmen!$C$65,0)</f>
        <v>0</v>
      </c>
      <c r="K47" s="24" t="n">
        <f aca="false">I47*Annahmen!$B$80+J47*Annahmen!$B$81</f>
        <v>0</v>
      </c>
      <c r="L47" s="17" t="n">
        <f aca="false">IF($A47&gt;=Annahmen!$C$55,Annahmen!$C$66,0)</f>
        <v>0</v>
      </c>
      <c r="M47" s="24" t="n">
        <f aca="false">L47*Annahmen!$B$82</f>
        <v>0</v>
      </c>
      <c r="N47" s="24" t="n">
        <f aca="false">H47+K47+M47</f>
        <v>0</v>
      </c>
      <c r="O47" s="24" t="n">
        <f aca="false">N47/(1+Annahmen!$B$9)</f>
        <v>0</v>
      </c>
      <c r="P47" s="24" t="n">
        <f aca="false">O47*(Annahmen!$C$63*Annahmen!$B$83+(1-Annahmen!$C$63)*Annahmen!$B$84)+(E47*Annahmen!$C$62+E47*(1-Annahmen!$C$62)/12+I47+J47+L47)*(1-Annahmen!$C$63)*Annahmen!$B$85</f>
        <v>0</v>
      </c>
      <c r="Q47" s="17" t="n">
        <f aca="false">Annahmen!$C$67</f>
        <v>8</v>
      </c>
      <c r="R47" s="24" t="n">
        <f aca="false">Q47*(Annahmen!$B$43+Annahmen!$B$154)</f>
        <v>518.967701791488</v>
      </c>
      <c r="S47" s="24" t="n">
        <f aca="false">I47*Annahmen!$B$44+(J47+L47)*Annahmen!$B$45</f>
        <v>0</v>
      </c>
      <c r="T47" s="24" t="n">
        <f aca="false">C47*Annahmen!$B$86</f>
        <v>0</v>
      </c>
      <c r="U47" s="24" t="n">
        <f aca="false">SUMPRODUCT((((Annahmen!$C$161:$C$174="monatlich")*(Annahmen!$D$161:$D$174&lt;=$A47))+((Annahmen!$C$161:$C$174="einmalig")*(Annahmen!$D$161:$D$174=$A47)))*Annahmen!$B$161:$B$174*Annahmen!$E$161:$E$174)</f>
        <v>3518.26773742402</v>
      </c>
      <c r="V47" s="24" t="n">
        <f aca="false">IF($A47&gt;=Annahmen!$C$55,Annahmen!$C$143,0)</f>
        <v>0</v>
      </c>
      <c r="W47" s="36" t="n">
        <f aca="false">MAX(0,(E47-Annahmen!$B$147)/Annahmen!$B$148)</f>
        <v>0</v>
      </c>
      <c r="X47" s="24" t="n">
        <f aca="false">W47*Annahmen!$B$146</f>
        <v>0</v>
      </c>
      <c r="Y47" s="24" t="n">
        <f aca="false">O47-P47-R47-S47-T47-U47-V47-X47+AB47</f>
        <v>-4037.23543921551</v>
      </c>
      <c r="Z47" s="24" t="n">
        <f aca="false">Y47</f>
        <v>-4037.23543921551</v>
      </c>
      <c r="AA47" s="15" t="n">
        <f aca="false">MAX(0,C47-E47)</f>
        <v>0</v>
      </c>
      <c r="AB47" s="24" t="n">
        <f aca="false">IF($A47&gt;=Annahmen!$C$69,AA47*Annahmen!$C$70,0)</f>
        <v>0</v>
      </c>
      <c r="AC47" s="15" t="n">
        <f aca="false">IF($A47&lt;Annahmen!$C$55,0,Annahmen!$C$56)</f>
        <v>0</v>
      </c>
      <c r="AD47" s="15" t="n">
        <f aca="false">IF($A47&lt;Annahmen!$C$71,0,IF($A47&lt;Annahmen!$C$71+Annahmen!$B$73,Annahmen!$C$72,Annahmen!$C$72*Annahmen!$B$75))</f>
        <v>0</v>
      </c>
      <c r="AE47" s="7" t="n">
        <f aca="false">IF(Y47&gt;0,1,0)</f>
        <v>0</v>
      </c>
      <c r="AF47" s="7" t="n">
        <f aca="false">IF(Z47&gt;=0,1,0)</f>
        <v>0</v>
      </c>
    </row>
    <row r="48" customFormat="false" ht="15" hidden="false" customHeight="false" outlineLevel="0" collapsed="false">
      <c r="A48" s="7" t="n">
        <v>2</v>
      </c>
      <c r="B48" s="7" t="s">
        <v>391</v>
      </c>
      <c r="C48" s="15" t="n">
        <f aca="false">AC48+AD48</f>
        <v>0</v>
      </c>
      <c r="D48" s="17" t="n">
        <f aca="false">IF($A48&gt;Annahmen!$B$68,INDEX($AC$47:$AC$70,$A48-Annahmen!$B$68),0)*Annahmen!$C$59+IF($A48=Annahmen!$C$71+Annahmen!$B$73,Annahmen!$C$72*Annahmen!$C$74,0)</f>
        <v>0</v>
      </c>
      <c r="E48" s="17" t="n">
        <f aca="false">E47*(1-Annahmen!$C$60)+D48</f>
        <v>0</v>
      </c>
      <c r="F48" s="17" t="n">
        <f aca="false">E48*(1-Annahmen!$C$61)</f>
        <v>0</v>
      </c>
      <c r="G48" s="17" t="n">
        <f aca="false">E48*Annahmen!$C$61</f>
        <v>0</v>
      </c>
      <c r="H48" s="24" t="n">
        <f aca="false">F48*Annahmen!$C$87+G48*Annahmen!$C$88</f>
        <v>0</v>
      </c>
      <c r="I48" s="17" t="n">
        <f aca="false">IF($A48&gt;=Annahmen!$C$55,Annahmen!$C$64*(1-Annahmen!$C$65),0)</f>
        <v>0</v>
      </c>
      <c r="J48" s="17" t="n">
        <f aca="false">IF($A48&gt;=Annahmen!$C$55,Annahmen!$C$64*Annahmen!$C$65,0)</f>
        <v>0</v>
      </c>
      <c r="K48" s="24" t="n">
        <f aca="false">I48*Annahmen!$B$80+J48*Annahmen!$B$81</f>
        <v>0</v>
      </c>
      <c r="L48" s="17" t="n">
        <f aca="false">IF($A48&gt;=Annahmen!$C$55,Annahmen!$C$66,0)</f>
        <v>0</v>
      </c>
      <c r="M48" s="24" t="n">
        <f aca="false">L48*Annahmen!$B$82</f>
        <v>0</v>
      </c>
      <c r="N48" s="24" t="n">
        <f aca="false">H48+K48+M48</f>
        <v>0</v>
      </c>
      <c r="O48" s="24" t="n">
        <f aca="false">N48/(1+Annahmen!$B$9)</f>
        <v>0</v>
      </c>
      <c r="P48" s="24" t="n">
        <f aca="false">O48*(Annahmen!$C$63*Annahmen!$B$83+(1-Annahmen!$C$63)*Annahmen!$B$84)+(E48*Annahmen!$C$62+E48*(1-Annahmen!$C$62)/12+I48+J48+L48)*(1-Annahmen!$C$63)*Annahmen!$B$85</f>
        <v>0</v>
      </c>
      <c r="Q48" s="17" t="n">
        <f aca="false">Annahmen!$C$67</f>
        <v>8</v>
      </c>
      <c r="R48" s="24" t="n">
        <f aca="false">Q48*(Annahmen!$B$43+Annahmen!$B$154)</f>
        <v>518.967701791488</v>
      </c>
      <c r="S48" s="24" t="n">
        <f aca="false">I48*Annahmen!$B$44+(J48+L48)*Annahmen!$B$45</f>
        <v>0</v>
      </c>
      <c r="T48" s="24" t="n">
        <f aca="false">C48*Annahmen!$B$86</f>
        <v>0</v>
      </c>
      <c r="U48" s="24" t="n">
        <f aca="false">SUMPRODUCT((((Annahmen!$C$161:$C$174="monatlich")*(Annahmen!$D$161:$D$174&lt;=$A48))+((Annahmen!$C$161:$C$174="einmalig")*(Annahmen!$D$161:$D$174=$A48)))*Annahmen!$B$161:$B$174*Annahmen!$E$161:$E$174)</f>
        <v>92.3204681497364</v>
      </c>
      <c r="V48" s="24" t="n">
        <f aca="false">IF($A48&gt;=Annahmen!$C$55,Annahmen!$C$143,0)</f>
        <v>0</v>
      </c>
      <c r="W48" s="36" t="n">
        <f aca="false">MAX(0,(E48-Annahmen!$B$147)/Annahmen!$B$148)</f>
        <v>0</v>
      </c>
      <c r="X48" s="24" t="n">
        <f aca="false">W48*Annahmen!$B$146</f>
        <v>0</v>
      </c>
      <c r="Y48" s="24" t="n">
        <f aca="false">O48-P48-R48-S48-T48-U48-V48-X48+AB48</f>
        <v>-611.288169941225</v>
      </c>
      <c r="Z48" s="24" t="n">
        <f aca="false">Z47+Y48</f>
        <v>-4648.52360915673</v>
      </c>
      <c r="AA48" s="15" t="n">
        <f aca="false">MAX(0,C48-E48)</f>
        <v>0</v>
      </c>
      <c r="AB48" s="24" t="n">
        <f aca="false">IF($A48&gt;=Annahmen!$C$69,AA48*Annahmen!$C$70,0)</f>
        <v>0</v>
      </c>
      <c r="AC48" s="15" t="n">
        <f aca="false">IF($A48&lt;Annahmen!$C$55,0,IF($A48=Annahmen!$C$55,Annahmen!$C$56,AC47*(1+Annahmen!$C$57*(1-C47/Annahmen!$C$58))))</f>
        <v>0</v>
      </c>
      <c r="AD48" s="15" t="n">
        <f aca="false">IF($A48&lt;Annahmen!$C$71,0,IF($A48&lt;Annahmen!$C$71+Annahmen!$B$73,Annahmen!$C$72,Annahmen!$C$72*Annahmen!$B$75))</f>
        <v>0</v>
      </c>
      <c r="AE48" s="7" t="n">
        <f aca="false">IF(Y48&gt;0,1,0)</f>
        <v>0</v>
      </c>
      <c r="AF48" s="7" t="n">
        <f aca="false">IF(Z48&gt;=0,1,0)</f>
        <v>0</v>
      </c>
    </row>
    <row r="49" customFormat="false" ht="15" hidden="false" customHeight="false" outlineLevel="0" collapsed="false">
      <c r="A49" s="7" t="n">
        <v>3</v>
      </c>
      <c r="B49" s="7" t="s">
        <v>392</v>
      </c>
      <c r="C49" s="15" t="n">
        <f aca="false">AC49+AD49</f>
        <v>500</v>
      </c>
      <c r="D49" s="17" t="n">
        <f aca="false">IF($A49&gt;Annahmen!$B$68,INDEX($AC$47:$AC$70,$A49-Annahmen!$B$68),0)*Annahmen!$C$59+IF($A49=Annahmen!$C$71+Annahmen!$B$73,Annahmen!$C$72*Annahmen!$C$74,0)</f>
        <v>0</v>
      </c>
      <c r="E49" s="17" t="n">
        <f aca="false">E48*(1-Annahmen!$C$60)+D49</f>
        <v>0</v>
      </c>
      <c r="F49" s="17" t="n">
        <f aca="false">E49*(1-Annahmen!$C$61)</f>
        <v>0</v>
      </c>
      <c r="G49" s="17" t="n">
        <f aca="false">E49*Annahmen!$C$61</f>
        <v>0</v>
      </c>
      <c r="H49" s="24" t="n">
        <f aca="false">F49*Annahmen!$C$87+G49*Annahmen!$C$88</f>
        <v>0</v>
      </c>
      <c r="I49" s="17" t="n">
        <f aca="false">IF($A49&gt;=Annahmen!$C$55,Annahmen!$C$64*(1-Annahmen!$C$65),0)</f>
        <v>1.2</v>
      </c>
      <c r="J49" s="17" t="n">
        <f aca="false">IF($A49&gt;=Annahmen!$C$55,Annahmen!$C$64*Annahmen!$C$65,0)</f>
        <v>0.8</v>
      </c>
      <c r="K49" s="24" t="n">
        <f aca="false">I49*Annahmen!$B$80+J49*Annahmen!$B$81</f>
        <v>131.98</v>
      </c>
      <c r="L49" s="17" t="n">
        <f aca="false">IF($A49&gt;=Annahmen!$C$55,Annahmen!$C$66,0)</f>
        <v>0.5</v>
      </c>
      <c r="M49" s="24" t="n">
        <f aca="false">L49*Annahmen!$B$82</f>
        <v>74.5</v>
      </c>
      <c r="N49" s="24" t="n">
        <f aca="false">H49+K49+M49</f>
        <v>206.48</v>
      </c>
      <c r="O49" s="24" t="n">
        <f aca="false">N49/(1+Annahmen!$B$9)</f>
        <v>173.512605042017</v>
      </c>
      <c r="P49" s="24" t="n">
        <f aca="false">O49*(Annahmen!$C$63*Annahmen!$B$83+(1-Annahmen!$C$63)*Annahmen!$B$84)+(E49*Annahmen!$C$62+E49*(1-Annahmen!$C$62)/12+I49+J49+L49)*(1-Annahmen!$C$63)*Annahmen!$B$85</f>
        <v>14.6272899159664</v>
      </c>
      <c r="Q49" s="17" t="n">
        <f aca="false">Annahmen!$C$67</f>
        <v>8</v>
      </c>
      <c r="R49" s="24" t="n">
        <f aca="false">Q49*(Annahmen!$B$43+Annahmen!$B$154)</f>
        <v>518.967701791488</v>
      </c>
      <c r="S49" s="24" t="n">
        <f aca="false">I49*Annahmen!$B$44+(J49+L49)*Annahmen!$B$45</f>
        <v>79.1744983854023</v>
      </c>
      <c r="T49" s="24" t="n">
        <f aca="false">C49*Annahmen!$B$86</f>
        <v>5</v>
      </c>
      <c r="U49" s="24" t="n">
        <f aca="false">SUMPRODUCT((((Annahmen!$C$161:$C$174="monatlich")*(Annahmen!$D$161:$D$174&lt;=$A49))+((Annahmen!$C$161:$C$174="einmalig")*(Annahmen!$D$161:$D$174=$A49)))*Annahmen!$B$161:$B$174*Annahmen!$E$161:$E$174)</f>
        <v>69.9850799606897</v>
      </c>
      <c r="V49" s="24" t="n">
        <f aca="false">IF($A49&gt;=Annahmen!$C$55,Annahmen!$C$143,0)</f>
        <v>500</v>
      </c>
      <c r="W49" s="36" t="n">
        <f aca="false">MAX(0,(E49-Annahmen!$B$147)/Annahmen!$B$148)</f>
        <v>0</v>
      </c>
      <c r="X49" s="24" t="n">
        <f aca="false">W49*Annahmen!$B$146</f>
        <v>0</v>
      </c>
      <c r="Y49" s="24" t="n">
        <f aca="false">O49-P49-R49-S49-T49-U49-V49-X49+AB49</f>
        <v>-1014.24196501153</v>
      </c>
      <c r="Z49" s="24" t="n">
        <f aca="false">Z48+Y49</f>
        <v>-5662.76557416826</v>
      </c>
      <c r="AA49" s="15" t="n">
        <f aca="false">MAX(0,C49-E49)</f>
        <v>500</v>
      </c>
      <c r="AB49" s="24" t="n">
        <f aca="false">IF($A49&gt;=Annahmen!$C$69,AA49*Annahmen!$C$70,0)</f>
        <v>0</v>
      </c>
      <c r="AC49" s="15" t="n">
        <f aca="false">IF($A49&lt;Annahmen!$C$55,0,IF($A49=Annahmen!$C$55,Annahmen!$C$56,AC48*(1+Annahmen!$C$57*(1-C48/Annahmen!$C$58))))</f>
        <v>500</v>
      </c>
      <c r="AD49" s="15" t="n">
        <f aca="false">IF($A49&lt;Annahmen!$C$71,0,IF($A49&lt;Annahmen!$C$71+Annahmen!$B$73,Annahmen!$C$72,Annahmen!$C$72*Annahmen!$B$75))</f>
        <v>0</v>
      </c>
      <c r="AE49" s="7" t="n">
        <f aca="false">IF(Y49&gt;0,1,0)</f>
        <v>0</v>
      </c>
      <c r="AF49" s="7" t="n">
        <f aca="false">IF(Z49&gt;=0,1,0)</f>
        <v>0</v>
      </c>
    </row>
    <row r="50" customFormat="false" ht="15" hidden="false" customHeight="false" outlineLevel="0" collapsed="false">
      <c r="A50" s="7" t="n">
        <v>4</v>
      </c>
      <c r="B50" s="7" t="s">
        <v>393</v>
      </c>
      <c r="C50" s="15" t="n">
        <f aca="false">AC50+AD50</f>
        <v>2074.8125</v>
      </c>
      <c r="D50" s="17" t="n">
        <f aca="false">IF($A50&gt;Annahmen!$B$68,INDEX($AC$47:$AC$70,$A50-Annahmen!$B$68),0)*Annahmen!$C$59+IF($A50=Annahmen!$C$71+Annahmen!$B$73,Annahmen!$C$72*Annahmen!$C$74,0)</f>
        <v>5</v>
      </c>
      <c r="E50" s="17" t="n">
        <f aca="false">E49*(1-Annahmen!$C$60)+D50</f>
        <v>5</v>
      </c>
      <c r="F50" s="17" t="n">
        <f aca="false">E50*(1-Annahmen!$C$61)</f>
        <v>3</v>
      </c>
      <c r="G50" s="17" t="n">
        <f aca="false">E50*Annahmen!$C$61</f>
        <v>2</v>
      </c>
      <c r="H50" s="24" t="n">
        <f aca="false">F50*Annahmen!$C$87+G50*Annahmen!$C$88</f>
        <v>31.7016666666667</v>
      </c>
      <c r="I50" s="17" t="n">
        <f aca="false">IF($A50&gt;=Annahmen!$C$55,Annahmen!$C$64*(1-Annahmen!$C$65),0)</f>
        <v>1.2</v>
      </c>
      <c r="J50" s="17" t="n">
        <f aca="false">IF($A50&gt;=Annahmen!$C$55,Annahmen!$C$64*Annahmen!$C$65,0)</f>
        <v>0.8</v>
      </c>
      <c r="K50" s="24" t="n">
        <f aca="false">I50*Annahmen!$B$80+J50*Annahmen!$B$81</f>
        <v>131.98</v>
      </c>
      <c r="L50" s="17" t="n">
        <f aca="false">IF($A50&gt;=Annahmen!$C$55,Annahmen!$C$66,0)</f>
        <v>0.5</v>
      </c>
      <c r="M50" s="24" t="n">
        <f aca="false">L50*Annahmen!$B$82</f>
        <v>74.5</v>
      </c>
      <c r="N50" s="24" t="n">
        <f aca="false">H50+K50+M50</f>
        <v>238.181666666667</v>
      </c>
      <c r="O50" s="24" t="n">
        <f aca="false">N50/(1+Annahmen!$B$9)</f>
        <v>200.152661064426</v>
      </c>
      <c r="P50" s="24" t="n">
        <f aca="false">O50*(Annahmen!$C$63*Annahmen!$B$83+(1-Annahmen!$C$63)*Annahmen!$B$84)+(E50*Annahmen!$C$62+E50*(1-Annahmen!$C$62)/12+I50+J50+L50)*(1-Annahmen!$C$63)*Annahmen!$B$85</f>
        <v>17.2209278711485</v>
      </c>
      <c r="Q50" s="17" t="n">
        <f aca="false">Annahmen!$C$67</f>
        <v>8</v>
      </c>
      <c r="R50" s="24" t="n">
        <f aca="false">Q50*(Annahmen!$B$43+Annahmen!$B$154)</f>
        <v>518.967701791488</v>
      </c>
      <c r="S50" s="24" t="n">
        <f aca="false">I50*Annahmen!$B$44+(J50+L50)*Annahmen!$B$45</f>
        <v>79.1744983854023</v>
      </c>
      <c r="T50" s="24" t="n">
        <f aca="false">C50*Annahmen!$B$86</f>
        <v>20.748125</v>
      </c>
      <c r="U50" s="24" t="n">
        <f aca="false">SUMPRODUCT((((Annahmen!$C$161:$C$174="monatlich")*(Annahmen!$D$161:$D$174&lt;=$A50))+((Annahmen!$C$161:$C$174="einmalig")*(Annahmen!$D$161:$D$174=$A50)))*Annahmen!$B$161:$B$174*Annahmen!$E$161:$E$174)</f>
        <v>69.9850799606897</v>
      </c>
      <c r="V50" s="24" t="n">
        <f aca="false">IF($A50&gt;=Annahmen!$C$55,Annahmen!$C$143,0)</f>
        <v>500</v>
      </c>
      <c r="W50" s="36" t="n">
        <f aca="false">MAX(0,(E50-Annahmen!$B$147)/Annahmen!$B$148)</f>
        <v>0</v>
      </c>
      <c r="X50" s="24" t="n">
        <f aca="false">W50*Annahmen!$B$146</f>
        <v>0</v>
      </c>
      <c r="Y50" s="24" t="n">
        <f aca="false">O50-P50-R50-S50-T50-U50-V50-X50+AB50</f>
        <v>-1005.9436719443</v>
      </c>
      <c r="Z50" s="24" t="n">
        <f aca="false">Z49+Y50</f>
        <v>-6668.70924611257</v>
      </c>
      <c r="AA50" s="15" t="n">
        <f aca="false">MAX(0,C50-E50)</f>
        <v>2069.8125</v>
      </c>
      <c r="AB50" s="24" t="n">
        <f aca="false">IF($A50&gt;=Annahmen!$C$69,AA50*Annahmen!$C$70,0)</f>
        <v>0</v>
      </c>
      <c r="AC50" s="15" t="n">
        <f aca="false">IF($A50&lt;Annahmen!$C$55,0,IF($A50=Annahmen!$C$55,Annahmen!$C$56,AC49*(1+Annahmen!$C$57*(1-C49/Annahmen!$C$58))))</f>
        <v>574.8125</v>
      </c>
      <c r="AD50" s="15" t="n">
        <f aca="false">IF($A50&lt;Annahmen!$C$71,0,IF($A50&lt;Annahmen!$C$71+Annahmen!$B$73,Annahmen!$C$72,Annahmen!$C$72*Annahmen!$B$75))</f>
        <v>1500</v>
      </c>
      <c r="AE50" s="7" t="n">
        <f aca="false">IF(Y50&gt;0,1,0)</f>
        <v>0</v>
      </c>
      <c r="AF50" s="7" t="n">
        <f aca="false">IF(Z50&gt;=0,1,0)</f>
        <v>0</v>
      </c>
    </row>
    <row r="51" customFormat="false" ht="15" hidden="false" customHeight="false" outlineLevel="0" collapsed="false">
      <c r="A51" s="7" t="n">
        <v>5</v>
      </c>
      <c r="B51" s="7" t="s">
        <v>394</v>
      </c>
      <c r="C51" s="15" t="n">
        <f aca="false">AC51+AD51</f>
        <v>2160.13990387988</v>
      </c>
      <c r="D51" s="17" t="n">
        <f aca="false">IF($A51&gt;Annahmen!$B$68,INDEX($AC$47:$AC$70,$A51-Annahmen!$B$68),0)*Annahmen!$C$59+IF($A51=Annahmen!$C$71+Annahmen!$B$73,Annahmen!$C$72*Annahmen!$C$74,0)</f>
        <v>5.748125</v>
      </c>
      <c r="E51" s="17" t="n">
        <f aca="false">E50*(1-Annahmen!$C$60)+D51</f>
        <v>10.448125</v>
      </c>
      <c r="F51" s="17" t="n">
        <f aca="false">E51*(1-Annahmen!$C$61)</f>
        <v>6.268875</v>
      </c>
      <c r="G51" s="17" t="n">
        <f aca="false">E51*Annahmen!$C$61</f>
        <v>4.17925</v>
      </c>
      <c r="H51" s="24" t="n">
        <f aca="false">F51*Annahmen!$C$87+G51*Annahmen!$C$88</f>
        <v>66.2445952083333</v>
      </c>
      <c r="I51" s="17" t="n">
        <f aca="false">IF($A51&gt;=Annahmen!$C$55,Annahmen!$C$64*(1-Annahmen!$C$65),0)</f>
        <v>1.2</v>
      </c>
      <c r="J51" s="17" t="n">
        <f aca="false">IF($A51&gt;=Annahmen!$C$55,Annahmen!$C$64*Annahmen!$C$65,0)</f>
        <v>0.8</v>
      </c>
      <c r="K51" s="24" t="n">
        <f aca="false">I51*Annahmen!$B$80+J51*Annahmen!$B$81</f>
        <v>131.98</v>
      </c>
      <c r="L51" s="17" t="n">
        <f aca="false">IF($A51&gt;=Annahmen!$C$55,Annahmen!$C$66,0)</f>
        <v>0.5</v>
      </c>
      <c r="M51" s="24" t="n">
        <f aca="false">L51*Annahmen!$B$82</f>
        <v>74.5</v>
      </c>
      <c r="N51" s="24" t="n">
        <f aca="false">H51+K51+M51</f>
        <v>272.724595208333</v>
      </c>
      <c r="O51" s="24" t="n">
        <f aca="false">N51/(1+Annahmen!$B$9)</f>
        <v>229.180332107843</v>
      </c>
      <c r="P51" s="24" t="n">
        <f aca="false">O51*(Annahmen!$C$63*Annahmen!$B$83+(1-Annahmen!$C$63)*Annahmen!$B$84)+(E51*Annahmen!$C$62+E51*(1-Annahmen!$C$62)/12+I51+J51+L51)*(1-Annahmen!$C$63)*Annahmen!$B$85</f>
        <v>20.0470206280637</v>
      </c>
      <c r="Q51" s="17" t="n">
        <f aca="false">Annahmen!$C$67</f>
        <v>8</v>
      </c>
      <c r="R51" s="24" t="n">
        <f aca="false">Q51*(Annahmen!$B$43+Annahmen!$B$154)</f>
        <v>518.967701791488</v>
      </c>
      <c r="S51" s="24" t="n">
        <f aca="false">I51*Annahmen!$B$44+(J51+L51)*Annahmen!$B$45</f>
        <v>79.1744983854023</v>
      </c>
      <c r="T51" s="24" t="n">
        <f aca="false">C51*Annahmen!$B$86</f>
        <v>21.6013990387988</v>
      </c>
      <c r="U51" s="24" t="n">
        <f aca="false">SUMPRODUCT((((Annahmen!$C$161:$C$174="monatlich")*(Annahmen!$D$161:$D$174&lt;=$A51))+((Annahmen!$C$161:$C$174="einmalig")*(Annahmen!$D$161:$D$174=$A51)))*Annahmen!$B$161:$B$174*Annahmen!$E$161:$E$174)</f>
        <v>309.98507996069</v>
      </c>
      <c r="V51" s="24" t="n">
        <f aca="false">IF($A51&gt;=Annahmen!$C$55,Annahmen!$C$143,0)</f>
        <v>500</v>
      </c>
      <c r="W51" s="36" t="n">
        <f aca="false">MAX(0,(E51-Annahmen!$B$147)/Annahmen!$B$148)</f>
        <v>0</v>
      </c>
      <c r="X51" s="24" t="n">
        <f aca="false">W51*Annahmen!$B$146</f>
        <v>0</v>
      </c>
      <c r="Y51" s="24" t="n">
        <f aca="false">O51-P51-R51-S51-T51-U51-V51-X51+AB51</f>
        <v>-1220.5953676966</v>
      </c>
      <c r="Z51" s="24" t="n">
        <f aca="false">Z50+Y51</f>
        <v>-7889.30461380917</v>
      </c>
      <c r="AA51" s="15" t="n">
        <f aca="false">MAX(0,C51-E51)</f>
        <v>2149.69177887988</v>
      </c>
      <c r="AB51" s="24" t="n">
        <f aca="false">IF($A51&gt;=Annahmen!$C$69,AA51*Annahmen!$C$70,0)</f>
        <v>0</v>
      </c>
      <c r="AC51" s="15" t="n">
        <f aca="false">IF($A51&lt;Annahmen!$C$55,0,IF($A51=Annahmen!$C$55,Annahmen!$C$56,AC50*(1+Annahmen!$C$57*(1-C50/Annahmen!$C$58))))</f>
        <v>660.139903879883</v>
      </c>
      <c r="AD51" s="15" t="n">
        <f aca="false">IF($A51&lt;Annahmen!$C$71,0,IF($A51&lt;Annahmen!$C$71+Annahmen!$B$73,Annahmen!$C$72,Annahmen!$C$72*Annahmen!$B$75))</f>
        <v>1500</v>
      </c>
      <c r="AE51" s="7" t="n">
        <f aca="false">IF(Y51&gt;0,1,0)</f>
        <v>0</v>
      </c>
      <c r="AF51" s="7" t="n">
        <f aca="false">IF(Z51&gt;=0,1,0)</f>
        <v>0</v>
      </c>
    </row>
    <row r="52" customFormat="false" ht="15" hidden="false" customHeight="false" outlineLevel="0" collapsed="false">
      <c r="A52" s="7" t="n">
        <v>6</v>
      </c>
      <c r="B52" s="7" t="s">
        <v>395</v>
      </c>
      <c r="C52" s="15" t="n">
        <f aca="false">AC52+AD52</f>
        <v>2258.09139355048</v>
      </c>
      <c r="D52" s="17" t="n">
        <f aca="false">IF($A52&gt;Annahmen!$B$68,INDEX($AC$47:$AC$70,$A52-Annahmen!$B$68),0)*Annahmen!$C$59+IF($A52=Annahmen!$C$71+Annahmen!$B$73,Annahmen!$C$72*Annahmen!$C$74,0)</f>
        <v>6.60139903879883</v>
      </c>
      <c r="E52" s="17" t="n">
        <f aca="false">E51*(1-Annahmen!$C$60)+D52</f>
        <v>16.4226365387988</v>
      </c>
      <c r="F52" s="17" t="n">
        <f aca="false">E52*(1-Annahmen!$C$61)</f>
        <v>9.8535819232793</v>
      </c>
      <c r="G52" s="17" t="n">
        <f aca="false">E52*Annahmen!$C$61</f>
        <v>6.56905461551953</v>
      </c>
      <c r="H52" s="24" t="n">
        <f aca="false">F52*Annahmen!$C$87+G52*Annahmen!$C$88</f>
        <v>104.124989868164</v>
      </c>
      <c r="I52" s="17" t="n">
        <f aca="false">IF($A52&gt;=Annahmen!$C$55,Annahmen!$C$64*(1-Annahmen!$C$65),0)</f>
        <v>1.2</v>
      </c>
      <c r="J52" s="17" t="n">
        <f aca="false">IF($A52&gt;=Annahmen!$C$55,Annahmen!$C$64*Annahmen!$C$65,0)</f>
        <v>0.8</v>
      </c>
      <c r="K52" s="24" t="n">
        <f aca="false">I52*Annahmen!$B$80+J52*Annahmen!$B$81</f>
        <v>131.98</v>
      </c>
      <c r="L52" s="17" t="n">
        <f aca="false">IF($A52&gt;=Annahmen!$C$55,Annahmen!$C$66,0)</f>
        <v>0.5</v>
      </c>
      <c r="M52" s="24" t="n">
        <f aca="false">L52*Annahmen!$B$82</f>
        <v>74.5</v>
      </c>
      <c r="N52" s="24" t="n">
        <f aca="false">H52+K52+M52</f>
        <v>310.604989868164</v>
      </c>
      <c r="O52" s="24" t="n">
        <f aca="false">N52/(1+Annahmen!$B$9)</f>
        <v>261.012596527869</v>
      </c>
      <c r="P52" s="24" t="n">
        <f aca="false">O52*(Annahmen!$C$63*Annahmen!$B$83+(1-Annahmen!$C$63)*Annahmen!$B$84)+(E52*Annahmen!$C$62+E52*(1-Annahmen!$C$62)/12+I52+J52+L52)*(1-Annahmen!$C$63)*Annahmen!$B$85</f>
        <v>23.1461646062041</v>
      </c>
      <c r="Q52" s="17" t="n">
        <f aca="false">Annahmen!$C$67</f>
        <v>8</v>
      </c>
      <c r="R52" s="24" t="n">
        <f aca="false">Q52*(Annahmen!$B$43+Annahmen!$B$154)</f>
        <v>518.967701791488</v>
      </c>
      <c r="S52" s="24" t="n">
        <f aca="false">I52*Annahmen!$B$44+(J52+L52)*Annahmen!$B$45</f>
        <v>79.1744983854023</v>
      </c>
      <c r="T52" s="24" t="n">
        <f aca="false">C52*Annahmen!$B$86</f>
        <v>22.5809139355048</v>
      </c>
      <c r="U52" s="24" t="n">
        <f aca="false">SUMPRODUCT((((Annahmen!$C$161:$C$174="monatlich")*(Annahmen!$D$161:$D$174&lt;=$A52))+((Annahmen!$C$161:$C$174="einmalig")*(Annahmen!$D$161:$D$174=$A52)))*Annahmen!$B$161:$B$174*Annahmen!$E$161:$E$174)</f>
        <v>69.9850799606897</v>
      </c>
      <c r="V52" s="24" t="n">
        <f aca="false">IF($A52&gt;=Annahmen!$C$55,Annahmen!$C$143,0)</f>
        <v>500</v>
      </c>
      <c r="W52" s="36" t="n">
        <f aca="false">MAX(0,(E52-Annahmen!$B$147)/Annahmen!$B$148)</f>
        <v>0</v>
      </c>
      <c r="X52" s="24" t="n">
        <f aca="false">W52*Annahmen!$B$146</f>
        <v>0</v>
      </c>
      <c r="Y52" s="24" t="n">
        <f aca="false">O52-P52-R52-S52-T52-U52-V52-X52+AB52</f>
        <v>-952.84176215142</v>
      </c>
      <c r="Z52" s="24" t="n">
        <f aca="false">Z51+Y52</f>
        <v>-8842.14637596059</v>
      </c>
      <c r="AA52" s="15" t="n">
        <f aca="false">MAX(0,C52-E52)</f>
        <v>2241.66875701168</v>
      </c>
      <c r="AB52" s="24" t="n">
        <f aca="false">IF($A52&gt;=Annahmen!$C$69,AA52*Annahmen!$C$70,0)</f>
        <v>0</v>
      </c>
      <c r="AC52" s="15" t="n">
        <f aca="false">IF($A52&lt;Annahmen!$C$55,0,IF($A52=Annahmen!$C$55,Annahmen!$C$56,AC51*(1+Annahmen!$C$57*(1-C51/Annahmen!$C$58))))</f>
        <v>758.091393550479</v>
      </c>
      <c r="AD52" s="15" t="n">
        <f aca="false">IF($A52&lt;Annahmen!$C$71,0,IF($A52&lt;Annahmen!$C$71+Annahmen!$B$73,Annahmen!$C$72,Annahmen!$C$72*Annahmen!$B$75))</f>
        <v>1500</v>
      </c>
      <c r="AE52" s="7" t="n">
        <f aca="false">IF(Y52&gt;0,1,0)</f>
        <v>0</v>
      </c>
      <c r="AF52" s="7" t="n">
        <f aca="false">IF(Z52&gt;=0,1,0)</f>
        <v>0</v>
      </c>
    </row>
    <row r="53" customFormat="false" ht="15" hidden="false" customHeight="false" outlineLevel="0" collapsed="false">
      <c r="A53" s="7" t="n">
        <v>7</v>
      </c>
      <c r="B53" s="7" t="s">
        <v>396</v>
      </c>
      <c r="C53" s="15" t="n">
        <f aca="false">AC53+AD53</f>
        <v>1320.52122284458</v>
      </c>
      <c r="D53" s="17" t="n">
        <f aca="false">IF($A53&gt;Annahmen!$B$68,INDEX($AC$47:$AC$70,$A53-Annahmen!$B$68),0)*Annahmen!$C$59+IF($A53=Annahmen!$C$71+Annahmen!$B$73,Annahmen!$C$72*Annahmen!$C$74,0)</f>
        <v>82.5809139355048</v>
      </c>
      <c r="E53" s="17" t="n">
        <f aca="false">E52*(1-Annahmen!$C$60)+D53</f>
        <v>98.0181922819757</v>
      </c>
      <c r="F53" s="17" t="n">
        <f aca="false">E53*(1-Annahmen!$C$61)</f>
        <v>58.8109153691854</v>
      </c>
      <c r="G53" s="17" t="n">
        <f aca="false">E53*Annahmen!$C$61</f>
        <v>39.2072769127903</v>
      </c>
      <c r="H53" s="24" t="n">
        <f aca="false">F53*Annahmen!$C$87+G53*Annahmen!$C$88</f>
        <v>621.468011798487</v>
      </c>
      <c r="I53" s="17" t="n">
        <f aca="false">IF($A53&gt;=Annahmen!$C$55,Annahmen!$C$64*(1-Annahmen!$C$65),0)</f>
        <v>1.2</v>
      </c>
      <c r="J53" s="17" t="n">
        <f aca="false">IF($A53&gt;=Annahmen!$C$55,Annahmen!$C$64*Annahmen!$C$65,0)</f>
        <v>0.8</v>
      </c>
      <c r="K53" s="24" t="n">
        <f aca="false">I53*Annahmen!$B$80+J53*Annahmen!$B$81</f>
        <v>131.98</v>
      </c>
      <c r="L53" s="17" t="n">
        <f aca="false">IF($A53&gt;=Annahmen!$C$55,Annahmen!$C$66,0)</f>
        <v>0.5</v>
      </c>
      <c r="M53" s="24" t="n">
        <f aca="false">L53*Annahmen!$B$82</f>
        <v>74.5</v>
      </c>
      <c r="N53" s="24" t="n">
        <f aca="false">H53+K53+M53</f>
        <v>827.948011798487</v>
      </c>
      <c r="O53" s="24" t="n">
        <f aca="false">N53/(1+Annahmen!$B$9)</f>
        <v>695.754631763434</v>
      </c>
      <c r="P53" s="24" t="n">
        <f aca="false">O53*(Annahmen!$C$63*Annahmen!$B$83+(1-Annahmen!$C$63)*Annahmen!$B$84)+(E53*Annahmen!$C$62+E53*(1-Annahmen!$C$62)/12+I53+J53+L53)*(1-Annahmen!$C$63)*Annahmen!$B$85</f>
        <v>65.4720306761397</v>
      </c>
      <c r="Q53" s="17" t="n">
        <f aca="false">Annahmen!$C$67</f>
        <v>8</v>
      </c>
      <c r="R53" s="24" t="n">
        <f aca="false">Q53*(Annahmen!$B$43+Annahmen!$B$154)</f>
        <v>518.967701791488</v>
      </c>
      <c r="S53" s="24" t="n">
        <f aca="false">I53*Annahmen!$B$44+(J53+L53)*Annahmen!$B$45</f>
        <v>79.1744983854023</v>
      </c>
      <c r="T53" s="24" t="n">
        <f aca="false">C53*Annahmen!$B$86</f>
        <v>13.2052122284458</v>
      </c>
      <c r="U53" s="24" t="n">
        <f aca="false">SUMPRODUCT((((Annahmen!$C$161:$C$174="monatlich")*(Annahmen!$D$161:$D$174&lt;=$A53))+((Annahmen!$C$161:$C$174="einmalig")*(Annahmen!$D$161:$D$174=$A53)))*Annahmen!$B$161:$B$174*Annahmen!$E$161:$E$174)</f>
        <v>69.9850799606897</v>
      </c>
      <c r="V53" s="24" t="n">
        <f aca="false">IF($A53&gt;=Annahmen!$C$55,Annahmen!$C$143,0)</f>
        <v>500</v>
      </c>
      <c r="W53" s="36" t="n">
        <f aca="false">MAX(0,(E53-Annahmen!$B$147)/Annahmen!$B$148)</f>
        <v>0</v>
      </c>
      <c r="X53" s="24" t="n">
        <f aca="false">W53*Annahmen!$B$146</f>
        <v>0</v>
      </c>
      <c r="Y53" s="24" t="n">
        <f aca="false">O53-P53-R53-S53-T53-U53-V53-X53+AB53</f>
        <v>-551.049891278732</v>
      </c>
      <c r="Z53" s="24" t="n">
        <f aca="false">Z52+Y53</f>
        <v>-9393.19626723932</v>
      </c>
      <c r="AA53" s="15" t="n">
        <f aca="false">MAX(0,C53-E53)</f>
        <v>1222.5030305626</v>
      </c>
      <c r="AB53" s="24" t="n">
        <f aca="false">IF($A53&gt;=Annahmen!$C$69,AA53*Annahmen!$C$70,0)</f>
        <v>0</v>
      </c>
      <c r="AC53" s="15" t="n">
        <f aca="false">IF($A53&lt;Annahmen!$C$55,0,IF($A53=Annahmen!$C$55,Annahmen!$C$56,AC52*(1+Annahmen!$C$57*(1-C52/Annahmen!$C$58))))</f>
        <v>870.521222844576</v>
      </c>
      <c r="AD53" s="15" t="n">
        <f aca="false">IF($A53&lt;Annahmen!$C$71,0,IF($A53&lt;Annahmen!$C$71+Annahmen!$B$73,Annahmen!$C$72,Annahmen!$C$72*Annahmen!$B$75))</f>
        <v>450</v>
      </c>
      <c r="AE53" s="7" t="n">
        <f aca="false">IF(Y53&gt;0,1,0)</f>
        <v>0</v>
      </c>
      <c r="AF53" s="7" t="n">
        <f aca="false">IF(Z53&gt;=0,1,0)</f>
        <v>0</v>
      </c>
    </row>
    <row r="54" customFormat="false" ht="15" hidden="false" customHeight="false" outlineLevel="0" collapsed="false">
      <c r="A54" s="7" t="n">
        <v>8</v>
      </c>
      <c r="B54" s="7" t="s">
        <v>397</v>
      </c>
      <c r="C54" s="15" t="n">
        <f aca="false">AC54+AD54</f>
        <v>1450.23724995898</v>
      </c>
      <c r="D54" s="17" t="n">
        <f aca="false">IF($A54&gt;Annahmen!$B$68,INDEX($AC$47:$AC$70,$A54-Annahmen!$B$68),0)*Annahmen!$C$59+IF($A54=Annahmen!$C$71+Annahmen!$B$73,Annahmen!$C$72*Annahmen!$C$74,0)</f>
        <v>8.70521222844576</v>
      </c>
      <c r="E54" s="17" t="n">
        <f aca="false">E53*(1-Annahmen!$C$60)+D54</f>
        <v>100.842312973503</v>
      </c>
      <c r="F54" s="17" t="n">
        <f aca="false">E54*(1-Annahmen!$C$61)</f>
        <v>60.5053877841017</v>
      </c>
      <c r="G54" s="17" t="n">
        <f aca="false">E54*Annahmen!$C$61</f>
        <v>40.3369251894012</v>
      </c>
      <c r="H54" s="24" t="n">
        <f aca="false">F54*Annahmen!$C$87+G54*Annahmen!$C$88</f>
        <v>639.373878356333</v>
      </c>
      <c r="I54" s="17" t="n">
        <f aca="false">IF($A54&gt;=Annahmen!$C$55,Annahmen!$C$64*(1-Annahmen!$C$65),0)</f>
        <v>1.2</v>
      </c>
      <c r="J54" s="17" t="n">
        <f aca="false">IF($A54&gt;=Annahmen!$C$55,Annahmen!$C$64*Annahmen!$C$65,0)</f>
        <v>0.8</v>
      </c>
      <c r="K54" s="24" t="n">
        <f aca="false">I54*Annahmen!$B$80+J54*Annahmen!$B$81</f>
        <v>131.98</v>
      </c>
      <c r="L54" s="17" t="n">
        <f aca="false">IF($A54&gt;=Annahmen!$C$55,Annahmen!$C$66,0)</f>
        <v>0.5</v>
      </c>
      <c r="M54" s="24" t="n">
        <f aca="false">L54*Annahmen!$B$82</f>
        <v>74.5</v>
      </c>
      <c r="N54" s="24" t="n">
        <f aca="false">H54+K54+M54</f>
        <v>845.853878356333</v>
      </c>
      <c r="O54" s="24" t="n">
        <f aca="false">N54/(1+Annahmen!$B$9)</f>
        <v>710.8015784507</v>
      </c>
      <c r="P54" s="24" t="n">
        <f aca="false">O54*(Annahmen!$C$63*Annahmen!$B$83+(1-Annahmen!$C$63)*Annahmen!$B$84)+(E54*Annahmen!$C$62+E54*(1-Annahmen!$C$62)/12+I54+J54+L54)*(1-Annahmen!$C$63)*Annahmen!$B$85</f>
        <v>66.9369799992517</v>
      </c>
      <c r="Q54" s="17" t="n">
        <f aca="false">Annahmen!$C$67</f>
        <v>8</v>
      </c>
      <c r="R54" s="24" t="n">
        <f aca="false">Q54*(Annahmen!$B$43+Annahmen!$B$154)</f>
        <v>518.967701791488</v>
      </c>
      <c r="S54" s="24" t="n">
        <f aca="false">I54*Annahmen!$B$44+(J54+L54)*Annahmen!$B$45</f>
        <v>79.1744983854023</v>
      </c>
      <c r="T54" s="24" t="n">
        <f aca="false">C54*Annahmen!$B$86</f>
        <v>14.5023724995898</v>
      </c>
      <c r="U54" s="24" t="n">
        <f aca="false">SUMPRODUCT((((Annahmen!$C$161:$C$174="monatlich")*(Annahmen!$D$161:$D$174&lt;=$A54))+((Annahmen!$C$161:$C$174="einmalig")*(Annahmen!$D$161:$D$174=$A54)))*Annahmen!$B$161:$B$174*Annahmen!$E$161:$E$174)</f>
        <v>69.9850799606897</v>
      </c>
      <c r="V54" s="24" t="n">
        <f aca="false">IF($A54&gt;=Annahmen!$C$55,Annahmen!$C$143,0)</f>
        <v>500</v>
      </c>
      <c r="W54" s="36" t="n">
        <f aca="false">MAX(0,(E54-Annahmen!$B$147)/Annahmen!$B$148)</f>
        <v>0</v>
      </c>
      <c r="X54" s="24" t="n">
        <f aca="false">W54*Annahmen!$B$146</f>
        <v>0</v>
      </c>
      <c r="Y54" s="24" t="n">
        <f aca="false">O54-P54-R54-S54-T54-U54-V54-X54+AB54</f>
        <v>-538.765054185722</v>
      </c>
      <c r="Z54" s="24" t="n">
        <f aca="false">Z53+Y54</f>
        <v>-9931.96132142504</v>
      </c>
      <c r="AA54" s="15" t="n">
        <f aca="false">MAX(0,C54-E54)</f>
        <v>1349.39493698548</v>
      </c>
      <c r="AB54" s="24" t="n">
        <f aca="false">IF($A54&gt;=Annahmen!$C$69,AA54*Annahmen!$C$70,0)</f>
        <v>0</v>
      </c>
      <c r="AC54" s="15" t="n">
        <f aca="false">IF($A54&lt;Annahmen!$C$55,0,IF($A54=Annahmen!$C$55,Annahmen!$C$56,AC53*(1+Annahmen!$C$57*(1-C53/Annahmen!$C$58))))</f>
        <v>1000.23724995898</v>
      </c>
      <c r="AD54" s="15" t="n">
        <f aca="false">IF($A54&lt;Annahmen!$C$71,0,IF($A54&lt;Annahmen!$C$71+Annahmen!$B$73,Annahmen!$C$72,Annahmen!$C$72*Annahmen!$B$75))</f>
        <v>450</v>
      </c>
      <c r="AE54" s="7" t="n">
        <f aca="false">IF(Y54&gt;0,1,0)</f>
        <v>0</v>
      </c>
      <c r="AF54" s="7" t="n">
        <f aca="false">IF(Z54&gt;=0,1,0)</f>
        <v>0</v>
      </c>
    </row>
    <row r="55" customFormat="false" ht="15" hidden="false" customHeight="false" outlineLevel="0" collapsed="false">
      <c r="A55" s="7" t="n">
        <v>9</v>
      </c>
      <c r="B55" s="7" t="s">
        <v>398</v>
      </c>
      <c r="C55" s="15" t="n">
        <f aca="false">AC55+AD55</f>
        <v>1599.18490146382</v>
      </c>
      <c r="D55" s="17" t="n">
        <f aca="false">IF($A55&gt;Annahmen!$B$68,INDEX($AC$47:$AC$70,$A55-Annahmen!$B$68),0)*Annahmen!$C$59+IF($A55=Annahmen!$C$71+Annahmen!$B$73,Annahmen!$C$72*Annahmen!$C$74,0)</f>
        <v>10.0023724995898</v>
      </c>
      <c r="E55" s="17" t="n">
        <f aca="false">E54*(1-Annahmen!$C$60)+D55</f>
        <v>104.794146694683</v>
      </c>
      <c r="F55" s="17" t="n">
        <f aca="false">E55*(1-Annahmen!$C$61)</f>
        <v>62.8764880168095</v>
      </c>
      <c r="G55" s="17" t="n">
        <f aca="false">E55*Annahmen!$C$61</f>
        <v>41.917658677873</v>
      </c>
      <c r="H55" s="24" t="n">
        <f aca="false">F55*Annahmen!$C$87+G55*Annahmen!$C$88</f>
        <v>664.429821426519</v>
      </c>
      <c r="I55" s="17" t="n">
        <f aca="false">IF($A55&gt;=Annahmen!$C$55,Annahmen!$C$64*(1-Annahmen!$C$65),0)</f>
        <v>1.2</v>
      </c>
      <c r="J55" s="17" t="n">
        <f aca="false">IF($A55&gt;=Annahmen!$C$55,Annahmen!$C$64*Annahmen!$C$65,0)</f>
        <v>0.8</v>
      </c>
      <c r="K55" s="24" t="n">
        <f aca="false">I55*Annahmen!$B$80+J55*Annahmen!$B$81</f>
        <v>131.98</v>
      </c>
      <c r="L55" s="17" t="n">
        <f aca="false">IF($A55&gt;=Annahmen!$C$55,Annahmen!$C$66,0)</f>
        <v>0.5</v>
      </c>
      <c r="M55" s="24" t="n">
        <f aca="false">L55*Annahmen!$B$82</f>
        <v>74.5</v>
      </c>
      <c r="N55" s="24" t="n">
        <f aca="false">H55+K55+M55</f>
        <v>870.909821426519</v>
      </c>
      <c r="O55" s="24" t="n">
        <f aca="false">N55/(1+Annahmen!$B$9)</f>
        <v>731.856992795394</v>
      </c>
      <c r="P55" s="24" t="n">
        <f aca="false">O55*(Annahmen!$C$63*Annahmen!$B$83+(1-Annahmen!$C$63)*Annahmen!$B$84)+(E55*Annahmen!$C$62+E55*(1-Annahmen!$C$62)/12+I55+J55+L55)*(1-Annahmen!$C$63)*Annahmen!$B$85</f>
        <v>68.9869051856157</v>
      </c>
      <c r="Q55" s="17" t="n">
        <f aca="false">Annahmen!$C$67</f>
        <v>8</v>
      </c>
      <c r="R55" s="24" t="n">
        <f aca="false">Q55*(Annahmen!$B$43+Annahmen!$B$154)</f>
        <v>518.967701791488</v>
      </c>
      <c r="S55" s="24" t="n">
        <f aca="false">I55*Annahmen!$B$44+(J55+L55)*Annahmen!$B$45</f>
        <v>79.1744983854023</v>
      </c>
      <c r="T55" s="24" t="n">
        <f aca="false">C55*Annahmen!$B$86</f>
        <v>15.9918490146382</v>
      </c>
      <c r="U55" s="24" t="n">
        <f aca="false">SUMPRODUCT((((Annahmen!$C$161:$C$174="monatlich")*(Annahmen!$D$161:$D$174&lt;=$A55))+((Annahmen!$C$161:$C$174="einmalig")*(Annahmen!$D$161:$D$174=$A55)))*Annahmen!$B$161:$B$174*Annahmen!$E$161:$E$174)</f>
        <v>69.9850799606897</v>
      </c>
      <c r="V55" s="24" t="n">
        <f aca="false">IF($A55&gt;=Annahmen!$C$55,Annahmen!$C$143,0)</f>
        <v>500</v>
      </c>
      <c r="W55" s="36" t="n">
        <f aca="false">MAX(0,(E55-Annahmen!$B$147)/Annahmen!$B$148)</f>
        <v>0</v>
      </c>
      <c r="X55" s="24" t="n">
        <f aca="false">W55*Annahmen!$B$146</f>
        <v>0</v>
      </c>
      <c r="Y55" s="24" t="n">
        <f aca="false">O55-P55-R55-S55-T55-U55-V55-X55+AB55</f>
        <v>-521.24904154244</v>
      </c>
      <c r="Z55" s="24" t="n">
        <f aca="false">Z54+Y55</f>
        <v>-10453.2103629675</v>
      </c>
      <c r="AA55" s="15" t="n">
        <f aca="false">MAX(0,C55-E55)</f>
        <v>1494.39075476913</v>
      </c>
      <c r="AB55" s="24" t="n">
        <f aca="false">IF($A55&gt;=Annahmen!$C$69,AA55*Annahmen!$C$70,0)</f>
        <v>0</v>
      </c>
      <c r="AC55" s="15" t="n">
        <f aca="false">IF($A55&lt;Annahmen!$C$55,0,IF($A55=Annahmen!$C$55,Annahmen!$C$56,AC54*(1+Annahmen!$C$57*(1-C54/Annahmen!$C$58))))</f>
        <v>1149.18490146382</v>
      </c>
      <c r="AD55" s="15" t="n">
        <f aca="false">IF($A55&lt;Annahmen!$C$71,0,IF($A55&lt;Annahmen!$C$71+Annahmen!$B$73,Annahmen!$C$72,Annahmen!$C$72*Annahmen!$B$75))</f>
        <v>450</v>
      </c>
      <c r="AE55" s="7" t="n">
        <f aca="false">IF(Y55&gt;0,1,0)</f>
        <v>0</v>
      </c>
      <c r="AF55" s="7" t="n">
        <f aca="false">IF(Z55&gt;=0,1,0)</f>
        <v>0</v>
      </c>
    </row>
    <row r="56" customFormat="false" ht="15" hidden="false" customHeight="false" outlineLevel="0" collapsed="false">
      <c r="A56" s="7" t="n">
        <v>10</v>
      </c>
      <c r="B56" s="7" t="s">
        <v>399</v>
      </c>
      <c r="C56" s="15" t="n">
        <f aca="false">AC56+AD56</f>
        <v>1770.18431732583</v>
      </c>
      <c r="D56" s="17" t="n">
        <f aca="false">IF($A56&gt;Annahmen!$B$68,INDEX($AC$47:$AC$70,$A56-Annahmen!$B$68),0)*Annahmen!$C$59+IF($A56=Annahmen!$C$71+Annahmen!$B$73,Annahmen!$C$72*Annahmen!$C$74,0)</f>
        <v>11.4918490146382</v>
      </c>
      <c r="E56" s="17" t="n">
        <f aca="false">E55*(1-Annahmen!$C$60)+D56</f>
        <v>109.99834690764</v>
      </c>
      <c r="F56" s="17" t="n">
        <f aca="false">E56*(1-Annahmen!$C$61)</f>
        <v>65.9990081445839</v>
      </c>
      <c r="G56" s="17" t="n">
        <f aca="false">E56*Annahmen!$C$61</f>
        <v>43.9993387630559</v>
      </c>
      <c r="H56" s="24" t="n">
        <f aca="false">F56*Annahmen!$C$87+G56*Annahmen!$C$88</f>
        <v>697.426185510072</v>
      </c>
      <c r="I56" s="17" t="n">
        <f aca="false">IF($A56&gt;=Annahmen!$C$55,Annahmen!$C$64*(1-Annahmen!$C$65),0)</f>
        <v>1.2</v>
      </c>
      <c r="J56" s="17" t="n">
        <f aca="false">IF($A56&gt;=Annahmen!$C$55,Annahmen!$C$64*Annahmen!$C$65,0)</f>
        <v>0.8</v>
      </c>
      <c r="K56" s="24" t="n">
        <f aca="false">I56*Annahmen!$B$80+J56*Annahmen!$B$81</f>
        <v>131.98</v>
      </c>
      <c r="L56" s="17" t="n">
        <f aca="false">IF($A56&gt;=Annahmen!$C$55,Annahmen!$C$66,0)</f>
        <v>0.5</v>
      </c>
      <c r="M56" s="24" t="n">
        <f aca="false">L56*Annahmen!$B$82</f>
        <v>74.5</v>
      </c>
      <c r="N56" s="24" t="n">
        <f aca="false">H56+K56+M56</f>
        <v>903.906185510072</v>
      </c>
      <c r="O56" s="24" t="n">
        <f aca="false">N56/(1+Annahmen!$B$9)</f>
        <v>759.585029840397</v>
      </c>
      <c r="P56" s="24" t="n">
        <f aca="false">O56*(Annahmen!$C$63*Annahmen!$B$83+(1-Annahmen!$C$63)*Annahmen!$B$84)+(E56*Annahmen!$C$62+E56*(1-Annahmen!$C$62)/12+I56+J56+L56)*(1-Annahmen!$C$63)*Annahmen!$B$85</f>
        <v>71.6864674253542</v>
      </c>
      <c r="Q56" s="17" t="n">
        <f aca="false">Annahmen!$C$67</f>
        <v>8</v>
      </c>
      <c r="R56" s="24" t="n">
        <f aca="false">Q56*(Annahmen!$B$43+Annahmen!$B$154)</f>
        <v>518.967701791488</v>
      </c>
      <c r="S56" s="24" t="n">
        <f aca="false">I56*Annahmen!$B$44+(J56+L56)*Annahmen!$B$45</f>
        <v>79.1744983854023</v>
      </c>
      <c r="T56" s="24" t="n">
        <f aca="false">C56*Annahmen!$B$86</f>
        <v>17.7018431732583</v>
      </c>
      <c r="U56" s="24" t="n">
        <f aca="false">SUMPRODUCT((((Annahmen!$C$161:$C$174="monatlich")*(Annahmen!$D$161:$D$174&lt;=$A56))+((Annahmen!$C$161:$C$174="einmalig")*(Annahmen!$D$161:$D$174=$A56)))*Annahmen!$B$161:$B$174*Annahmen!$E$161:$E$174)</f>
        <v>69.9850799606897</v>
      </c>
      <c r="V56" s="24" t="n">
        <f aca="false">IF($A56&gt;=Annahmen!$C$55,Annahmen!$C$143,0)</f>
        <v>500</v>
      </c>
      <c r="W56" s="36" t="n">
        <f aca="false">MAX(0,(E56-Annahmen!$B$147)/Annahmen!$B$148)</f>
        <v>0</v>
      </c>
      <c r="X56" s="24" t="n">
        <f aca="false">W56*Annahmen!$B$146</f>
        <v>0</v>
      </c>
      <c r="Y56" s="24" t="n">
        <f aca="false">O56-P56-R56-S56-T56-U56-V56-X56+AB56</f>
        <v>-331.911963853977</v>
      </c>
      <c r="Z56" s="24" t="n">
        <f aca="false">Z55+Y56</f>
        <v>-10785.1223268215</v>
      </c>
      <c r="AA56" s="15" t="n">
        <f aca="false">MAX(0,C56-E56)</f>
        <v>1660.18597041819</v>
      </c>
      <c r="AB56" s="24" t="n">
        <f aca="false">IF($A56&gt;=Annahmen!$C$69,AA56*Annahmen!$C$70,0)</f>
        <v>166.018597041819</v>
      </c>
      <c r="AC56" s="15" t="n">
        <f aca="false">IF($A56&lt;Annahmen!$C$55,0,IF($A56=Annahmen!$C$55,Annahmen!$C$56,AC55*(1+Annahmen!$C$57*(1-C55/Annahmen!$C$58))))</f>
        <v>1320.18431732583</v>
      </c>
      <c r="AD56" s="15" t="n">
        <f aca="false">IF($A56&lt;Annahmen!$C$71,0,IF($A56&lt;Annahmen!$C$71+Annahmen!$B$73,Annahmen!$C$72,Annahmen!$C$72*Annahmen!$B$75))</f>
        <v>450</v>
      </c>
      <c r="AE56" s="7" t="n">
        <f aca="false">IF(Y56&gt;0,1,0)</f>
        <v>0</v>
      </c>
      <c r="AF56" s="7" t="n">
        <f aca="false">IF(Z56&gt;=0,1,0)</f>
        <v>0</v>
      </c>
    </row>
    <row r="57" customFormat="false" ht="15" hidden="false" customHeight="false" outlineLevel="0" collapsed="false">
      <c r="A57" s="7" t="n">
        <v>11</v>
      </c>
      <c r="B57" s="7" t="s">
        <v>400</v>
      </c>
      <c r="C57" s="15" t="n">
        <f aca="false">AC57+AD57</f>
        <v>1966.45923774382</v>
      </c>
      <c r="D57" s="17" t="n">
        <f aca="false">IF($A57&gt;Annahmen!$B$68,INDEX($AC$47:$AC$70,$A57-Annahmen!$B$68),0)*Annahmen!$C$59+IF($A57=Annahmen!$C$71+Annahmen!$B$73,Annahmen!$C$72*Annahmen!$C$74,0)</f>
        <v>13.2018431732583</v>
      </c>
      <c r="E57" s="17" t="n">
        <f aca="false">E56*(1-Annahmen!$C$60)+D57</f>
        <v>116.60028926644</v>
      </c>
      <c r="F57" s="17" t="n">
        <f aca="false">E57*(1-Annahmen!$C$61)</f>
        <v>69.9601735598638</v>
      </c>
      <c r="G57" s="17" t="n">
        <f aca="false">E57*Annahmen!$C$61</f>
        <v>46.6401157065759</v>
      </c>
      <c r="H57" s="24" t="n">
        <f aca="false">F57*Annahmen!$C$87+G57*Annahmen!$C$88</f>
        <v>739.284700712316</v>
      </c>
      <c r="I57" s="17" t="n">
        <f aca="false">IF($A57&gt;=Annahmen!$C$55,Annahmen!$C$64*(1-Annahmen!$C$65),0)</f>
        <v>1.2</v>
      </c>
      <c r="J57" s="17" t="n">
        <f aca="false">IF($A57&gt;=Annahmen!$C$55,Annahmen!$C$64*Annahmen!$C$65,0)</f>
        <v>0.8</v>
      </c>
      <c r="K57" s="24" t="n">
        <f aca="false">I57*Annahmen!$B$80+J57*Annahmen!$B$81</f>
        <v>131.98</v>
      </c>
      <c r="L57" s="17" t="n">
        <f aca="false">IF($A57&gt;=Annahmen!$C$55,Annahmen!$C$66,0)</f>
        <v>0.5</v>
      </c>
      <c r="M57" s="24" t="n">
        <f aca="false">L57*Annahmen!$B$82</f>
        <v>74.5</v>
      </c>
      <c r="N57" s="24" t="n">
        <f aca="false">H57+K57+M57</f>
        <v>945.764700712316</v>
      </c>
      <c r="O57" s="24" t="n">
        <f aca="false">N57/(1+Annahmen!$B$9)</f>
        <v>794.760252699426</v>
      </c>
      <c r="P57" s="24" t="n">
        <f aca="false">O57*(Annahmen!$C$63*Annahmen!$B$83+(1-Annahmen!$C$63)*Annahmen!$B$84)+(E57*Annahmen!$C$62+E57*(1-Annahmen!$C$62)/12+I57+J57+L57)*(1-Annahmen!$C$63)*Annahmen!$B$85</f>
        <v>75.1110770812958</v>
      </c>
      <c r="Q57" s="17" t="n">
        <f aca="false">Annahmen!$C$67</f>
        <v>8</v>
      </c>
      <c r="R57" s="24" t="n">
        <f aca="false">Q57*(Annahmen!$B$43+Annahmen!$B$154)</f>
        <v>518.967701791488</v>
      </c>
      <c r="S57" s="24" t="n">
        <f aca="false">I57*Annahmen!$B$44+(J57+L57)*Annahmen!$B$45</f>
        <v>79.1744983854023</v>
      </c>
      <c r="T57" s="24" t="n">
        <f aca="false">C57*Annahmen!$B$86</f>
        <v>19.6645923774382</v>
      </c>
      <c r="U57" s="24" t="n">
        <f aca="false">SUMPRODUCT((((Annahmen!$C$161:$C$174="monatlich")*(Annahmen!$D$161:$D$174&lt;=$A57))+((Annahmen!$C$161:$C$174="einmalig")*(Annahmen!$D$161:$D$174=$A57)))*Annahmen!$B$161:$B$174*Annahmen!$E$161:$E$174)</f>
        <v>69.9850799606897</v>
      </c>
      <c r="V57" s="24" t="n">
        <f aca="false">IF($A57&gt;=Annahmen!$C$55,Annahmen!$C$143,0)</f>
        <v>500</v>
      </c>
      <c r="W57" s="36" t="n">
        <f aca="false">MAX(0,(E57-Annahmen!$B$147)/Annahmen!$B$148)</f>
        <v>0</v>
      </c>
      <c r="X57" s="24" t="n">
        <f aca="false">W57*Annahmen!$B$146</f>
        <v>0</v>
      </c>
      <c r="Y57" s="24" t="n">
        <f aca="false">O57-P57-R57-S57-T57-U57-V57-X57+AB57</f>
        <v>-283.15680204915</v>
      </c>
      <c r="Z57" s="24" t="n">
        <f aca="false">Z56+Y57</f>
        <v>-11068.2791288706</v>
      </c>
      <c r="AA57" s="15" t="n">
        <f aca="false">MAX(0,C57-E57)</f>
        <v>1849.85894847738</v>
      </c>
      <c r="AB57" s="24" t="n">
        <f aca="false">IF($A57&gt;=Annahmen!$C$69,AA57*Annahmen!$C$70,0)</f>
        <v>184.985894847738</v>
      </c>
      <c r="AC57" s="15" t="n">
        <f aca="false">IF($A57&lt;Annahmen!$C$55,0,IF($A57=Annahmen!$C$55,Annahmen!$C$56,AC56*(1+Annahmen!$C$57*(1-C56/Annahmen!$C$58))))</f>
        <v>1516.45923774382</v>
      </c>
      <c r="AD57" s="15" t="n">
        <f aca="false">IF($A57&lt;Annahmen!$C$71,0,IF($A57&lt;Annahmen!$C$71+Annahmen!$B$73,Annahmen!$C$72,Annahmen!$C$72*Annahmen!$B$75))</f>
        <v>450</v>
      </c>
      <c r="AE57" s="7" t="n">
        <f aca="false">IF(Y57&gt;0,1,0)</f>
        <v>0</v>
      </c>
      <c r="AF57" s="7" t="n">
        <f aca="false">IF(Z57&gt;=0,1,0)</f>
        <v>0</v>
      </c>
    </row>
    <row r="58" customFormat="false" ht="15" hidden="false" customHeight="false" outlineLevel="0" collapsed="false">
      <c r="A58" s="7" t="n">
        <v>12</v>
      </c>
      <c r="B58" s="7" t="s">
        <v>401</v>
      </c>
      <c r="C58" s="15" t="n">
        <f aca="false">AC58+AD58</f>
        <v>2191.69158194786</v>
      </c>
      <c r="D58" s="17" t="n">
        <f aca="false">IF($A58&gt;Annahmen!$B$68,INDEX($AC$47:$AC$70,$A58-Annahmen!$B$68),0)*Annahmen!$C$59+IF($A58=Annahmen!$C$71+Annahmen!$B$73,Annahmen!$C$72*Annahmen!$C$74,0)</f>
        <v>15.1645923774382</v>
      </c>
      <c r="E58" s="17" t="n">
        <f aca="false">E57*(1-Annahmen!$C$60)+D58</f>
        <v>124.768864287892</v>
      </c>
      <c r="F58" s="17" t="n">
        <f aca="false">E58*(1-Annahmen!$C$61)</f>
        <v>74.8613185727349</v>
      </c>
      <c r="G58" s="17" t="n">
        <f aca="false">E58*Annahmen!$C$61</f>
        <v>49.9075457151566</v>
      </c>
      <c r="H58" s="24" t="n">
        <f aca="false">F58*Annahmen!$C$87+G58*Annahmen!$C$88</f>
        <v>791.076189206662</v>
      </c>
      <c r="I58" s="17" t="n">
        <f aca="false">IF($A58&gt;=Annahmen!$C$55,Annahmen!$C$64*(1-Annahmen!$C$65),0)</f>
        <v>1.2</v>
      </c>
      <c r="J58" s="17" t="n">
        <f aca="false">IF($A58&gt;=Annahmen!$C$55,Annahmen!$C$64*Annahmen!$C$65,0)</f>
        <v>0.8</v>
      </c>
      <c r="K58" s="24" t="n">
        <f aca="false">I58*Annahmen!$B$80+J58*Annahmen!$B$81</f>
        <v>131.98</v>
      </c>
      <c r="L58" s="17" t="n">
        <f aca="false">IF($A58&gt;=Annahmen!$C$55,Annahmen!$C$66,0)</f>
        <v>0.5</v>
      </c>
      <c r="M58" s="24" t="n">
        <f aca="false">L58*Annahmen!$B$82</f>
        <v>74.5</v>
      </c>
      <c r="N58" s="24" t="n">
        <f aca="false">H58+K58+M58</f>
        <v>997.556189206662</v>
      </c>
      <c r="O58" s="24" t="n">
        <f aca="false">N58/(1+Annahmen!$B$9)</f>
        <v>838.282511938371</v>
      </c>
      <c r="P58" s="24" t="n">
        <f aca="false">O58*(Annahmen!$C$63*Annahmen!$B$83+(1-Annahmen!$C$63)*Annahmen!$B$84)+(E58*Annahmen!$C$62+E58*(1-Annahmen!$C$62)/12+I58+J58+L58)*(1-Annahmen!$C$63)*Annahmen!$B$85</f>
        <v>79.3483423243737</v>
      </c>
      <c r="Q58" s="17" t="n">
        <f aca="false">Annahmen!$C$67</f>
        <v>8</v>
      </c>
      <c r="R58" s="24" t="n">
        <f aca="false">Q58*(Annahmen!$B$43+Annahmen!$B$154)</f>
        <v>518.967701791488</v>
      </c>
      <c r="S58" s="24" t="n">
        <f aca="false">I58*Annahmen!$B$44+(J58+L58)*Annahmen!$B$45</f>
        <v>79.1744983854023</v>
      </c>
      <c r="T58" s="24" t="n">
        <f aca="false">C58*Annahmen!$B$86</f>
        <v>21.9169158194786</v>
      </c>
      <c r="U58" s="24" t="n">
        <f aca="false">SUMPRODUCT((((Annahmen!$C$161:$C$174="monatlich")*(Annahmen!$D$161:$D$174&lt;=$A58))+((Annahmen!$C$161:$C$174="einmalig")*(Annahmen!$D$161:$D$174=$A58)))*Annahmen!$B$161:$B$174*Annahmen!$E$161:$E$174)</f>
        <v>69.9850799606897</v>
      </c>
      <c r="V58" s="24" t="n">
        <f aca="false">IF($A58&gt;=Annahmen!$C$55,Annahmen!$C$143,0)</f>
        <v>500</v>
      </c>
      <c r="W58" s="36" t="n">
        <f aca="false">MAX(0,(E58-Annahmen!$B$147)/Annahmen!$B$148)</f>
        <v>0</v>
      </c>
      <c r="X58" s="24" t="n">
        <f aca="false">W58*Annahmen!$B$146</f>
        <v>0</v>
      </c>
      <c r="Y58" s="24" t="n">
        <f aca="false">O58-P58-R58-S58-T58-U58-V58-X58+AB58</f>
        <v>-224.417754577065</v>
      </c>
      <c r="Z58" s="24" t="n">
        <f aca="false">Z57+Y58</f>
        <v>-11292.6968834477</v>
      </c>
      <c r="AA58" s="15" t="n">
        <f aca="false">MAX(0,C58-E58)</f>
        <v>2066.92271765996</v>
      </c>
      <c r="AB58" s="24" t="n">
        <f aca="false">IF($A58&gt;=Annahmen!$C$69,AA58*Annahmen!$C$70,0)</f>
        <v>206.692271765996</v>
      </c>
      <c r="AC58" s="15" t="n">
        <f aca="false">IF($A58&lt;Annahmen!$C$55,0,IF($A58=Annahmen!$C$55,Annahmen!$C$56,AC57*(1+Annahmen!$C$57*(1-C57/Annahmen!$C$58))))</f>
        <v>1741.69158194786</v>
      </c>
      <c r="AD58" s="15" t="n">
        <f aca="false">IF($A58&lt;Annahmen!$C$71,0,IF($A58&lt;Annahmen!$C$71+Annahmen!$B$73,Annahmen!$C$72,Annahmen!$C$72*Annahmen!$B$75))</f>
        <v>450</v>
      </c>
      <c r="AE58" s="7" t="n">
        <f aca="false">IF(Y58&gt;0,1,0)</f>
        <v>0</v>
      </c>
      <c r="AF58" s="7" t="n">
        <f aca="false">IF(Z58&gt;=0,1,0)</f>
        <v>0</v>
      </c>
    </row>
    <row r="59" customFormat="false" ht="15" hidden="false" customHeight="false" outlineLevel="0" collapsed="false">
      <c r="A59" s="7" t="n">
        <v>13</v>
      </c>
      <c r="B59" s="7" t="s">
        <v>402</v>
      </c>
      <c r="C59" s="15" t="n">
        <f aca="false">AC59+AD59</f>
        <v>2450.08238115616</v>
      </c>
      <c r="D59" s="17" t="n">
        <f aca="false">IF($A59&gt;Annahmen!$B$68,INDEX($AC$47:$AC$70,$A59-Annahmen!$B$68),0)*Annahmen!$C$59+IF($A59=Annahmen!$C$71+Annahmen!$B$73,Annahmen!$C$72*Annahmen!$C$74,0)</f>
        <v>17.4169158194786</v>
      </c>
      <c r="E59" s="17" t="n">
        <f aca="false">E58*(1-Annahmen!$C$60)+D59</f>
        <v>134.699648250097</v>
      </c>
      <c r="F59" s="17" t="n">
        <f aca="false">E59*(1-Annahmen!$C$61)</f>
        <v>80.819788950058</v>
      </c>
      <c r="G59" s="17" t="n">
        <f aca="false">E59*Annahmen!$C$61</f>
        <v>53.8798593000386</v>
      </c>
      <c r="H59" s="24" t="n">
        <f aca="false">F59*Annahmen!$C$87+G59*Annahmen!$C$88</f>
        <v>854.040669788363</v>
      </c>
      <c r="I59" s="17" t="n">
        <f aca="false">IF($A59&gt;=Annahmen!$C$55,Annahmen!$C$64*(1-Annahmen!$C$65),0)</f>
        <v>1.2</v>
      </c>
      <c r="J59" s="17" t="n">
        <f aca="false">IF($A59&gt;=Annahmen!$C$55,Annahmen!$C$64*Annahmen!$C$65,0)</f>
        <v>0.8</v>
      </c>
      <c r="K59" s="24" t="n">
        <f aca="false">I59*Annahmen!$B$80+J59*Annahmen!$B$81</f>
        <v>131.98</v>
      </c>
      <c r="L59" s="17" t="n">
        <f aca="false">IF($A59&gt;=Annahmen!$C$55,Annahmen!$C$66,0)</f>
        <v>0.5</v>
      </c>
      <c r="M59" s="24" t="n">
        <f aca="false">L59*Annahmen!$B$82</f>
        <v>74.5</v>
      </c>
      <c r="N59" s="24" t="n">
        <f aca="false">H59+K59+M59</f>
        <v>1060.52066978836</v>
      </c>
      <c r="O59" s="24" t="n">
        <f aca="false">N59/(1+Annahmen!$B$9)</f>
        <v>891.193840158288</v>
      </c>
      <c r="P59" s="24" t="n">
        <f aca="false">O59*(Annahmen!$C$63*Annahmen!$B$83+(1-Annahmen!$C$63)*Annahmen!$B$84)+(E59*Annahmen!$C$62+E59*(1-Annahmen!$C$62)/12+I59+J59+L59)*(1-Annahmen!$C$63)*Annahmen!$B$85</f>
        <v>84.4997139661914</v>
      </c>
      <c r="Q59" s="17" t="n">
        <f aca="false">Annahmen!$C$67</f>
        <v>8</v>
      </c>
      <c r="R59" s="24" t="n">
        <f aca="false">Q59*(Annahmen!$B$43+Annahmen!$B$154)</f>
        <v>518.967701791488</v>
      </c>
      <c r="S59" s="24" t="n">
        <f aca="false">I59*Annahmen!$B$44+(J59+L59)*Annahmen!$B$45</f>
        <v>79.1744983854023</v>
      </c>
      <c r="T59" s="24" t="n">
        <f aca="false">C59*Annahmen!$B$86</f>
        <v>24.5008238115616</v>
      </c>
      <c r="U59" s="24" t="n">
        <f aca="false">SUMPRODUCT((((Annahmen!$C$161:$C$174="monatlich")*(Annahmen!$D$161:$D$174&lt;=$A59))+((Annahmen!$C$161:$C$174="einmalig")*(Annahmen!$D$161:$D$174=$A59)))*Annahmen!$B$161:$B$174*Annahmen!$E$161:$E$174)</f>
        <v>69.9850799606897</v>
      </c>
      <c r="V59" s="24" t="n">
        <f aca="false">IF($A59&gt;=Annahmen!$C$55,Annahmen!$C$143,0)</f>
        <v>500</v>
      </c>
      <c r="W59" s="36" t="n">
        <f aca="false">MAX(0,(E59-Annahmen!$B$147)/Annahmen!$B$148)</f>
        <v>0</v>
      </c>
      <c r="X59" s="24" t="n">
        <f aca="false">W59*Annahmen!$B$146</f>
        <v>0</v>
      </c>
      <c r="Y59" s="24" t="n">
        <f aca="false">O59-P59-R59-S59-T59-U59-V59-X59+AB59</f>
        <v>-154.395704466439</v>
      </c>
      <c r="Z59" s="24" t="n">
        <f aca="false">Z58+Y59</f>
        <v>-11447.0925879141</v>
      </c>
      <c r="AA59" s="15" t="n">
        <f aca="false">MAX(0,C59-E59)</f>
        <v>2315.38273290606</v>
      </c>
      <c r="AB59" s="24" t="n">
        <f aca="false">IF($A59&gt;=Annahmen!$C$69,AA59*Annahmen!$C$70,0)</f>
        <v>231.538273290606</v>
      </c>
      <c r="AC59" s="15" t="n">
        <f aca="false">IF($A59&lt;Annahmen!$C$55,0,IF($A59=Annahmen!$C$55,Annahmen!$C$56,AC58*(1+Annahmen!$C$57*(1-C58/Annahmen!$C$58))))</f>
        <v>2000.08238115616</v>
      </c>
      <c r="AD59" s="15" t="n">
        <f aca="false">IF($A59&lt;Annahmen!$C$71,0,IF($A59&lt;Annahmen!$C$71+Annahmen!$B$73,Annahmen!$C$72,Annahmen!$C$72*Annahmen!$B$75))</f>
        <v>450</v>
      </c>
      <c r="AE59" s="7" t="n">
        <f aca="false">IF(Y59&gt;0,1,0)</f>
        <v>0</v>
      </c>
      <c r="AF59" s="7" t="n">
        <f aca="false">IF(Z59&gt;=0,1,0)</f>
        <v>0</v>
      </c>
    </row>
    <row r="60" customFormat="false" ht="15" hidden="false" customHeight="false" outlineLevel="0" collapsed="false">
      <c r="A60" s="7" t="n">
        <v>14</v>
      </c>
      <c r="B60" s="7" t="s">
        <v>403</v>
      </c>
      <c r="C60" s="15" t="n">
        <f aca="false">AC60+AD60</f>
        <v>2746.41946337738</v>
      </c>
      <c r="D60" s="17" t="n">
        <f aca="false">IF($A60&gt;Annahmen!$B$68,INDEX($AC$47:$AC$70,$A60-Annahmen!$B$68),0)*Annahmen!$C$59+IF($A60=Annahmen!$C$71+Annahmen!$B$73,Annahmen!$C$72*Annahmen!$C$74,0)</f>
        <v>20.0008238115616</v>
      </c>
      <c r="E60" s="17" t="n">
        <f aca="false">E59*(1-Annahmen!$C$60)+D60</f>
        <v>146.618493166652</v>
      </c>
      <c r="F60" s="17" t="n">
        <f aca="false">E60*(1-Annahmen!$C$61)</f>
        <v>87.9710958999914</v>
      </c>
      <c r="G60" s="17" t="n">
        <f aca="false">E60*Annahmen!$C$61</f>
        <v>58.6473972666609</v>
      </c>
      <c r="H60" s="24" t="n">
        <f aca="false">F60*Annahmen!$C$87+G60*Annahmen!$C$88</f>
        <v>929.610119507631</v>
      </c>
      <c r="I60" s="17" t="n">
        <f aca="false">IF($A60&gt;=Annahmen!$C$55,Annahmen!$C$64*(1-Annahmen!$C$65),0)</f>
        <v>1.2</v>
      </c>
      <c r="J60" s="17" t="n">
        <f aca="false">IF($A60&gt;=Annahmen!$C$55,Annahmen!$C$64*Annahmen!$C$65,0)</f>
        <v>0.8</v>
      </c>
      <c r="K60" s="24" t="n">
        <f aca="false">I60*Annahmen!$B$80+J60*Annahmen!$B$81</f>
        <v>131.98</v>
      </c>
      <c r="L60" s="17" t="n">
        <f aca="false">IF($A60&gt;=Annahmen!$C$55,Annahmen!$C$66,0)</f>
        <v>0.5</v>
      </c>
      <c r="M60" s="24" t="n">
        <f aca="false">L60*Annahmen!$B$82</f>
        <v>74.5</v>
      </c>
      <c r="N60" s="24" t="n">
        <f aca="false">H60+K60+M60</f>
        <v>1136.09011950763</v>
      </c>
      <c r="O60" s="24" t="n">
        <f aca="false">N60/(1+Annahmen!$B$9)</f>
        <v>954.697579418178</v>
      </c>
      <c r="P60" s="24" t="n">
        <f aca="false">O60*(Annahmen!$C$63*Annahmen!$B$83+(1-Annahmen!$C$63)*Annahmen!$B$84)+(E60*Annahmen!$C$62+E60*(1-Annahmen!$C$62)/12+I60+J60+L60)*(1-Annahmen!$C$63)*Annahmen!$B$85</f>
        <v>90.682347677693</v>
      </c>
      <c r="Q60" s="17" t="n">
        <f aca="false">Annahmen!$C$67</f>
        <v>8</v>
      </c>
      <c r="R60" s="24" t="n">
        <f aca="false">Q60*(Annahmen!$B$43+Annahmen!$B$154)</f>
        <v>518.967701791488</v>
      </c>
      <c r="S60" s="24" t="n">
        <f aca="false">I60*Annahmen!$B$44+(J60+L60)*Annahmen!$B$45</f>
        <v>79.1744983854023</v>
      </c>
      <c r="T60" s="24" t="n">
        <f aca="false">C60*Annahmen!$B$86</f>
        <v>27.4641946337738</v>
      </c>
      <c r="U60" s="24" t="n">
        <f aca="false">SUMPRODUCT((((Annahmen!$C$161:$C$174="monatlich")*(Annahmen!$D$161:$D$174&lt;=$A60))+((Annahmen!$C$161:$C$174="einmalig")*(Annahmen!$D$161:$D$174=$A60)))*Annahmen!$B$161:$B$174*Annahmen!$E$161:$E$174)</f>
        <v>69.9850799606897</v>
      </c>
      <c r="V60" s="24" t="n">
        <f aca="false">IF($A60&gt;=Annahmen!$C$55,Annahmen!$C$143,0)</f>
        <v>500</v>
      </c>
      <c r="W60" s="36" t="n">
        <f aca="false">MAX(0,(E60-Annahmen!$B$147)/Annahmen!$B$148)</f>
        <v>0</v>
      </c>
      <c r="X60" s="24" t="n">
        <f aca="false">W60*Annahmen!$B$146</f>
        <v>0</v>
      </c>
      <c r="Y60" s="24" t="n">
        <f aca="false">O60-P60-R60-S60-T60-U60-V60-X60+AB60</f>
        <v>-71.5961460097965</v>
      </c>
      <c r="Z60" s="24" t="n">
        <f aca="false">Z59+Y60</f>
        <v>-11518.6887339239</v>
      </c>
      <c r="AA60" s="15" t="n">
        <f aca="false">MAX(0,C60-E60)</f>
        <v>2599.80097021073</v>
      </c>
      <c r="AB60" s="24" t="n">
        <f aca="false">IF($A60&gt;=Annahmen!$C$69,AA60*Annahmen!$C$70,0)</f>
        <v>259.980097021073</v>
      </c>
      <c r="AC60" s="15" t="n">
        <f aca="false">IF($A60&lt;Annahmen!$C$55,0,IF($A60=Annahmen!$C$55,Annahmen!$C$56,AC59*(1+Annahmen!$C$57*(1-C59/Annahmen!$C$58))))</f>
        <v>2296.41946337738</v>
      </c>
      <c r="AD60" s="15" t="n">
        <f aca="false">IF($A60&lt;Annahmen!$C$71,0,IF($A60&lt;Annahmen!$C$71+Annahmen!$B$73,Annahmen!$C$72,Annahmen!$C$72*Annahmen!$B$75))</f>
        <v>450</v>
      </c>
      <c r="AE60" s="7" t="n">
        <f aca="false">IF(Y60&gt;0,1,0)</f>
        <v>0</v>
      </c>
      <c r="AF60" s="7" t="n">
        <f aca="false">IF(Z60&gt;=0,1,0)</f>
        <v>0</v>
      </c>
    </row>
    <row r="61" customFormat="false" ht="15" hidden="false" customHeight="false" outlineLevel="0" collapsed="false">
      <c r="A61" s="7" t="n">
        <v>15</v>
      </c>
      <c r="B61" s="7" t="s">
        <v>404</v>
      </c>
      <c r="C61" s="15" t="n">
        <f aca="false">AC61+AD61</f>
        <v>3086.15218455126</v>
      </c>
      <c r="D61" s="17" t="n">
        <f aca="false">IF($A61&gt;Annahmen!$B$68,INDEX($AC$47:$AC$70,$A61-Annahmen!$B$68),0)*Annahmen!$C$59+IF($A61=Annahmen!$C$71+Annahmen!$B$73,Annahmen!$C$72*Annahmen!$C$74,0)</f>
        <v>22.9641946337738</v>
      </c>
      <c r="E61" s="17" t="n">
        <f aca="false">E60*(1-Annahmen!$C$60)+D61</f>
        <v>160.785578210427</v>
      </c>
      <c r="F61" s="17" t="n">
        <f aca="false">E61*(1-Annahmen!$C$61)</f>
        <v>96.4713469262562</v>
      </c>
      <c r="G61" s="17" t="n">
        <f aca="false">E61*Annahmen!$C$61</f>
        <v>64.3142312841708</v>
      </c>
      <c r="H61" s="24" t="n">
        <f aca="false">F61*Annahmen!$C$87+G61*Annahmen!$C$88</f>
        <v>1019.43416104684</v>
      </c>
      <c r="I61" s="17" t="n">
        <f aca="false">IF($A61&gt;=Annahmen!$C$55,Annahmen!$C$64*(1-Annahmen!$C$65),0)</f>
        <v>1.2</v>
      </c>
      <c r="J61" s="17" t="n">
        <f aca="false">IF($A61&gt;=Annahmen!$C$55,Annahmen!$C$64*Annahmen!$C$65,0)</f>
        <v>0.8</v>
      </c>
      <c r="K61" s="24" t="n">
        <f aca="false">I61*Annahmen!$B$80+J61*Annahmen!$B$81</f>
        <v>131.98</v>
      </c>
      <c r="L61" s="17" t="n">
        <f aca="false">IF($A61&gt;=Annahmen!$C$55,Annahmen!$C$66,0)</f>
        <v>0.5</v>
      </c>
      <c r="M61" s="24" t="n">
        <f aca="false">L61*Annahmen!$B$82</f>
        <v>74.5</v>
      </c>
      <c r="N61" s="24" t="n">
        <f aca="false">H61+K61+M61</f>
        <v>1225.91416104684</v>
      </c>
      <c r="O61" s="24" t="n">
        <f aca="false">N61/(1+Annahmen!$B$9)</f>
        <v>1030.17996726626</v>
      </c>
      <c r="P61" s="24" t="n">
        <f aca="false">O61*(Annahmen!$C$63*Annahmen!$B$83+(1-Annahmen!$C$63)*Annahmen!$B$84)+(E61*Annahmen!$C$62+E61*(1-Annahmen!$C$62)/12+I61+J61+L61)*(1-Annahmen!$C$63)*Annahmen!$B$85</f>
        <v>98.0312055744582</v>
      </c>
      <c r="Q61" s="17" t="n">
        <f aca="false">Annahmen!$C$67</f>
        <v>8</v>
      </c>
      <c r="R61" s="24" t="n">
        <f aca="false">Q61*(Annahmen!$B$43+Annahmen!$B$154)</f>
        <v>518.967701791488</v>
      </c>
      <c r="S61" s="24" t="n">
        <f aca="false">I61*Annahmen!$B$44+(J61+L61)*Annahmen!$B$45</f>
        <v>79.1744983854023</v>
      </c>
      <c r="T61" s="24" t="n">
        <f aca="false">C61*Annahmen!$B$86</f>
        <v>30.8615218455126</v>
      </c>
      <c r="U61" s="24" t="n">
        <f aca="false">SUMPRODUCT((((Annahmen!$C$161:$C$174="monatlich")*(Annahmen!$D$161:$D$174&lt;=$A61))+((Annahmen!$C$161:$C$174="einmalig")*(Annahmen!$D$161:$D$174=$A61)))*Annahmen!$B$161:$B$174*Annahmen!$E$161:$E$174)</f>
        <v>69.9850799606897</v>
      </c>
      <c r="V61" s="24" t="n">
        <f aca="false">IF($A61&gt;=Annahmen!$C$55,Annahmen!$C$143,0)</f>
        <v>500</v>
      </c>
      <c r="W61" s="36" t="n">
        <f aca="false">MAX(0,(E61-Annahmen!$B$147)/Annahmen!$B$148)</f>
        <v>0</v>
      </c>
      <c r="X61" s="24" t="n">
        <f aca="false">W61*Annahmen!$B$146</f>
        <v>0</v>
      </c>
      <c r="Y61" s="24" t="n">
        <f aca="false">O61-P61-R61-S61-T61-U61-V61-X61+AB61</f>
        <v>25.6966203427881</v>
      </c>
      <c r="Z61" s="24" t="n">
        <f aca="false">Z60+Y61</f>
        <v>-11492.9921135811</v>
      </c>
      <c r="AA61" s="15" t="n">
        <f aca="false">MAX(0,C61-E61)</f>
        <v>2925.36660634084</v>
      </c>
      <c r="AB61" s="24" t="n">
        <f aca="false">IF($A61&gt;=Annahmen!$C$69,AA61*Annahmen!$C$70,0)</f>
        <v>292.536660634084</v>
      </c>
      <c r="AC61" s="15" t="n">
        <f aca="false">IF($A61&lt;Annahmen!$C$55,0,IF($A61=Annahmen!$C$55,Annahmen!$C$56,AC60*(1+Annahmen!$C$57*(1-C60/Annahmen!$C$58))))</f>
        <v>2636.15218455126</v>
      </c>
      <c r="AD61" s="15" t="n">
        <f aca="false">IF($A61&lt;Annahmen!$C$71,0,IF($A61&lt;Annahmen!$C$71+Annahmen!$B$73,Annahmen!$C$72,Annahmen!$C$72*Annahmen!$B$75))</f>
        <v>450</v>
      </c>
      <c r="AE61" s="7" t="n">
        <f aca="false">IF(Y61&gt;0,1,0)</f>
        <v>1</v>
      </c>
      <c r="AF61" s="7" t="n">
        <f aca="false">IF(Z61&gt;=0,1,0)</f>
        <v>0</v>
      </c>
    </row>
    <row r="62" customFormat="false" ht="15" hidden="false" customHeight="false" outlineLevel="0" collapsed="false">
      <c r="A62" s="7" t="n">
        <v>16</v>
      </c>
      <c r="B62" s="7" t="s">
        <v>405</v>
      </c>
      <c r="C62" s="15" t="n">
        <f aca="false">AC62+AD62</f>
        <v>3475.47333711658</v>
      </c>
      <c r="D62" s="17" t="n">
        <f aca="false">IF($A62&gt;Annahmen!$B$68,INDEX($AC$47:$AC$70,$A62-Annahmen!$B$68),0)*Annahmen!$C$59+IF($A62=Annahmen!$C$71+Annahmen!$B$73,Annahmen!$C$72*Annahmen!$C$74,0)</f>
        <v>26.3615218455126</v>
      </c>
      <c r="E62" s="17" t="n">
        <f aca="false">E61*(1-Annahmen!$C$60)+D62</f>
        <v>177.499965363314</v>
      </c>
      <c r="F62" s="17" t="n">
        <f aca="false">E62*(1-Annahmen!$C$61)</f>
        <v>106.499979217988</v>
      </c>
      <c r="G62" s="17" t="n">
        <f aca="false">E62*Annahmen!$C$61</f>
        <v>70.9999861453256</v>
      </c>
      <c r="H62" s="24" t="n">
        <f aca="false">F62*Annahmen!$C$87+G62*Annahmen!$C$88</f>
        <v>1125.40894705853</v>
      </c>
      <c r="I62" s="17" t="n">
        <f aca="false">IF($A62&gt;=Annahmen!$C$55,Annahmen!$C$64*(1-Annahmen!$C$65),0)</f>
        <v>1.2</v>
      </c>
      <c r="J62" s="17" t="n">
        <f aca="false">IF($A62&gt;=Annahmen!$C$55,Annahmen!$C$64*Annahmen!$C$65,0)</f>
        <v>0.8</v>
      </c>
      <c r="K62" s="24" t="n">
        <f aca="false">I62*Annahmen!$B$80+J62*Annahmen!$B$81</f>
        <v>131.98</v>
      </c>
      <c r="L62" s="17" t="n">
        <f aca="false">IF($A62&gt;=Annahmen!$C$55,Annahmen!$C$66,0)</f>
        <v>0.5</v>
      </c>
      <c r="M62" s="24" t="n">
        <f aca="false">L62*Annahmen!$B$82</f>
        <v>74.5</v>
      </c>
      <c r="N62" s="24" t="n">
        <f aca="false">H62+K62+M62</f>
        <v>1331.88894705853</v>
      </c>
      <c r="O62" s="24" t="n">
        <f aca="false">N62/(1+Annahmen!$B$9)</f>
        <v>1119.23440929288</v>
      </c>
      <c r="P62" s="24" t="n">
        <f aca="false">O62*(Annahmen!$C$63*Annahmen!$B$83+(1-Annahmen!$C$63)*Annahmen!$B$84)+(E62*Annahmen!$C$62+E62*(1-Annahmen!$C$62)/12+I62+J62+L62)*(1-Annahmen!$C$63)*Annahmen!$B$85</f>
        <v>106.701419357925</v>
      </c>
      <c r="Q62" s="17" t="n">
        <f aca="false">Annahmen!$C$67</f>
        <v>8</v>
      </c>
      <c r="R62" s="24" t="n">
        <f aca="false">Q62*(Annahmen!$B$43+Annahmen!$B$154)</f>
        <v>518.967701791488</v>
      </c>
      <c r="S62" s="24" t="n">
        <f aca="false">I62*Annahmen!$B$44+(J62+L62)*Annahmen!$B$45</f>
        <v>79.1744983854023</v>
      </c>
      <c r="T62" s="24" t="n">
        <f aca="false">C62*Annahmen!$B$86</f>
        <v>34.7547333711658</v>
      </c>
      <c r="U62" s="24" t="n">
        <f aca="false">SUMPRODUCT((((Annahmen!$C$161:$C$174="monatlich")*(Annahmen!$D$161:$D$174&lt;=$A62))+((Annahmen!$C$161:$C$174="einmalig")*(Annahmen!$D$161:$D$174=$A62)))*Annahmen!$B$161:$B$174*Annahmen!$E$161:$E$174)</f>
        <v>69.9850799606897</v>
      </c>
      <c r="V62" s="24" t="n">
        <f aca="false">IF($A62&gt;=Annahmen!$C$55,Annahmen!$C$143,0)</f>
        <v>500</v>
      </c>
      <c r="W62" s="36" t="n">
        <f aca="false">MAX(0,(E62-Annahmen!$B$147)/Annahmen!$B$148)</f>
        <v>0</v>
      </c>
      <c r="X62" s="24" t="n">
        <f aca="false">W62*Annahmen!$B$146</f>
        <v>0</v>
      </c>
      <c r="Y62" s="24" t="n">
        <f aca="false">O62-P62-R62-S62-T62-U62-V62-X62+AB62</f>
        <v>139.44831360154</v>
      </c>
      <c r="Z62" s="24" t="n">
        <f aca="false">Z61+Y62</f>
        <v>-11353.5437999796</v>
      </c>
      <c r="AA62" s="15" t="n">
        <f aca="false">MAX(0,C62-E62)</f>
        <v>3297.97337175327</v>
      </c>
      <c r="AB62" s="24" t="n">
        <f aca="false">IF($A62&gt;=Annahmen!$C$69,AA62*Annahmen!$C$70,0)</f>
        <v>329.797337175327</v>
      </c>
      <c r="AC62" s="15" t="n">
        <f aca="false">IF($A62&lt;Annahmen!$C$55,0,IF($A62=Annahmen!$C$55,Annahmen!$C$56,AC61*(1+Annahmen!$C$57*(1-C61/Annahmen!$C$58))))</f>
        <v>3025.47333711658</v>
      </c>
      <c r="AD62" s="15" t="n">
        <f aca="false">IF($A62&lt;Annahmen!$C$71,0,IF($A62&lt;Annahmen!$C$71+Annahmen!$B$73,Annahmen!$C$72,Annahmen!$C$72*Annahmen!$B$75))</f>
        <v>450</v>
      </c>
      <c r="AE62" s="7" t="n">
        <f aca="false">IF(Y62&gt;0,1,0)</f>
        <v>1</v>
      </c>
      <c r="AF62" s="7" t="n">
        <f aca="false">IF(Z62&gt;=0,1,0)</f>
        <v>0</v>
      </c>
    </row>
    <row r="63" customFormat="false" ht="15" hidden="false" customHeight="false" outlineLevel="0" collapsed="false">
      <c r="A63" s="7" t="n">
        <v>17</v>
      </c>
      <c r="B63" s="7" t="s">
        <v>406</v>
      </c>
      <c r="C63" s="15" t="n">
        <f aca="false">AC63+AD63</f>
        <v>3921.40812374759</v>
      </c>
      <c r="D63" s="17" t="n">
        <f aca="false">IF($A63&gt;Annahmen!$B$68,INDEX($AC$47:$AC$70,$A63-Annahmen!$B$68),0)*Annahmen!$C$59+IF($A63=Annahmen!$C$71+Annahmen!$B$73,Annahmen!$C$72*Annahmen!$C$74,0)</f>
        <v>30.2547333711658</v>
      </c>
      <c r="E63" s="17" t="n">
        <f aca="false">E62*(1-Annahmen!$C$60)+D63</f>
        <v>197.104700812681</v>
      </c>
      <c r="F63" s="17" t="n">
        <f aca="false">E63*(1-Annahmen!$C$61)</f>
        <v>118.262820487609</v>
      </c>
      <c r="G63" s="17" t="n">
        <f aca="false">E63*Annahmen!$C$61</f>
        <v>78.8418803250724</v>
      </c>
      <c r="H63" s="24" t="n">
        <f aca="false">F63*Annahmen!$C$87+G63*Annahmen!$C$88</f>
        <v>1249.70950471933</v>
      </c>
      <c r="I63" s="17" t="n">
        <f aca="false">IF($A63&gt;=Annahmen!$C$55,Annahmen!$C$64*(1-Annahmen!$C$65),0)</f>
        <v>1.2</v>
      </c>
      <c r="J63" s="17" t="n">
        <f aca="false">IF($A63&gt;=Annahmen!$C$55,Annahmen!$C$64*Annahmen!$C$65,0)</f>
        <v>0.8</v>
      </c>
      <c r="K63" s="24" t="n">
        <f aca="false">I63*Annahmen!$B$80+J63*Annahmen!$B$81</f>
        <v>131.98</v>
      </c>
      <c r="L63" s="17" t="n">
        <f aca="false">IF($A63&gt;=Annahmen!$C$55,Annahmen!$C$66,0)</f>
        <v>0.5</v>
      </c>
      <c r="M63" s="24" t="n">
        <f aca="false">L63*Annahmen!$B$82</f>
        <v>74.5</v>
      </c>
      <c r="N63" s="24" t="n">
        <f aca="false">H63+K63+M63</f>
        <v>1456.18950471933</v>
      </c>
      <c r="O63" s="24" t="n">
        <f aca="false">N63/(1+Annahmen!$B$9)</f>
        <v>1223.68865942801</v>
      </c>
      <c r="P63" s="24" t="n">
        <f aca="false">O63*(Annahmen!$C$63*Annahmen!$B$83+(1-Annahmen!$C$63)*Annahmen!$B$84)+(E63*Annahmen!$C$62+E63*(1-Annahmen!$C$62)/12+I63+J63+L63)*(1-Annahmen!$C$63)*Annahmen!$B$85</f>
        <v>116.870936550482</v>
      </c>
      <c r="Q63" s="17" t="n">
        <f aca="false">Annahmen!$C$67</f>
        <v>8</v>
      </c>
      <c r="R63" s="24" t="n">
        <f aca="false">Q63*(Annahmen!$B$43+Annahmen!$B$154)</f>
        <v>518.967701791488</v>
      </c>
      <c r="S63" s="24" t="n">
        <f aca="false">I63*Annahmen!$B$44+(J63+L63)*Annahmen!$B$45</f>
        <v>79.1744983854023</v>
      </c>
      <c r="T63" s="24" t="n">
        <f aca="false">C63*Annahmen!$B$86</f>
        <v>39.2140812374759</v>
      </c>
      <c r="U63" s="24" t="n">
        <f aca="false">SUMPRODUCT((((Annahmen!$C$161:$C$174="monatlich")*(Annahmen!$D$161:$D$174&lt;=$A63))+((Annahmen!$C$161:$C$174="einmalig")*(Annahmen!$D$161:$D$174=$A63)))*Annahmen!$B$161:$B$174*Annahmen!$E$161:$E$174)</f>
        <v>69.9850799606897</v>
      </c>
      <c r="V63" s="24" t="n">
        <f aca="false">IF($A63&gt;=Annahmen!$C$55,Annahmen!$C$143,0)</f>
        <v>500</v>
      </c>
      <c r="W63" s="36" t="n">
        <f aca="false">MAX(0,(E63-Annahmen!$B$147)/Annahmen!$B$148)</f>
        <v>0</v>
      </c>
      <c r="X63" s="24" t="n">
        <f aca="false">W63*Annahmen!$B$146</f>
        <v>0</v>
      </c>
      <c r="Y63" s="24" t="n">
        <f aca="false">O63-P63-R63-S63-T63-U63-V63-X63+AB63</f>
        <v>271.906703795965</v>
      </c>
      <c r="Z63" s="24" t="n">
        <f aca="false">Z62+Y63</f>
        <v>-11081.6370961836</v>
      </c>
      <c r="AA63" s="15" t="n">
        <f aca="false">MAX(0,C63-E63)</f>
        <v>3724.30342293491</v>
      </c>
      <c r="AB63" s="24" t="n">
        <f aca="false">IF($A63&gt;=Annahmen!$C$69,AA63*Annahmen!$C$70,0)</f>
        <v>372.430342293491</v>
      </c>
      <c r="AC63" s="15" t="n">
        <f aca="false">IF($A63&lt;Annahmen!$C$55,0,IF($A63=Annahmen!$C$55,Annahmen!$C$56,AC62*(1+Annahmen!$C$57*(1-C62/Annahmen!$C$58))))</f>
        <v>3471.40812374759</v>
      </c>
      <c r="AD63" s="15" t="n">
        <f aca="false">IF($A63&lt;Annahmen!$C$71,0,IF($A63&lt;Annahmen!$C$71+Annahmen!$B$73,Annahmen!$C$72,Annahmen!$C$72*Annahmen!$B$75))</f>
        <v>450</v>
      </c>
      <c r="AE63" s="7" t="n">
        <f aca="false">IF(Y63&gt;0,1,0)</f>
        <v>1</v>
      </c>
      <c r="AF63" s="7" t="n">
        <f aca="false">IF(Z63&gt;=0,1,0)</f>
        <v>0</v>
      </c>
    </row>
    <row r="64" customFormat="false" ht="15" hidden="false" customHeight="false" outlineLevel="0" collapsed="false">
      <c r="A64" s="7" t="n">
        <v>18</v>
      </c>
      <c r="B64" s="7" t="s">
        <v>407</v>
      </c>
      <c r="C64" s="15" t="n">
        <f aca="false">AC64+AD64</f>
        <v>4431.90973629675</v>
      </c>
      <c r="D64" s="17" t="n">
        <f aca="false">IF($A64&gt;Annahmen!$B$68,INDEX($AC$47:$AC$70,$A64-Annahmen!$B$68),0)*Annahmen!$C$59+IF($A64=Annahmen!$C$71+Annahmen!$B$73,Annahmen!$C$72*Annahmen!$C$74,0)</f>
        <v>34.7140812374759</v>
      </c>
      <c r="E64" s="17" t="n">
        <f aca="false">E63*(1-Annahmen!$C$60)+D64</f>
        <v>219.992500001396</v>
      </c>
      <c r="F64" s="17" t="n">
        <f aca="false">E64*(1-Annahmen!$C$61)</f>
        <v>131.995500000838</v>
      </c>
      <c r="G64" s="17" t="n">
        <f aca="false">E64*Annahmen!$C$61</f>
        <v>87.9970000005584</v>
      </c>
      <c r="H64" s="24" t="n">
        <f aca="false">F64*Annahmen!$C$87+G64*Annahmen!$C$88</f>
        <v>1394.82578084218</v>
      </c>
      <c r="I64" s="17" t="n">
        <f aca="false">IF($A64&gt;=Annahmen!$C$55,Annahmen!$C$64*(1-Annahmen!$C$65),0)</f>
        <v>1.2</v>
      </c>
      <c r="J64" s="17" t="n">
        <f aca="false">IF($A64&gt;=Annahmen!$C$55,Annahmen!$C$64*Annahmen!$C$65,0)</f>
        <v>0.8</v>
      </c>
      <c r="K64" s="24" t="n">
        <f aca="false">I64*Annahmen!$B$80+J64*Annahmen!$B$81</f>
        <v>131.98</v>
      </c>
      <c r="L64" s="17" t="n">
        <f aca="false">IF($A64&gt;=Annahmen!$C$55,Annahmen!$C$66,0)</f>
        <v>0.5</v>
      </c>
      <c r="M64" s="24" t="n">
        <f aca="false">L64*Annahmen!$B$82</f>
        <v>74.5</v>
      </c>
      <c r="N64" s="24" t="n">
        <f aca="false">H64+K64+M64</f>
        <v>1601.30578084218</v>
      </c>
      <c r="O64" s="24" t="n">
        <f aca="false">N64/(1+Annahmen!$B$9)</f>
        <v>1345.63510995142</v>
      </c>
      <c r="P64" s="24" t="n">
        <f aca="false">O64*(Annahmen!$C$63*Annahmen!$B$83+(1-Annahmen!$C$63)*Annahmen!$B$84)+(E64*Annahmen!$C$62+E64*(1-Annahmen!$C$62)/12+I64+J64+L64)*(1-Annahmen!$C$63)*Annahmen!$B$85</f>
        <v>128.743469487769</v>
      </c>
      <c r="Q64" s="17" t="n">
        <f aca="false">Annahmen!$C$67</f>
        <v>8</v>
      </c>
      <c r="R64" s="24" t="n">
        <f aca="false">Q64*(Annahmen!$B$43+Annahmen!$B$154)</f>
        <v>518.967701791488</v>
      </c>
      <c r="S64" s="24" t="n">
        <f aca="false">I64*Annahmen!$B$44+(J64+L64)*Annahmen!$B$45</f>
        <v>79.1744983854023</v>
      </c>
      <c r="T64" s="24" t="n">
        <f aca="false">C64*Annahmen!$B$86</f>
        <v>44.3190973629675</v>
      </c>
      <c r="U64" s="24" t="n">
        <f aca="false">SUMPRODUCT((((Annahmen!$C$161:$C$174="monatlich")*(Annahmen!$D$161:$D$174&lt;=$A64))+((Annahmen!$C$161:$C$174="einmalig")*(Annahmen!$D$161:$D$174=$A64)))*Annahmen!$B$161:$B$174*Annahmen!$E$161:$E$174)</f>
        <v>69.9850799606897</v>
      </c>
      <c r="V64" s="24" t="n">
        <f aca="false">IF($A64&gt;=Annahmen!$C$55,Annahmen!$C$143,0)</f>
        <v>500</v>
      </c>
      <c r="W64" s="36" t="n">
        <f aca="false">MAX(0,(E64-Annahmen!$B$147)/Annahmen!$B$148)</f>
        <v>0</v>
      </c>
      <c r="X64" s="24" t="n">
        <f aca="false">W64*Annahmen!$B$146</f>
        <v>0</v>
      </c>
      <c r="Y64" s="24" t="n">
        <f aca="false">O64-P64-R64-S64-T64-U64-V64-X64+AB64</f>
        <v>425.636986592634</v>
      </c>
      <c r="Z64" s="24" t="n">
        <f aca="false">Z63+Y64</f>
        <v>-10656.000109591</v>
      </c>
      <c r="AA64" s="15" t="n">
        <f aca="false">MAX(0,C64-E64)</f>
        <v>4211.91723629535</v>
      </c>
      <c r="AB64" s="24" t="n">
        <f aca="false">IF($A64&gt;=Annahmen!$C$69,AA64*Annahmen!$C$70,0)</f>
        <v>421.191723629535</v>
      </c>
      <c r="AC64" s="15" t="n">
        <f aca="false">IF($A64&lt;Annahmen!$C$55,0,IF($A64=Annahmen!$C$55,Annahmen!$C$56,AC63*(1+Annahmen!$C$57*(1-C63/Annahmen!$C$58))))</f>
        <v>3981.90973629675</v>
      </c>
      <c r="AD64" s="15" t="n">
        <f aca="false">IF($A64&lt;Annahmen!$C$71,0,IF($A64&lt;Annahmen!$C$71+Annahmen!$B$73,Annahmen!$C$72,Annahmen!$C$72*Annahmen!$B$75))</f>
        <v>450</v>
      </c>
      <c r="AE64" s="7" t="n">
        <f aca="false">IF(Y64&gt;0,1,0)</f>
        <v>1</v>
      </c>
      <c r="AF64" s="7" t="n">
        <f aca="false">IF(Z64&gt;=0,1,0)</f>
        <v>0</v>
      </c>
    </row>
    <row r="65" customFormat="false" ht="15" hidden="false" customHeight="false" outlineLevel="0" collapsed="false">
      <c r="A65" s="7" t="n">
        <v>19</v>
      </c>
      <c r="B65" s="7" t="s">
        <v>408</v>
      </c>
      <c r="C65" s="15" t="n">
        <f aca="false">AC65+AD65</f>
        <v>5015.96059834425</v>
      </c>
      <c r="D65" s="17" t="n">
        <f aca="false">IF($A65&gt;Annahmen!$B$68,INDEX($AC$47:$AC$70,$A65-Annahmen!$B$68),0)*Annahmen!$C$59+IF($A65=Annahmen!$C$71+Annahmen!$B$73,Annahmen!$C$72*Annahmen!$C$74,0)</f>
        <v>39.8190973629675</v>
      </c>
      <c r="E65" s="17" t="n">
        <f aca="false">E64*(1-Annahmen!$C$60)+D65</f>
        <v>246.61204736428</v>
      </c>
      <c r="F65" s="17" t="n">
        <f aca="false">E65*(1-Annahmen!$C$61)</f>
        <v>147.967228418568</v>
      </c>
      <c r="G65" s="17" t="n">
        <f aca="false">E65*Annahmen!$C$61</f>
        <v>98.6448189457119</v>
      </c>
      <c r="H65" s="24" t="n">
        <f aca="false">F65*Annahmen!$C$87+G65*Annahmen!$C$88</f>
        <v>1563.60258430532</v>
      </c>
      <c r="I65" s="17" t="n">
        <f aca="false">IF($A65&gt;=Annahmen!$C$55,Annahmen!$C$64*(1-Annahmen!$C$65),0)</f>
        <v>1.2</v>
      </c>
      <c r="J65" s="17" t="n">
        <f aca="false">IF($A65&gt;=Annahmen!$C$55,Annahmen!$C$64*Annahmen!$C$65,0)</f>
        <v>0.8</v>
      </c>
      <c r="K65" s="24" t="n">
        <f aca="false">I65*Annahmen!$B$80+J65*Annahmen!$B$81</f>
        <v>131.98</v>
      </c>
      <c r="L65" s="17" t="n">
        <f aca="false">IF($A65&gt;=Annahmen!$C$55,Annahmen!$C$66,0)</f>
        <v>0.5</v>
      </c>
      <c r="M65" s="24" t="n">
        <f aca="false">L65*Annahmen!$B$82</f>
        <v>74.5</v>
      </c>
      <c r="N65" s="24" t="n">
        <f aca="false">H65+K65+M65</f>
        <v>1770.08258430532</v>
      </c>
      <c r="O65" s="24" t="n">
        <f aca="false">N65/(1+Annahmen!$B$9)</f>
        <v>1487.46435655909</v>
      </c>
      <c r="P65" s="24" t="n">
        <f aca="false">O65*(Annahmen!$C$63*Annahmen!$B$83+(1-Annahmen!$C$63)*Annahmen!$B$84)+(E65*Annahmen!$C$62+E65*(1-Annahmen!$C$62)/12+I65+J65+L65)*(1-Annahmen!$C$63)*Annahmen!$B$85</f>
        <v>142.551763165797</v>
      </c>
      <c r="Q65" s="17" t="n">
        <f aca="false">Annahmen!$C$67</f>
        <v>8</v>
      </c>
      <c r="R65" s="24" t="n">
        <f aca="false">Q65*(Annahmen!$B$43+Annahmen!$B$154)</f>
        <v>518.967701791488</v>
      </c>
      <c r="S65" s="24" t="n">
        <f aca="false">I65*Annahmen!$B$44+(J65+L65)*Annahmen!$B$45</f>
        <v>79.1744983854023</v>
      </c>
      <c r="T65" s="24" t="n">
        <f aca="false">C65*Annahmen!$B$86</f>
        <v>50.1596059834425</v>
      </c>
      <c r="U65" s="24" t="n">
        <f aca="false">SUMPRODUCT((((Annahmen!$C$161:$C$174="monatlich")*(Annahmen!$D$161:$D$174&lt;=$A65))+((Annahmen!$C$161:$C$174="einmalig")*(Annahmen!$D$161:$D$174=$A65)))*Annahmen!$B$161:$B$174*Annahmen!$E$161:$E$174)</f>
        <v>69.9850799606897</v>
      </c>
      <c r="V65" s="24" t="n">
        <f aca="false">IF($A65&gt;=Annahmen!$C$55,Annahmen!$C$143,0)</f>
        <v>500</v>
      </c>
      <c r="W65" s="36" t="n">
        <f aca="false">MAX(0,(E65-Annahmen!$B$147)/Annahmen!$B$148)</f>
        <v>0</v>
      </c>
      <c r="X65" s="24" t="n">
        <f aca="false">W65*Annahmen!$B$146</f>
        <v>0</v>
      </c>
      <c r="Y65" s="24" t="n">
        <f aca="false">O65-P65-R65-S65-T65-U65-V65-X65+AB65</f>
        <v>603.56056237027</v>
      </c>
      <c r="Z65" s="24" t="n">
        <f aca="false">Z64+Y65</f>
        <v>-10052.4395472207</v>
      </c>
      <c r="AA65" s="15" t="n">
        <f aca="false">MAX(0,C65-E65)</f>
        <v>4769.34855097997</v>
      </c>
      <c r="AB65" s="24" t="n">
        <f aca="false">IF($A65&gt;=Annahmen!$C$69,AA65*Annahmen!$C$70,0)</f>
        <v>476.934855097997</v>
      </c>
      <c r="AC65" s="15" t="n">
        <f aca="false">IF($A65&lt;Annahmen!$C$55,0,IF($A65=Annahmen!$C$55,Annahmen!$C$56,AC64*(1+Annahmen!$C$57*(1-C64/Annahmen!$C$58))))</f>
        <v>4565.96059834425</v>
      </c>
      <c r="AD65" s="15" t="n">
        <f aca="false">IF($A65&lt;Annahmen!$C$71,0,IF($A65&lt;Annahmen!$C$71+Annahmen!$B$73,Annahmen!$C$72,Annahmen!$C$72*Annahmen!$B$75))</f>
        <v>450</v>
      </c>
      <c r="AE65" s="7" t="n">
        <f aca="false">IF(Y65&gt;0,1,0)</f>
        <v>1</v>
      </c>
      <c r="AF65" s="7" t="n">
        <f aca="false">IF(Z65&gt;=0,1,0)</f>
        <v>0</v>
      </c>
    </row>
    <row r="66" customFormat="false" ht="15" hidden="false" customHeight="false" outlineLevel="0" collapsed="false">
      <c r="A66" s="7" t="n">
        <v>20</v>
      </c>
      <c r="B66" s="7" t="s">
        <v>409</v>
      </c>
      <c r="C66" s="15" t="n">
        <f aca="false">AC66+AD66</f>
        <v>5683.67767925472</v>
      </c>
      <c r="D66" s="17" t="n">
        <f aca="false">IF($A66&gt;Annahmen!$B$68,INDEX($AC$47:$AC$70,$A66-Annahmen!$B$68),0)*Annahmen!$C$59+IF($A66=Annahmen!$C$71+Annahmen!$B$73,Annahmen!$C$72*Annahmen!$C$74,0)</f>
        <v>45.6596059834425</v>
      </c>
      <c r="E66" s="17" t="n">
        <f aca="false">E65*(1-Annahmen!$C$60)+D66</f>
        <v>277.474930505865</v>
      </c>
      <c r="F66" s="17" t="n">
        <f aca="false">E66*(1-Annahmen!$C$61)</f>
        <v>166.484958303519</v>
      </c>
      <c r="G66" s="17" t="n">
        <f aca="false">E66*Annahmen!$C$61</f>
        <v>110.989972202346</v>
      </c>
      <c r="H66" s="24" t="n">
        <f aca="false">F66*Annahmen!$C$87+G66*Annahmen!$C$88</f>
        <v>1759.28355105069</v>
      </c>
      <c r="I66" s="17" t="n">
        <f aca="false">IF($A66&gt;=Annahmen!$C$55,Annahmen!$C$64*(1-Annahmen!$C$65),0)</f>
        <v>1.2</v>
      </c>
      <c r="J66" s="17" t="n">
        <f aca="false">IF($A66&gt;=Annahmen!$C$55,Annahmen!$C$64*Annahmen!$C$65,0)</f>
        <v>0.8</v>
      </c>
      <c r="K66" s="24" t="n">
        <f aca="false">I66*Annahmen!$B$80+J66*Annahmen!$B$81</f>
        <v>131.98</v>
      </c>
      <c r="L66" s="17" t="n">
        <f aca="false">IF($A66&gt;=Annahmen!$C$55,Annahmen!$C$66,0)</f>
        <v>0.5</v>
      </c>
      <c r="M66" s="24" t="n">
        <f aca="false">L66*Annahmen!$B$82</f>
        <v>74.5</v>
      </c>
      <c r="N66" s="24" t="n">
        <f aca="false">H66+K66+M66</f>
        <v>1965.76355105069</v>
      </c>
      <c r="O66" s="24" t="n">
        <f aca="false">N66/(1+Annahmen!$B$9)</f>
        <v>1651.90214374007</v>
      </c>
      <c r="P66" s="24" t="n">
        <f aca="false">O66*(Annahmen!$C$63*Annahmen!$B$83+(1-Annahmen!$C$63)*Annahmen!$B$84)+(E66*Annahmen!$C$62+E66*(1-Annahmen!$C$62)/12+I66+J66+L66)*(1-Annahmen!$C$63)*Annahmen!$B$85</f>
        <v>158.56119219027</v>
      </c>
      <c r="Q66" s="17" t="n">
        <f aca="false">Annahmen!$C$67</f>
        <v>8</v>
      </c>
      <c r="R66" s="24" t="n">
        <f aca="false">Q66*(Annahmen!$B$43+Annahmen!$B$154)</f>
        <v>518.967701791488</v>
      </c>
      <c r="S66" s="24" t="n">
        <f aca="false">I66*Annahmen!$B$44+(J66+L66)*Annahmen!$B$45</f>
        <v>79.1744983854023</v>
      </c>
      <c r="T66" s="24" t="n">
        <f aca="false">C66*Annahmen!$B$86</f>
        <v>56.8367767925472</v>
      </c>
      <c r="U66" s="24" t="n">
        <f aca="false">SUMPRODUCT((((Annahmen!$C$161:$C$174="monatlich")*(Annahmen!$D$161:$D$174&lt;=$A66))+((Annahmen!$C$161:$C$174="einmalig")*(Annahmen!$D$161:$D$174=$A66)))*Annahmen!$B$161:$B$174*Annahmen!$E$161:$E$174)</f>
        <v>69.9850799606897</v>
      </c>
      <c r="V66" s="24" t="n">
        <f aca="false">IF($A66&gt;=Annahmen!$C$55,Annahmen!$C$143,0)</f>
        <v>500</v>
      </c>
      <c r="W66" s="36" t="n">
        <f aca="false">MAX(0,(E66-Annahmen!$B$147)/Annahmen!$B$148)</f>
        <v>0</v>
      </c>
      <c r="X66" s="24" t="n">
        <f aca="false">W66*Annahmen!$B$146</f>
        <v>0</v>
      </c>
      <c r="Y66" s="24" t="n">
        <f aca="false">O66-P66-R66-S66-T66-U66-V66-X66+AB66</f>
        <v>808.997169494562</v>
      </c>
      <c r="Z66" s="24" t="n">
        <f aca="false">Z65+Y66</f>
        <v>-9243.44237772615</v>
      </c>
      <c r="AA66" s="15" t="n">
        <f aca="false">MAX(0,C66-E66)</f>
        <v>5406.20274874885</v>
      </c>
      <c r="AB66" s="24" t="n">
        <f aca="false">IF($A66&gt;=Annahmen!$C$69,AA66*Annahmen!$C$70,0)</f>
        <v>540.620274874885</v>
      </c>
      <c r="AC66" s="15" t="n">
        <f aca="false">IF($A66&lt;Annahmen!$C$55,0,IF($A66=Annahmen!$C$55,Annahmen!$C$56,AC65*(1+Annahmen!$C$57*(1-C65/Annahmen!$C$58))))</f>
        <v>5233.67767925472</v>
      </c>
      <c r="AD66" s="15" t="n">
        <f aca="false">IF($A66&lt;Annahmen!$C$71,0,IF($A66&lt;Annahmen!$C$71+Annahmen!$B$73,Annahmen!$C$72,Annahmen!$C$72*Annahmen!$B$75))</f>
        <v>450</v>
      </c>
      <c r="AE66" s="7" t="n">
        <f aca="false">IF(Y66&gt;0,1,0)</f>
        <v>1</v>
      </c>
      <c r="AF66" s="7" t="n">
        <f aca="false">IF(Z66&gt;=0,1,0)</f>
        <v>0</v>
      </c>
    </row>
    <row r="67" customFormat="false" ht="15" hidden="false" customHeight="false" outlineLevel="0" collapsed="false">
      <c r="A67" s="7" t="n">
        <v>21</v>
      </c>
      <c r="B67" s="7" t="s">
        <v>410</v>
      </c>
      <c r="C67" s="15" t="n">
        <f aca="false">AC67+AD67</f>
        <v>6446.41942838843</v>
      </c>
      <c r="D67" s="17" t="n">
        <f aca="false">IF($A67&gt;Annahmen!$B$68,INDEX($AC$47:$AC$70,$A67-Annahmen!$B$68),0)*Annahmen!$C$59+IF($A67=Annahmen!$C$71+Annahmen!$B$73,Annahmen!$C$72*Annahmen!$C$74,0)</f>
        <v>52.3367767925472</v>
      </c>
      <c r="E67" s="17" t="n">
        <f aca="false">E66*(1-Annahmen!$C$60)+D67</f>
        <v>313.163211468061</v>
      </c>
      <c r="F67" s="17" t="n">
        <f aca="false">E67*(1-Annahmen!$C$61)</f>
        <v>187.897926880836</v>
      </c>
      <c r="G67" s="17" t="n">
        <f aca="false">E67*Annahmen!$C$61</f>
        <v>125.265284587224</v>
      </c>
      <c r="H67" s="24" t="n">
        <f aca="false">F67*Annahmen!$C$87+G67*Annahmen!$C$88</f>
        <v>1985.55914844466</v>
      </c>
      <c r="I67" s="17" t="n">
        <f aca="false">IF($A67&gt;=Annahmen!$C$55,Annahmen!$C$64*(1-Annahmen!$C$65),0)</f>
        <v>1.2</v>
      </c>
      <c r="J67" s="17" t="n">
        <f aca="false">IF($A67&gt;=Annahmen!$C$55,Annahmen!$C$64*Annahmen!$C$65,0)</f>
        <v>0.8</v>
      </c>
      <c r="K67" s="24" t="n">
        <f aca="false">I67*Annahmen!$B$80+J67*Annahmen!$B$81</f>
        <v>131.98</v>
      </c>
      <c r="L67" s="17" t="n">
        <f aca="false">IF($A67&gt;=Annahmen!$C$55,Annahmen!$C$66,0)</f>
        <v>0.5</v>
      </c>
      <c r="M67" s="24" t="n">
        <f aca="false">L67*Annahmen!$B$82</f>
        <v>74.5</v>
      </c>
      <c r="N67" s="24" t="n">
        <f aca="false">H67+K67+M67</f>
        <v>2192.03914844466</v>
      </c>
      <c r="O67" s="24" t="n">
        <f aca="false">N67/(1+Annahmen!$B$9)</f>
        <v>1842.04970457534</v>
      </c>
      <c r="P67" s="24" t="n">
        <f aca="false">O67*(Annahmen!$C$63*Annahmen!$B$83+(1-Annahmen!$C$63)*Annahmen!$B$84)+(E67*Annahmen!$C$62+E67*(1-Annahmen!$C$62)/12+I67+J67+L67)*(1-Annahmen!$C$63)*Annahmen!$B$85</f>
        <v>177.073688202021</v>
      </c>
      <c r="Q67" s="17" t="n">
        <f aca="false">Annahmen!$C$67</f>
        <v>8</v>
      </c>
      <c r="R67" s="24" t="n">
        <f aca="false">Q67*(Annahmen!$B$43+Annahmen!$B$154)</f>
        <v>518.967701791488</v>
      </c>
      <c r="S67" s="24" t="n">
        <f aca="false">I67*Annahmen!$B$44+(J67+L67)*Annahmen!$B$45</f>
        <v>79.1744983854023</v>
      </c>
      <c r="T67" s="24" t="n">
        <f aca="false">C67*Annahmen!$B$86</f>
        <v>64.4641942838843</v>
      </c>
      <c r="U67" s="24" t="n">
        <f aca="false">SUMPRODUCT((((Annahmen!$C$161:$C$174="monatlich")*(Annahmen!$D$161:$D$174&lt;=$A67))+((Annahmen!$C$161:$C$174="einmalig")*(Annahmen!$D$161:$D$174=$A67)))*Annahmen!$B$161:$B$174*Annahmen!$E$161:$E$174)</f>
        <v>69.9850799606897</v>
      </c>
      <c r="V67" s="24" t="n">
        <f aca="false">IF($A67&gt;=Annahmen!$C$55,Annahmen!$C$143,0)</f>
        <v>500</v>
      </c>
      <c r="W67" s="36" t="n">
        <f aca="false">MAX(0,(E67-Annahmen!$B$147)/Annahmen!$B$148)</f>
        <v>0</v>
      </c>
      <c r="X67" s="24" t="n">
        <f aca="false">W67*Annahmen!$B$146</f>
        <v>0</v>
      </c>
      <c r="Y67" s="24" t="n">
        <f aca="false">O67-P67-R67-S67-T67-U67-V67-X67+AB67</f>
        <v>1045.7101636439</v>
      </c>
      <c r="Z67" s="24" t="n">
        <f aca="false">Z66+Y67</f>
        <v>-8197.73221408225</v>
      </c>
      <c r="AA67" s="15" t="n">
        <f aca="false">MAX(0,C67-E67)</f>
        <v>6133.25621692037</v>
      </c>
      <c r="AB67" s="24" t="n">
        <f aca="false">IF($A67&gt;=Annahmen!$C$69,AA67*Annahmen!$C$70,0)</f>
        <v>613.325621692037</v>
      </c>
      <c r="AC67" s="15" t="n">
        <f aca="false">IF($A67&lt;Annahmen!$C$55,0,IF($A67=Annahmen!$C$55,Annahmen!$C$56,AC66*(1+Annahmen!$C$57*(1-C66/Annahmen!$C$58))))</f>
        <v>5996.41942838843</v>
      </c>
      <c r="AD67" s="15" t="n">
        <f aca="false">IF($A67&lt;Annahmen!$C$71,0,IF($A67&lt;Annahmen!$C$71+Annahmen!$B$73,Annahmen!$C$72,Annahmen!$C$72*Annahmen!$B$75))</f>
        <v>450</v>
      </c>
      <c r="AE67" s="7" t="n">
        <f aca="false">IF(Y67&gt;0,1,0)</f>
        <v>1</v>
      </c>
      <c r="AF67" s="7" t="n">
        <f aca="false">IF(Z67&gt;=0,1,0)</f>
        <v>0</v>
      </c>
    </row>
    <row r="68" customFormat="false" ht="15" hidden="false" customHeight="false" outlineLevel="0" collapsed="false">
      <c r="A68" s="7" t="n">
        <v>22</v>
      </c>
      <c r="B68" s="7" t="s">
        <v>411</v>
      </c>
      <c r="C68" s="15" t="n">
        <f aca="false">AC68+AD68</f>
        <v>7316.89076661875</v>
      </c>
      <c r="D68" s="17" t="n">
        <f aca="false">IF($A68&gt;Annahmen!$B$68,INDEX($AC$47:$AC$70,$A68-Annahmen!$B$68),0)*Annahmen!$C$59+IF($A68=Annahmen!$C$71+Annahmen!$B$73,Annahmen!$C$72*Annahmen!$C$74,0)</f>
        <v>59.9641942838843</v>
      </c>
      <c r="E68" s="17" t="n">
        <f aca="false">E67*(1-Annahmen!$C$60)+D68</f>
        <v>354.337613063861</v>
      </c>
      <c r="F68" s="17" t="n">
        <f aca="false">E68*(1-Annahmen!$C$61)</f>
        <v>212.602567838317</v>
      </c>
      <c r="G68" s="17" t="n">
        <f aca="false">E68*Annahmen!$C$61</f>
        <v>141.735045225545</v>
      </c>
      <c r="H68" s="24" t="n">
        <f aca="false">F68*Annahmen!$C$87+G68*Annahmen!$C$88</f>
        <v>2246.61857936257</v>
      </c>
      <c r="I68" s="17" t="n">
        <f aca="false">IF($A68&gt;=Annahmen!$C$55,Annahmen!$C$64*(1-Annahmen!$C$65),0)</f>
        <v>1.2</v>
      </c>
      <c r="J68" s="17" t="n">
        <f aca="false">IF($A68&gt;=Annahmen!$C$55,Annahmen!$C$64*Annahmen!$C$65,0)</f>
        <v>0.8</v>
      </c>
      <c r="K68" s="24" t="n">
        <f aca="false">I68*Annahmen!$B$80+J68*Annahmen!$B$81</f>
        <v>131.98</v>
      </c>
      <c r="L68" s="17" t="n">
        <f aca="false">IF($A68&gt;=Annahmen!$C$55,Annahmen!$C$66,0)</f>
        <v>0.5</v>
      </c>
      <c r="M68" s="24" t="n">
        <f aca="false">L68*Annahmen!$B$82</f>
        <v>74.5</v>
      </c>
      <c r="N68" s="24" t="n">
        <f aca="false">H68+K68+M68</f>
        <v>2453.09857936257</v>
      </c>
      <c r="O68" s="24" t="n">
        <f aca="false">N68/(1+Annahmen!$B$9)</f>
        <v>2061.4273776156</v>
      </c>
      <c r="P68" s="24" t="n">
        <f aca="false">O68*(Annahmen!$C$63*Annahmen!$B$83+(1-Annahmen!$C$63)*Annahmen!$B$84)+(E68*Annahmen!$C$62+E68*(1-Annahmen!$C$62)/12+I68+J68+L68)*(1-Annahmen!$C$63)*Annahmen!$B$85</f>
        <v>198.431986354176</v>
      </c>
      <c r="Q68" s="17" t="n">
        <f aca="false">Annahmen!$C$67</f>
        <v>8</v>
      </c>
      <c r="R68" s="24" t="n">
        <f aca="false">Q68*(Annahmen!$B$43+Annahmen!$B$154)</f>
        <v>518.967701791488</v>
      </c>
      <c r="S68" s="24" t="n">
        <f aca="false">I68*Annahmen!$B$44+(J68+L68)*Annahmen!$B$45</f>
        <v>79.1744983854023</v>
      </c>
      <c r="T68" s="24" t="n">
        <f aca="false">C68*Annahmen!$B$86</f>
        <v>73.1689076661875</v>
      </c>
      <c r="U68" s="24" t="n">
        <f aca="false">SUMPRODUCT((((Annahmen!$C$161:$C$174="monatlich")*(Annahmen!$D$161:$D$174&lt;=$A68))+((Annahmen!$C$161:$C$174="einmalig")*(Annahmen!$D$161:$D$174=$A68)))*Annahmen!$B$161:$B$174*Annahmen!$E$161:$E$174)</f>
        <v>69.9850799606897</v>
      </c>
      <c r="V68" s="24" t="n">
        <f aca="false">IF($A68&gt;=Annahmen!$C$55,Annahmen!$C$143,0)</f>
        <v>500</v>
      </c>
      <c r="W68" s="36" t="n">
        <f aca="false">MAX(0,(E68-Annahmen!$B$147)/Annahmen!$B$148)</f>
        <v>0</v>
      </c>
      <c r="X68" s="24" t="n">
        <f aca="false">W68*Annahmen!$B$146</f>
        <v>0</v>
      </c>
      <c r="Y68" s="24" t="n">
        <f aca="false">O68-P68-R68-S68-T68-U68-V68-X68+AB68</f>
        <v>1317.95451881315</v>
      </c>
      <c r="Z68" s="24" t="n">
        <f aca="false">Z67+Y68</f>
        <v>-6879.77769526911</v>
      </c>
      <c r="AA68" s="15" t="n">
        <f aca="false">MAX(0,C68-E68)</f>
        <v>6962.55315355489</v>
      </c>
      <c r="AB68" s="24" t="n">
        <f aca="false">IF($A68&gt;=Annahmen!$C$69,AA68*Annahmen!$C$70,0)</f>
        <v>696.255315355489</v>
      </c>
      <c r="AC68" s="15" t="n">
        <f aca="false">IF($A68&lt;Annahmen!$C$55,0,IF($A68=Annahmen!$C$55,Annahmen!$C$56,AC67*(1+Annahmen!$C$57*(1-C67/Annahmen!$C$58))))</f>
        <v>6866.89076661875</v>
      </c>
      <c r="AD68" s="15" t="n">
        <f aca="false">IF($A68&lt;Annahmen!$C$71,0,IF($A68&lt;Annahmen!$C$71+Annahmen!$B$73,Annahmen!$C$72,Annahmen!$C$72*Annahmen!$B$75))</f>
        <v>450</v>
      </c>
      <c r="AE68" s="7" t="n">
        <f aca="false">IF(Y68&gt;0,1,0)</f>
        <v>1</v>
      </c>
      <c r="AF68" s="7" t="n">
        <f aca="false">IF(Z68&gt;=0,1,0)</f>
        <v>0</v>
      </c>
    </row>
    <row r="69" customFormat="false" ht="15" hidden="false" customHeight="false" outlineLevel="0" collapsed="false">
      <c r="A69" s="7" t="n">
        <v>23</v>
      </c>
      <c r="B69" s="7" t="s">
        <v>412</v>
      </c>
      <c r="C69" s="15" t="n">
        <f aca="false">AC69+AD69</f>
        <v>8309.24116437732</v>
      </c>
      <c r="D69" s="17" t="n">
        <f aca="false">IF($A69&gt;Annahmen!$B$68,INDEX($AC$47:$AC$70,$A69-Annahmen!$B$68),0)*Annahmen!$C$59+IF($A69=Annahmen!$C$71+Annahmen!$B$73,Annahmen!$C$72*Annahmen!$C$74,0)</f>
        <v>68.6689076661875</v>
      </c>
      <c r="E69" s="17" t="n">
        <f aca="false">E68*(1-Annahmen!$C$60)+D69</f>
        <v>401.746263946217</v>
      </c>
      <c r="F69" s="17" t="n">
        <f aca="false">E69*(1-Annahmen!$C$61)</f>
        <v>241.04775836773</v>
      </c>
      <c r="G69" s="17" t="n">
        <f aca="false">E69*Annahmen!$C$61</f>
        <v>160.698505578487</v>
      </c>
      <c r="H69" s="24" t="n">
        <f aca="false">F69*Annahmen!$C$87+G69*Annahmen!$C$88</f>
        <v>2547.20522884033</v>
      </c>
      <c r="I69" s="17" t="n">
        <f aca="false">IF($A69&gt;=Annahmen!$C$55,Annahmen!$C$64*(1-Annahmen!$C$65),0)</f>
        <v>1.2</v>
      </c>
      <c r="J69" s="17" t="n">
        <f aca="false">IF($A69&gt;=Annahmen!$C$55,Annahmen!$C$64*Annahmen!$C$65,0)</f>
        <v>0.8</v>
      </c>
      <c r="K69" s="24" t="n">
        <f aca="false">I69*Annahmen!$B$80+J69*Annahmen!$B$81</f>
        <v>131.98</v>
      </c>
      <c r="L69" s="17" t="n">
        <f aca="false">IF($A69&gt;=Annahmen!$C$55,Annahmen!$C$66,0)</f>
        <v>0.5</v>
      </c>
      <c r="M69" s="24" t="n">
        <f aca="false">L69*Annahmen!$B$82</f>
        <v>74.5</v>
      </c>
      <c r="N69" s="24" t="n">
        <f aca="false">H69+K69+M69</f>
        <v>2753.68522884033</v>
      </c>
      <c r="O69" s="24" t="n">
        <f aca="false">N69/(1+Annahmen!$B$9)</f>
        <v>2314.02120070616</v>
      </c>
      <c r="P69" s="24" t="n">
        <f aca="false">O69*(Annahmen!$C$63*Annahmen!$B$83+(1-Annahmen!$C$63)*Annahmen!$B$84)+(E69*Annahmen!$C$62+E69*(1-Annahmen!$C$62)/12+I69+J69+L69)*(1-Annahmen!$C$63)*Annahmen!$B$85</f>
        <v>223.024161620667</v>
      </c>
      <c r="Q69" s="17" t="n">
        <f aca="false">Annahmen!$C$67</f>
        <v>8</v>
      </c>
      <c r="R69" s="24" t="n">
        <f aca="false">Q69*(Annahmen!$B$43+Annahmen!$B$154)</f>
        <v>518.967701791488</v>
      </c>
      <c r="S69" s="24" t="n">
        <f aca="false">I69*Annahmen!$B$44+(J69+L69)*Annahmen!$B$45</f>
        <v>79.1744983854023</v>
      </c>
      <c r="T69" s="24" t="n">
        <f aca="false">C69*Annahmen!$B$86</f>
        <v>83.0924116437732</v>
      </c>
      <c r="U69" s="24" t="n">
        <f aca="false">SUMPRODUCT((((Annahmen!$C$161:$C$174="monatlich")*(Annahmen!$D$161:$D$174&lt;=$A69))+((Annahmen!$C$161:$C$174="einmalig")*(Annahmen!$D$161:$D$174=$A69)))*Annahmen!$B$161:$B$174*Annahmen!$E$161:$E$174)</f>
        <v>69.9850799606897</v>
      </c>
      <c r="V69" s="24" t="n">
        <f aca="false">IF($A69&gt;=Annahmen!$C$55,Annahmen!$C$143,0)</f>
        <v>500</v>
      </c>
      <c r="W69" s="36" t="n">
        <f aca="false">MAX(0,(E69-Annahmen!$B$147)/Annahmen!$B$148)</f>
        <v>0</v>
      </c>
      <c r="X69" s="24" t="n">
        <f aca="false">W69*Annahmen!$B$146</f>
        <v>0</v>
      </c>
      <c r="Y69" s="24" t="n">
        <f aca="false">O69-P69-R69-S69-T69-U69-V69-X69+AB69</f>
        <v>1630.52683734725</v>
      </c>
      <c r="Z69" s="24" t="n">
        <f aca="false">Z68+Y69</f>
        <v>-5249.25085792186</v>
      </c>
      <c r="AA69" s="15" t="n">
        <f aca="false">MAX(0,C69-E69)</f>
        <v>7907.4949004311</v>
      </c>
      <c r="AB69" s="24" t="n">
        <f aca="false">IF($A69&gt;=Annahmen!$C$69,AA69*Annahmen!$C$70,0)</f>
        <v>790.74949004311</v>
      </c>
      <c r="AC69" s="15" t="n">
        <f aca="false">IF($A69&lt;Annahmen!$C$55,0,IF($A69=Annahmen!$C$55,Annahmen!$C$56,AC68*(1+Annahmen!$C$57*(1-C68/Annahmen!$C$58))))</f>
        <v>7859.24116437732</v>
      </c>
      <c r="AD69" s="15" t="n">
        <f aca="false">IF($A69&lt;Annahmen!$C$71,0,IF($A69&lt;Annahmen!$C$71+Annahmen!$B$73,Annahmen!$C$72,Annahmen!$C$72*Annahmen!$B$75))</f>
        <v>450</v>
      </c>
      <c r="AE69" s="7" t="n">
        <f aca="false">IF(Y69&gt;0,1,0)</f>
        <v>1</v>
      </c>
      <c r="AF69" s="7" t="n">
        <f aca="false">IF(Z69&gt;=0,1,0)</f>
        <v>0</v>
      </c>
    </row>
    <row r="70" customFormat="false" ht="15" hidden="false" customHeight="false" outlineLevel="0" collapsed="false">
      <c r="A70" s="7" t="n">
        <v>24</v>
      </c>
      <c r="B70" s="7" t="s">
        <v>413</v>
      </c>
      <c r="C70" s="15" t="n">
        <f aca="false">AC70+AD70</f>
        <v>9439.14909138106</v>
      </c>
      <c r="D70" s="17" t="n">
        <f aca="false">IF($A70&gt;Annahmen!$B$68,INDEX($AC$47:$AC$70,$A70-Annahmen!$B$68),0)*Annahmen!$C$59+IF($A70=Annahmen!$C$71+Annahmen!$B$73,Annahmen!$C$72*Annahmen!$C$74,0)</f>
        <v>78.5924116437732</v>
      </c>
      <c r="E70" s="17" t="n">
        <f aca="false">E69*(1-Annahmen!$C$60)+D70</f>
        <v>456.233899753217</v>
      </c>
      <c r="F70" s="17" t="n">
        <f aca="false">E70*(1-Annahmen!$C$61)</f>
        <v>273.74033985193</v>
      </c>
      <c r="G70" s="17" t="n">
        <f aca="false">E70*Annahmen!$C$61</f>
        <v>182.493559901287</v>
      </c>
      <c r="H70" s="24" t="n">
        <f aca="false">F70*Annahmen!$C$87+G70*Annahmen!$C$88</f>
        <v>2892.67500240198</v>
      </c>
      <c r="I70" s="17" t="n">
        <f aca="false">IF($A70&gt;=Annahmen!$C$55,Annahmen!$C$64*(1-Annahmen!$C$65),0)</f>
        <v>1.2</v>
      </c>
      <c r="J70" s="17" t="n">
        <f aca="false">IF($A70&gt;=Annahmen!$C$55,Annahmen!$C$64*Annahmen!$C$65,0)</f>
        <v>0.8</v>
      </c>
      <c r="K70" s="24" t="n">
        <f aca="false">I70*Annahmen!$B$80+J70*Annahmen!$B$81</f>
        <v>131.98</v>
      </c>
      <c r="L70" s="17" t="n">
        <f aca="false">IF($A70&gt;=Annahmen!$C$55,Annahmen!$C$66,0)</f>
        <v>0.5</v>
      </c>
      <c r="M70" s="24" t="n">
        <f aca="false">L70*Annahmen!$B$82</f>
        <v>74.5</v>
      </c>
      <c r="N70" s="24" t="n">
        <f aca="false">H70+K70+M70</f>
        <v>3099.15500240198</v>
      </c>
      <c r="O70" s="24" t="n">
        <f aca="false">N70/(1+Annahmen!$B$9)</f>
        <v>2604.33193479158</v>
      </c>
      <c r="P70" s="24" t="n">
        <f aca="false">O70*(Annahmen!$C$63*Annahmen!$B$83+(1-Annahmen!$C$63)*Annahmen!$B$84)+(E70*Annahmen!$C$62+E70*(1-Annahmen!$C$62)/12+I70+J70+L70)*(1-Annahmen!$C$63)*Annahmen!$B$85</f>
        <v>251.288401684102</v>
      </c>
      <c r="Q70" s="17" t="n">
        <f aca="false">Annahmen!$C$67</f>
        <v>8</v>
      </c>
      <c r="R70" s="24" t="n">
        <f aca="false">Q70*(Annahmen!$B$43+Annahmen!$B$154)</f>
        <v>518.967701791488</v>
      </c>
      <c r="S70" s="24" t="n">
        <f aca="false">I70*Annahmen!$B$44+(J70+L70)*Annahmen!$B$45</f>
        <v>79.1744983854023</v>
      </c>
      <c r="T70" s="24" t="n">
        <f aca="false">C70*Annahmen!$B$86</f>
        <v>94.3914909138106</v>
      </c>
      <c r="U70" s="24" t="n">
        <f aca="false">SUMPRODUCT((((Annahmen!$C$161:$C$174="monatlich")*(Annahmen!$D$161:$D$174&lt;=$A70))+((Annahmen!$C$161:$C$174="einmalig")*(Annahmen!$D$161:$D$174=$A70)))*Annahmen!$B$161:$B$174*Annahmen!$E$161:$E$174)</f>
        <v>69.9850799606897</v>
      </c>
      <c r="V70" s="24" t="n">
        <f aca="false">IF($A70&gt;=Annahmen!$C$55,Annahmen!$C$143,0)</f>
        <v>500</v>
      </c>
      <c r="W70" s="36" t="n">
        <f aca="false">MAX(0,(E70-Annahmen!$B$147)/Annahmen!$B$148)</f>
        <v>0</v>
      </c>
      <c r="X70" s="24" t="n">
        <f aca="false">W70*Annahmen!$B$146</f>
        <v>0</v>
      </c>
      <c r="Y70" s="24" t="n">
        <f aca="false">O70-P70-R70-S70-T70-U70-V70-X70+AB70</f>
        <v>1988.81628121887</v>
      </c>
      <c r="Z70" s="24" t="n">
        <f aca="false">Z69+Y70</f>
        <v>-3260.43457670298</v>
      </c>
      <c r="AA70" s="15" t="n">
        <f aca="false">MAX(0,C70-E70)</f>
        <v>8982.91519162784</v>
      </c>
      <c r="AB70" s="24" t="n">
        <f aca="false">IF($A70&gt;=Annahmen!$C$69,AA70*Annahmen!$C$70,0)</f>
        <v>898.291519162784</v>
      </c>
      <c r="AC70" s="15" t="n">
        <f aca="false">IF($A70&lt;Annahmen!$C$55,0,IF($A70=Annahmen!$C$55,Annahmen!$C$56,AC69*(1+Annahmen!$C$57*(1-C69/Annahmen!$C$58))))</f>
        <v>8989.14909138106</v>
      </c>
      <c r="AD70" s="15" t="n">
        <f aca="false">IF($A70&lt;Annahmen!$C$71,0,IF($A70&lt;Annahmen!$C$71+Annahmen!$B$73,Annahmen!$C$72,Annahmen!$C$72*Annahmen!$B$75))</f>
        <v>450</v>
      </c>
      <c r="AE70" s="7" t="n">
        <f aca="false">IF(Y70&gt;0,1,0)</f>
        <v>1</v>
      </c>
      <c r="AF70" s="7" t="n">
        <f aca="false">IF(Z70&gt;=0,1,0)</f>
        <v>0</v>
      </c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customFormat="false" ht="15" hidden="false" customHeight="false" outlineLevel="0" collapsed="false">
      <c r="A74" s="5" t="str">
        <f aca="false">"Szenario stark – "&amp;Annahmen!$D$142</f>
        <v>Szenario stark – skalierbares Business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2"/>
      <c r="AF74" s="2"/>
    </row>
    <row r="75" customFormat="false" ht="42" hidden="false" customHeight="true" outlineLevel="0" collapsed="false">
      <c r="A75" s="35" t="s">
        <v>99</v>
      </c>
      <c r="B75" s="35" t="s">
        <v>359</v>
      </c>
      <c r="C75" s="35" t="s">
        <v>360</v>
      </c>
      <c r="D75" s="35" t="s">
        <v>361</v>
      </c>
      <c r="E75" s="35" t="s">
        <v>362</v>
      </c>
      <c r="F75" s="35" t="s">
        <v>363</v>
      </c>
      <c r="G75" s="35" t="s">
        <v>364</v>
      </c>
      <c r="H75" s="35" t="s">
        <v>365</v>
      </c>
      <c r="I75" s="35" t="s">
        <v>366</v>
      </c>
      <c r="J75" s="35" t="s">
        <v>367</v>
      </c>
      <c r="K75" s="35" t="s">
        <v>368</v>
      </c>
      <c r="L75" s="35" t="s">
        <v>369</v>
      </c>
      <c r="M75" s="35" t="s">
        <v>370</v>
      </c>
      <c r="N75" s="35" t="s">
        <v>371</v>
      </c>
      <c r="O75" s="35" t="s">
        <v>372</v>
      </c>
      <c r="P75" s="35" t="s">
        <v>373</v>
      </c>
      <c r="Q75" s="35" t="s">
        <v>374</v>
      </c>
      <c r="R75" s="35" t="s">
        <v>375</v>
      </c>
      <c r="S75" s="35" t="s">
        <v>376</v>
      </c>
      <c r="T75" s="35" t="s">
        <v>377</v>
      </c>
      <c r="U75" s="35" t="s">
        <v>378</v>
      </c>
      <c r="V75" s="35" t="s">
        <v>379</v>
      </c>
      <c r="W75" s="35" t="s">
        <v>380</v>
      </c>
      <c r="X75" s="35" t="s">
        <v>381</v>
      </c>
      <c r="Y75" s="35" t="s">
        <v>382</v>
      </c>
      <c r="Z75" s="35" t="s">
        <v>383</v>
      </c>
      <c r="AA75" s="35" t="s">
        <v>384</v>
      </c>
      <c r="AB75" s="35" t="s">
        <v>385</v>
      </c>
      <c r="AC75" s="35" t="s">
        <v>386</v>
      </c>
      <c r="AD75" s="35" t="s">
        <v>387</v>
      </c>
      <c r="AE75" s="35" t="s">
        <v>388</v>
      </c>
      <c r="AF75" s="35" t="s">
        <v>389</v>
      </c>
    </row>
    <row r="76" customFormat="false" ht="15" hidden="false" customHeight="false" outlineLevel="0" collapsed="false">
      <c r="A76" s="7" t="n">
        <v>1</v>
      </c>
      <c r="B76" s="7" t="s">
        <v>390</v>
      </c>
      <c r="C76" s="15" t="n">
        <f aca="false">AC76+AD76</f>
        <v>0</v>
      </c>
      <c r="D76" s="17" t="n">
        <f aca="false">IF($A76&gt;Annahmen!$B$68,INDEX($AC$76:$AC$99,$A76-Annahmen!$B$68),0)*Annahmen!$D$59+IF($A76=Annahmen!$D$71+Annahmen!$B$73,Annahmen!$D$72*Annahmen!$D$74,0)</f>
        <v>0</v>
      </c>
      <c r="E76" s="17" t="n">
        <f aca="false">D76</f>
        <v>0</v>
      </c>
      <c r="F76" s="17" t="n">
        <f aca="false">E76*(1-Annahmen!$D$61)</f>
        <v>0</v>
      </c>
      <c r="G76" s="17" t="n">
        <f aca="false">E76*Annahmen!$D$61</f>
        <v>0</v>
      </c>
      <c r="H76" s="24" t="n">
        <f aca="false">F76*Annahmen!$D$87+G76*Annahmen!$D$88</f>
        <v>0</v>
      </c>
      <c r="I76" s="17" t="n">
        <f aca="false">IF($A76&gt;=Annahmen!$D$55,Annahmen!$D$64*(1-Annahmen!$D$65),0)</f>
        <v>0</v>
      </c>
      <c r="J76" s="17" t="n">
        <f aca="false">IF($A76&gt;=Annahmen!$D$55,Annahmen!$D$64*Annahmen!$D$65,0)</f>
        <v>0</v>
      </c>
      <c r="K76" s="24" t="n">
        <f aca="false">I76*Annahmen!$B$80+J76*Annahmen!$B$81</f>
        <v>0</v>
      </c>
      <c r="L76" s="17" t="n">
        <f aca="false">IF($A76&gt;=Annahmen!$D$55,Annahmen!$D$66,0)</f>
        <v>0</v>
      </c>
      <c r="M76" s="24" t="n">
        <f aca="false">L76*Annahmen!$B$82</f>
        <v>0</v>
      </c>
      <c r="N76" s="24" t="n">
        <f aca="false">H76+K76+M76</f>
        <v>0</v>
      </c>
      <c r="O76" s="24" t="n">
        <f aca="false">N76/(1+Annahmen!$B$9)</f>
        <v>0</v>
      </c>
      <c r="P76" s="24" t="n">
        <f aca="false">O76*(Annahmen!$D$63*Annahmen!$B$83+(1-Annahmen!$D$63)*Annahmen!$B$84)+(E76*Annahmen!$D$62+E76*(1-Annahmen!$D$62)/12+I76+J76+L76)*(1-Annahmen!$D$63)*Annahmen!$B$85</f>
        <v>0</v>
      </c>
      <c r="Q76" s="17" t="n">
        <f aca="false">Annahmen!$D$67</f>
        <v>12</v>
      </c>
      <c r="R76" s="24" t="n">
        <f aca="false">Q76*(Annahmen!$B$43+Annahmen!$B$154)</f>
        <v>778.451552687232</v>
      </c>
      <c r="S76" s="24" t="n">
        <f aca="false">I76*Annahmen!$B$44+(J76+L76)*Annahmen!$B$45</f>
        <v>0</v>
      </c>
      <c r="T76" s="24" t="n">
        <f aca="false">C76*Annahmen!$B$86</f>
        <v>0</v>
      </c>
      <c r="U76" s="24" t="n">
        <f aca="false">SUMPRODUCT((((Annahmen!$C$161:$C$174="monatlich")*(Annahmen!$D$161:$D$174&lt;=$A76))+((Annahmen!$C$161:$C$174="einmalig")*(Annahmen!$D$161:$D$174=$A76)))*Annahmen!$B$161:$B$174*Annahmen!$E$161:$E$174)</f>
        <v>3518.26773742402</v>
      </c>
      <c r="V76" s="24" t="n">
        <f aca="false">IF($A76&gt;=Annahmen!$D$55,Annahmen!$D$143,0)</f>
        <v>0</v>
      </c>
      <c r="W76" s="36" t="n">
        <f aca="false">MAX(0,(E76-Annahmen!$B$147)/Annahmen!$B$148)</f>
        <v>0</v>
      </c>
      <c r="X76" s="24" t="n">
        <f aca="false">W76*Annahmen!$B$146</f>
        <v>0</v>
      </c>
      <c r="Y76" s="24" t="n">
        <f aca="false">O76-P76-R76-S76-T76-U76-V76-X76+AB76</f>
        <v>-4296.71929011125</v>
      </c>
      <c r="Z76" s="24" t="n">
        <f aca="false">Y76</f>
        <v>-4296.71929011125</v>
      </c>
      <c r="AA76" s="15" t="n">
        <f aca="false">MAX(0,C76-E76)</f>
        <v>0</v>
      </c>
      <c r="AB76" s="24" t="n">
        <f aca="false">IF($A76&gt;=Annahmen!$D$69,AA76*Annahmen!$D$70,0)</f>
        <v>0</v>
      </c>
      <c r="AC76" s="15" t="n">
        <f aca="false">IF($A76&lt;Annahmen!$D$55,0,Annahmen!$D$56)</f>
        <v>0</v>
      </c>
      <c r="AD76" s="15" t="n">
        <f aca="false">IF($A76&lt;Annahmen!$D$71,0,IF($A76&lt;Annahmen!$D$71+Annahmen!$B$73,Annahmen!$D$72,Annahmen!$D$72*Annahmen!$B$75))</f>
        <v>0</v>
      </c>
      <c r="AE76" s="7" t="n">
        <f aca="false">IF(Y76&gt;0,1,0)</f>
        <v>0</v>
      </c>
      <c r="AF76" s="7" t="n">
        <f aca="false">IF(Z76&gt;=0,1,0)</f>
        <v>0</v>
      </c>
    </row>
    <row r="77" customFormat="false" ht="15" hidden="false" customHeight="false" outlineLevel="0" collapsed="false">
      <c r="A77" s="7" t="n">
        <v>2</v>
      </c>
      <c r="B77" s="7" t="s">
        <v>391</v>
      </c>
      <c r="C77" s="15" t="n">
        <f aca="false">AC77+AD77</f>
        <v>1000</v>
      </c>
      <c r="D77" s="17" t="n">
        <f aca="false">IF($A77&gt;Annahmen!$B$68,INDEX($AC$76:$AC$99,$A77-Annahmen!$B$68),0)*Annahmen!$D$59+IF($A77=Annahmen!$D$71+Annahmen!$B$73,Annahmen!$D$72*Annahmen!$D$74,0)</f>
        <v>0</v>
      </c>
      <c r="E77" s="17" t="n">
        <f aca="false">E76*(1-Annahmen!$D$60)+D77</f>
        <v>0</v>
      </c>
      <c r="F77" s="17" t="n">
        <f aca="false">E77*(1-Annahmen!$D$61)</f>
        <v>0</v>
      </c>
      <c r="G77" s="17" t="n">
        <f aca="false">E77*Annahmen!$D$61</f>
        <v>0</v>
      </c>
      <c r="H77" s="24" t="n">
        <f aca="false">F77*Annahmen!$D$87+G77*Annahmen!$D$88</f>
        <v>0</v>
      </c>
      <c r="I77" s="17" t="n">
        <f aca="false">IF($A77&gt;=Annahmen!$D$55,Annahmen!$D$64*(1-Annahmen!$D$65),0)</f>
        <v>2.5</v>
      </c>
      <c r="J77" s="17" t="n">
        <f aca="false">IF($A77&gt;=Annahmen!$D$55,Annahmen!$D$64*Annahmen!$D$65,0)</f>
        <v>2.5</v>
      </c>
      <c r="K77" s="24" t="n">
        <f aca="false">I77*Annahmen!$B$80+J77*Annahmen!$B$81</f>
        <v>337.45</v>
      </c>
      <c r="L77" s="17" t="n">
        <f aca="false">IF($A77&gt;=Annahmen!$D$55,Annahmen!$D$66,0)</f>
        <v>1</v>
      </c>
      <c r="M77" s="24" t="n">
        <f aca="false">L77*Annahmen!$B$82</f>
        <v>149</v>
      </c>
      <c r="N77" s="24" t="n">
        <f aca="false">H77+K77+M77</f>
        <v>486.45</v>
      </c>
      <c r="O77" s="24" t="n">
        <f aca="false">N77/(1+Annahmen!$B$9)</f>
        <v>408.781512605042</v>
      </c>
      <c r="P77" s="24" t="n">
        <f aca="false">O77*(Annahmen!$D$63*Annahmen!$B$83+(1-Annahmen!$D$63)*Annahmen!$B$84)+(E77*Annahmen!$D$62+E77*(1-Annahmen!$D$62)/12+I77+J77+L77)*(1-Annahmen!$D$63)*Annahmen!$B$85</f>
        <v>29.1059243697479</v>
      </c>
      <c r="Q77" s="17" t="n">
        <f aca="false">Annahmen!$D$67</f>
        <v>12</v>
      </c>
      <c r="R77" s="24" t="n">
        <f aca="false">Q77*(Annahmen!$B$43+Annahmen!$B$154)</f>
        <v>778.451552687232</v>
      </c>
      <c r="S77" s="24" t="n">
        <f aca="false">I77*Annahmen!$B$44+(J77+L77)*Annahmen!$B$45</f>
        <v>190.53822791269</v>
      </c>
      <c r="T77" s="24" t="n">
        <f aca="false">C77*Annahmen!$B$86</f>
        <v>10</v>
      </c>
      <c r="U77" s="24" t="n">
        <f aca="false">SUMPRODUCT((((Annahmen!$C$161:$C$174="monatlich")*(Annahmen!$D$161:$D$174&lt;=$A77))+((Annahmen!$C$161:$C$174="einmalig")*(Annahmen!$D$161:$D$174=$A77)))*Annahmen!$B$161:$B$174*Annahmen!$E$161:$E$174)</f>
        <v>92.3204681497364</v>
      </c>
      <c r="V77" s="24" t="n">
        <f aca="false">IF($A77&gt;=Annahmen!$D$55,Annahmen!$D$143,0)</f>
        <v>2000</v>
      </c>
      <c r="W77" s="36" t="n">
        <f aca="false">MAX(0,(E77-Annahmen!$B$147)/Annahmen!$B$148)</f>
        <v>0</v>
      </c>
      <c r="X77" s="24" t="n">
        <f aca="false">W77*Annahmen!$B$146</f>
        <v>0</v>
      </c>
      <c r="Y77" s="24" t="n">
        <f aca="false">O77-P77-R77-S77-T77-U77-V77-X77+AB77</f>
        <v>-2691.63466051436</v>
      </c>
      <c r="Z77" s="24" t="n">
        <f aca="false">Z76+Y77</f>
        <v>-6988.35395062562</v>
      </c>
      <c r="AA77" s="15" t="n">
        <f aca="false">MAX(0,C77-E77)</f>
        <v>1000</v>
      </c>
      <c r="AB77" s="24" t="n">
        <f aca="false">IF($A77&gt;=Annahmen!$D$69,AA77*Annahmen!$D$70,0)</f>
        <v>0</v>
      </c>
      <c r="AC77" s="15" t="n">
        <f aca="false">IF($A77&lt;Annahmen!$D$55,0,IF($A77=Annahmen!$D$55,Annahmen!$D$56,AC76*(1+Annahmen!$D$57*(1-C76/Annahmen!$D$58))))</f>
        <v>1000</v>
      </c>
      <c r="AD77" s="15" t="n">
        <f aca="false">IF($A77&lt;Annahmen!$D$71,0,IF($A77&lt;Annahmen!$D$71+Annahmen!$B$73,Annahmen!$D$72,Annahmen!$D$72*Annahmen!$B$75))</f>
        <v>0</v>
      </c>
      <c r="AE77" s="7" t="n">
        <f aca="false">IF(Y77&gt;0,1,0)</f>
        <v>0</v>
      </c>
      <c r="AF77" s="7" t="n">
        <f aca="false">IF(Z77&gt;=0,1,0)</f>
        <v>0</v>
      </c>
    </row>
    <row r="78" customFormat="false" ht="15" hidden="false" customHeight="false" outlineLevel="0" collapsed="false">
      <c r="A78" s="7" t="n">
        <v>3</v>
      </c>
      <c r="B78" s="7" t="s">
        <v>392</v>
      </c>
      <c r="C78" s="15" t="n">
        <f aca="false">AC78+AD78</f>
        <v>6219.56</v>
      </c>
      <c r="D78" s="17" t="n">
        <f aca="false">IF($A78&gt;Annahmen!$B$68,INDEX($AC$76:$AC$99,$A78-Annahmen!$B$68),0)*Annahmen!$D$59+IF($A78=Annahmen!$D$71+Annahmen!$B$73,Annahmen!$D$72*Annahmen!$D$74,0)</f>
        <v>15</v>
      </c>
      <c r="E78" s="17" t="n">
        <f aca="false">E77*(1-Annahmen!$D$60)+D78</f>
        <v>15</v>
      </c>
      <c r="F78" s="17" t="n">
        <f aca="false">E78*(1-Annahmen!$D$61)</f>
        <v>7.5</v>
      </c>
      <c r="G78" s="17" t="n">
        <f aca="false">E78*Annahmen!$D$61</f>
        <v>7.5</v>
      </c>
      <c r="H78" s="24" t="n">
        <f aca="false">F78*Annahmen!$D$87+G78*Annahmen!$D$88</f>
        <v>96.16875</v>
      </c>
      <c r="I78" s="17" t="n">
        <f aca="false">IF($A78&gt;=Annahmen!$D$55,Annahmen!$D$64*(1-Annahmen!$D$65),0)</f>
        <v>2.5</v>
      </c>
      <c r="J78" s="17" t="n">
        <f aca="false">IF($A78&gt;=Annahmen!$D$55,Annahmen!$D$64*Annahmen!$D$65,0)</f>
        <v>2.5</v>
      </c>
      <c r="K78" s="24" t="n">
        <f aca="false">I78*Annahmen!$B$80+J78*Annahmen!$B$81</f>
        <v>337.45</v>
      </c>
      <c r="L78" s="17" t="n">
        <f aca="false">IF($A78&gt;=Annahmen!$D$55,Annahmen!$D$66,0)</f>
        <v>1</v>
      </c>
      <c r="M78" s="24" t="n">
        <f aca="false">L78*Annahmen!$B$82</f>
        <v>149</v>
      </c>
      <c r="N78" s="24" t="n">
        <f aca="false">H78+K78+M78</f>
        <v>582.61875</v>
      </c>
      <c r="O78" s="24" t="n">
        <f aca="false">N78/(1+Annahmen!$B$9)</f>
        <v>489.595588235294</v>
      </c>
      <c r="P78" s="24" t="n">
        <f aca="false">O78*(Annahmen!$D$63*Annahmen!$B$83+(1-Annahmen!$D$63)*Annahmen!$B$84)+(E78*Annahmen!$D$62+E78*(1-Annahmen!$D$62)/12+I78+J78+L78)*(1-Annahmen!$D$63)*Annahmen!$B$85</f>
        <v>35.9008455882353</v>
      </c>
      <c r="Q78" s="17" t="n">
        <f aca="false">Annahmen!$D$67</f>
        <v>12</v>
      </c>
      <c r="R78" s="24" t="n">
        <f aca="false">Q78*(Annahmen!$B$43+Annahmen!$B$154)</f>
        <v>778.451552687232</v>
      </c>
      <c r="S78" s="24" t="n">
        <f aca="false">I78*Annahmen!$B$44+(J78+L78)*Annahmen!$B$45</f>
        <v>190.53822791269</v>
      </c>
      <c r="T78" s="24" t="n">
        <f aca="false">C78*Annahmen!$B$86</f>
        <v>62.1956</v>
      </c>
      <c r="U78" s="24" t="n">
        <f aca="false">SUMPRODUCT((((Annahmen!$C$161:$C$174="monatlich")*(Annahmen!$D$161:$D$174&lt;=$A78))+((Annahmen!$C$161:$C$174="einmalig")*(Annahmen!$D$161:$D$174=$A78)))*Annahmen!$B$161:$B$174*Annahmen!$E$161:$E$174)</f>
        <v>69.9850799606897</v>
      </c>
      <c r="V78" s="24" t="n">
        <f aca="false">IF($A78&gt;=Annahmen!$D$55,Annahmen!$D$143,0)</f>
        <v>2000</v>
      </c>
      <c r="W78" s="36" t="n">
        <f aca="false">MAX(0,(E78-Annahmen!$B$147)/Annahmen!$B$148)</f>
        <v>0</v>
      </c>
      <c r="X78" s="24" t="n">
        <f aca="false">W78*Annahmen!$B$146</f>
        <v>0</v>
      </c>
      <c r="Y78" s="24" t="n">
        <f aca="false">O78-P78-R78-S78-T78-U78-V78-X78+AB78</f>
        <v>-2647.47571791355</v>
      </c>
      <c r="Z78" s="24" t="n">
        <f aca="false">Z77+Y78</f>
        <v>-9635.82966853917</v>
      </c>
      <c r="AA78" s="15" t="n">
        <f aca="false">MAX(0,C78-E78)</f>
        <v>6204.56</v>
      </c>
      <c r="AB78" s="24" t="n">
        <f aca="false">IF($A78&gt;=Annahmen!$D$69,AA78*Annahmen!$D$70,0)</f>
        <v>0</v>
      </c>
      <c r="AC78" s="15" t="n">
        <f aca="false">IF($A78&lt;Annahmen!$D$55,0,IF($A78=Annahmen!$D$55,Annahmen!$D$56,AC77*(1+Annahmen!$D$57*(1-C77/Annahmen!$D$58))))</f>
        <v>1219.56</v>
      </c>
      <c r="AD78" s="15" t="n">
        <f aca="false">IF($A78&lt;Annahmen!$D$71,0,IF($A78&lt;Annahmen!$D$71+Annahmen!$B$73,Annahmen!$D$72,Annahmen!$D$72*Annahmen!$B$75))</f>
        <v>5000</v>
      </c>
      <c r="AE78" s="7" t="n">
        <f aca="false">IF(Y78&gt;0,1,0)</f>
        <v>0</v>
      </c>
      <c r="AF78" s="7" t="n">
        <f aca="false">IF(Z78&gt;=0,1,0)</f>
        <v>0</v>
      </c>
    </row>
    <row r="79" customFormat="false" ht="15" hidden="false" customHeight="false" outlineLevel="0" collapsed="false">
      <c r="A79" s="7" t="n">
        <v>4</v>
      </c>
      <c r="B79" s="7" t="s">
        <v>393</v>
      </c>
      <c r="C79" s="15" t="n">
        <f aca="false">AC79+AD79</f>
        <v>6484.52574429882</v>
      </c>
      <c r="D79" s="17" t="n">
        <f aca="false">IF($A79&gt;Annahmen!$B$68,INDEX($AC$76:$AC$99,$A79-Annahmen!$B$68),0)*Annahmen!$D$59+IF($A79=Annahmen!$D$71+Annahmen!$B$73,Annahmen!$D$72*Annahmen!$D$74,0)</f>
        <v>18.2934</v>
      </c>
      <c r="E79" s="17" t="n">
        <f aca="false">E78*(1-Annahmen!$D$60)+D79</f>
        <v>32.6934</v>
      </c>
      <c r="F79" s="17" t="n">
        <f aca="false">E79*(1-Annahmen!$D$61)</f>
        <v>16.3467</v>
      </c>
      <c r="G79" s="17" t="n">
        <f aca="false">E79*Annahmen!$D$61</f>
        <v>16.3467</v>
      </c>
      <c r="H79" s="24" t="n">
        <f aca="false">F79*Annahmen!$D$87+G79*Annahmen!$D$88</f>
        <v>209.60556075</v>
      </c>
      <c r="I79" s="17" t="n">
        <f aca="false">IF($A79&gt;=Annahmen!$D$55,Annahmen!$D$64*(1-Annahmen!$D$65),0)</f>
        <v>2.5</v>
      </c>
      <c r="J79" s="17" t="n">
        <f aca="false">IF($A79&gt;=Annahmen!$D$55,Annahmen!$D$64*Annahmen!$D$65,0)</f>
        <v>2.5</v>
      </c>
      <c r="K79" s="24" t="n">
        <f aca="false">I79*Annahmen!$B$80+J79*Annahmen!$B$81</f>
        <v>337.45</v>
      </c>
      <c r="L79" s="17" t="n">
        <f aca="false">IF($A79&gt;=Annahmen!$D$55,Annahmen!$D$66,0)</f>
        <v>1</v>
      </c>
      <c r="M79" s="24" t="n">
        <f aca="false">L79*Annahmen!$B$82</f>
        <v>149</v>
      </c>
      <c r="N79" s="24" t="n">
        <f aca="false">H79+K79+M79</f>
        <v>696.05556075</v>
      </c>
      <c r="O79" s="24" t="n">
        <f aca="false">N79/(1+Annahmen!$B$9)</f>
        <v>584.920639285714</v>
      </c>
      <c r="P79" s="24" t="n">
        <f aca="false">O79*(Annahmen!$D$63*Annahmen!$B$83+(1-Annahmen!$D$63)*Annahmen!$B$84)+(E79*Annahmen!$D$62+E79*(1-Annahmen!$D$62)/12+I79+J79+L79)*(1-Annahmen!$D$63)*Annahmen!$B$85</f>
        <v>43.9158628607143</v>
      </c>
      <c r="Q79" s="17" t="n">
        <f aca="false">Annahmen!$D$67</f>
        <v>12</v>
      </c>
      <c r="R79" s="24" t="n">
        <f aca="false">Q79*(Annahmen!$B$43+Annahmen!$B$154)</f>
        <v>778.451552687232</v>
      </c>
      <c r="S79" s="24" t="n">
        <f aca="false">I79*Annahmen!$B$44+(J79+L79)*Annahmen!$B$45</f>
        <v>190.53822791269</v>
      </c>
      <c r="T79" s="24" t="n">
        <f aca="false">C79*Annahmen!$B$86</f>
        <v>64.8452574429882</v>
      </c>
      <c r="U79" s="24" t="n">
        <f aca="false">SUMPRODUCT((((Annahmen!$C$161:$C$174="monatlich")*(Annahmen!$D$161:$D$174&lt;=$A79))+((Annahmen!$C$161:$C$174="einmalig")*(Annahmen!$D$161:$D$174=$A79)))*Annahmen!$B$161:$B$174*Annahmen!$E$161:$E$174)</f>
        <v>69.9850799606897</v>
      </c>
      <c r="V79" s="24" t="n">
        <f aca="false">IF($A79&gt;=Annahmen!$D$55,Annahmen!$D$143,0)</f>
        <v>2000</v>
      </c>
      <c r="W79" s="36" t="n">
        <f aca="false">MAX(0,(E79-Annahmen!$B$147)/Annahmen!$B$148)</f>
        <v>0</v>
      </c>
      <c r="X79" s="24" t="n">
        <f aca="false">W79*Annahmen!$B$146</f>
        <v>0</v>
      </c>
      <c r="Y79" s="24" t="n">
        <f aca="false">O79-P79-R79-S79-T79-U79-V79-X79+AB79</f>
        <v>-2562.8153415786</v>
      </c>
      <c r="Z79" s="24" t="n">
        <f aca="false">Z78+Y79</f>
        <v>-12198.6450101178</v>
      </c>
      <c r="AA79" s="15" t="n">
        <f aca="false">MAX(0,C79-E79)</f>
        <v>6451.83234429882</v>
      </c>
      <c r="AB79" s="24" t="n">
        <f aca="false">IF($A79&gt;=Annahmen!$D$69,AA79*Annahmen!$D$70,0)</f>
        <v>0</v>
      </c>
      <c r="AC79" s="15" t="n">
        <f aca="false">IF($A79&lt;Annahmen!$D$55,0,IF($A79=Annahmen!$D$55,Annahmen!$D$56,AC78*(1+Annahmen!$D$57*(1-C78/Annahmen!$D$58))))</f>
        <v>1484.52574429882</v>
      </c>
      <c r="AD79" s="15" t="n">
        <f aca="false">IF($A79&lt;Annahmen!$D$71,0,IF($A79&lt;Annahmen!$D$71+Annahmen!$B$73,Annahmen!$D$72,Annahmen!$D$72*Annahmen!$B$75))</f>
        <v>5000</v>
      </c>
      <c r="AE79" s="7" t="n">
        <f aca="false">IF(Y79&gt;0,1,0)</f>
        <v>0</v>
      </c>
      <c r="AF79" s="7" t="n">
        <f aca="false">IF(Z79&gt;=0,1,0)</f>
        <v>0</v>
      </c>
    </row>
    <row r="80" customFormat="false" ht="15" hidden="false" customHeight="false" outlineLevel="0" collapsed="false">
      <c r="A80" s="7" t="n">
        <v>5</v>
      </c>
      <c r="B80" s="7" t="s">
        <v>394</v>
      </c>
      <c r="C80" s="15" t="n">
        <f aca="false">AC80+AD80</f>
        <v>6806.88577206548</v>
      </c>
      <c r="D80" s="17" t="n">
        <f aca="false">IF($A80&gt;Annahmen!$B$68,INDEX($AC$76:$AC$99,$A80-Annahmen!$B$68),0)*Annahmen!$D$59+IF($A80=Annahmen!$D$71+Annahmen!$B$73,Annahmen!$D$72*Annahmen!$D$74,0)</f>
        <v>22.2678861644822</v>
      </c>
      <c r="E80" s="17" t="n">
        <f aca="false">E79*(1-Annahmen!$D$60)+D80</f>
        <v>53.6535501644822</v>
      </c>
      <c r="F80" s="17" t="n">
        <f aca="false">E80*(1-Annahmen!$D$61)</f>
        <v>26.8267750822411</v>
      </c>
      <c r="G80" s="17" t="n">
        <f aca="false">E80*Annahmen!$D$61</f>
        <v>26.8267750822411</v>
      </c>
      <c r="H80" s="24" t="n">
        <f aca="false">F80*Annahmen!$D$87+G80*Annahmen!$D$88</f>
        <v>343.986323492037</v>
      </c>
      <c r="I80" s="17" t="n">
        <f aca="false">IF($A80&gt;=Annahmen!$D$55,Annahmen!$D$64*(1-Annahmen!$D$65),0)</f>
        <v>2.5</v>
      </c>
      <c r="J80" s="17" t="n">
        <f aca="false">IF($A80&gt;=Annahmen!$D$55,Annahmen!$D$64*Annahmen!$D$65,0)</f>
        <v>2.5</v>
      </c>
      <c r="K80" s="24" t="n">
        <f aca="false">I80*Annahmen!$B$80+J80*Annahmen!$B$81</f>
        <v>337.45</v>
      </c>
      <c r="L80" s="17" t="n">
        <f aca="false">IF($A80&gt;=Annahmen!$D$55,Annahmen!$D$66,0)</f>
        <v>1</v>
      </c>
      <c r="M80" s="24" t="n">
        <f aca="false">L80*Annahmen!$B$82</f>
        <v>149</v>
      </c>
      <c r="N80" s="24" t="n">
        <f aca="false">H80+K80+M80</f>
        <v>830.436323492037</v>
      </c>
      <c r="O80" s="24" t="n">
        <f aca="false">N80/(1+Annahmen!$B$9)</f>
        <v>697.845649993308</v>
      </c>
      <c r="P80" s="24" t="n">
        <f aca="false">O80*(Annahmen!$D$63*Annahmen!$B$83+(1-Annahmen!$D$63)*Annahmen!$B$84)+(E80*Annahmen!$D$62+E80*(1-Annahmen!$D$62)/12+I80+J80+L80)*(1-Annahmen!$D$63)*Annahmen!$B$85</f>
        <v>53.4107008004024</v>
      </c>
      <c r="Q80" s="17" t="n">
        <f aca="false">Annahmen!$D$67</f>
        <v>12</v>
      </c>
      <c r="R80" s="24" t="n">
        <f aca="false">Q80*(Annahmen!$B$43+Annahmen!$B$154)</f>
        <v>778.451552687232</v>
      </c>
      <c r="S80" s="24" t="n">
        <f aca="false">I80*Annahmen!$B$44+(J80+L80)*Annahmen!$B$45</f>
        <v>190.53822791269</v>
      </c>
      <c r="T80" s="24" t="n">
        <f aca="false">C80*Annahmen!$B$86</f>
        <v>68.0688577206549</v>
      </c>
      <c r="U80" s="24" t="n">
        <f aca="false">SUMPRODUCT((((Annahmen!$C$161:$C$174="monatlich")*(Annahmen!$D$161:$D$174&lt;=$A80))+((Annahmen!$C$161:$C$174="einmalig")*(Annahmen!$D$161:$D$174=$A80)))*Annahmen!$B$161:$B$174*Annahmen!$E$161:$E$174)</f>
        <v>309.98507996069</v>
      </c>
      <c r="V80" s="24" t="n">
        <f aca="false">IF($A80&gt;=Annahmen!$D$55,Annahmen!$D$143,0)</f>
        <v>2000</v>
      </c>
      <c r="W80" s="36" t="n">
        <f aca="false">MAX(0,(E80-Annahmen!$B$147)/Annahmen!$B$148)</f>
        <v>0</v>
      </c>
      <c r="X80" s="24" t="n">
        <f aca="false">W80*Annahmen!$B$146</f>
        <v>0</v>
      </c>
      <c r="Y80" s="24" t="n">
        <f aca="false">O80-P80-R80-S80-T80-U80-V80-X80+AB80</f>
        <v>-2702.60876908836</v>
      </c>
      <c r="Z80" s="24" t="n">
        <f aca="false">Z79+Y80</f>
        <v>-14901.2537792061</v>
      </c>
      <c r="AA80" s="15" t="n">
        <f aca="false">MAX(0,C80-E80)</f>
        <v>6753.232221901</v>
      </c>
      <c r="AB80" s="24" t="n">
        <f aca="false">IF($A80&gt;=Annahmen!$D$69,AA80*Annahmen!$D$70,0)</f>
        <v>0</v>
      </c>
      <c r="AC80" s="15" t="n">
        <f aca="false">IF($A80&lt;Annahmen!$D$55,0,IF($A80=Annahmen!$D$55,Annahmen!$D$56,AC79*(1+Annahmen!$D$57*(1-C79/Annahmen!$D$58))))</f>
        <v>1806.88577206548</v>
      </c>
      <c r="AD80" s="15" t="n">
        <f aca="false">IF($A80&lt;Annahmen!$D$71,0,IF($A80&lt;Annahmen!$D$71+Annahmen!$B$73,Annahmen!$D$72,Annahmen!$D$72*Annahmen!$B$75))</f>
        <v>5000</v>
      </c>
      <c r="AE80" s="7" t="n">
        <f aca="false">IF(Y80&gt;0,1,0)</f>
        <v>0</v>
      </c>
      <c r="AF80" s="7" t="n">
        <f aca="false">IF(Z80&gt;=0,1,0)</f>
        <v>0</v>
      </c>
    </row>
    <row r="81" customFormat="false" ht="15" hidden="false" customHeight="false" outlineLevel="0" collapsed="false">
      <c r="A81" s="7" t="n">
        <v>6</v>
      </c>
      <c r="B81" s="7" t="s">
        <v>395</v>
      </c>
      <c r="C81" s="15" t="n">
        <f aca="false">AC81+AD81</f>
        <v>3698.9889652963</v>
      </c>
      <c r="D81" s="17" t="n">
        <f aca="false">IF($A81&gt;Annahmen!$B$68,INDEX($AC$76:$AC$99,$A81-Annahmen!$B$68),0)*Annahmen!$D$59+IF($A81=Annahmen!$D$71+Annahmen!$B$73,Annahmen!$D$72*Annahmen!$D$74,0)</f>
        <v>427.103286580982</v>
      </c>
      <c r="E81" s="17" t="n">
        <f aca="false">E80*(1-Annahmen!$D$60)+D81</f>
        <v>478.610694738885</v>
      </c>
      <c r="F81" s="17" t="n">
        <f aca="false">E81*(1-Annahmen!$D$61)</f>
        <v>239.305347369443</v>
      </c>
      <c r="G81" s="17" t="n">
        <f aca="false">E81*Annahmen!$D$61</f>
        <v>239.305347369443</v>
      </c>
      <c r="H81" s="24" t="n">
        <f aca="false">F81*Annahmen!$D$87+G81*Annahmen!$D$88</f>
        <v>3068.49281664468</v>
      </c>
      <c r="I81" s="17" t="n">
        <f aca="false">IF($A81&gt;=Annahmen!$D$55,Annahmen!$D$64*(1-Annahmen!$D$65),0)</f>
        <v>2.5</v>
      </c>
      <c r="J81" s="17" t="n">
        <f aca="false">IF($A81&gt;=Annahmen!$D$55,Annahmen!$D$64*Annahmen!$D$65,0)</f>
        <v>2.5</v>
      </c>
      <c r="K81" s="24" t="n">
        <f aca="false">I81*Annahmen!$B$80+J81*Annahmen!$B$81</f>
        <v>337.45</v>
      </c>
      <c r="L81" s="17" t="n">
        <f aca="false">IF($A81&gt;=Annahmen!$D$55,Annahmen!$D$66,0)</f>
        <v>1</v>
      </c>
      <c r="M81" s="24" t="n">
        <f aca="false">L81*Annahmen!$B$82</f>
        <v>149</v>
      </c>
      <c r="N81" s="24" t="n">
        <f aca="false">H81+K81+M81</f>
        <v>3554.94281664468</v>
      </c>
      <c r="O81" s="24" t="n">
        <f aca="false">N81/(1+Annahmen!$B$9)</f>
        <v>2987.34690474343</v>
      </c>
      <c r="P81" s="24" t="n">
        <f aca="false">O81*(Annahmen!$D$63*Annahmen!$B$83+(1-Annahmen!$D$63)*Annahmen!$B$84)+(E81*Annahmen!$D$62+E81*(1-Annahmen!$D$62)/12+I81+J81+L81)*(1-Annahmen!$D$63)*Annahmen!$B$85</f>
        <v>245.914055374831</v>
      </c>
      <c r="Q81" s="17" t="n">
        <f aca="false">Annahmen!$D$67</f>
        <v>12</v>
      </c>
      <c r="R81" s="24" t="n">
        <f aca="false">Q81*(Annahmen!$B$43+Annahmen!$B$154)</f>
        <v>778.451552687232</v>
      </c>
      <c r="S81" s="24" t="n">
        <f aca="false">I81*Annahmen!$B$44+(J81+L81)*Annahmen!$B$45</f>
        <v>190.53822791269</v>
      </c>
      <c r="T81" s="24" t="n">
        <f aca="false">C81*Annahmen!$B$86</f>
        <v>36.989889652963</v>
      </c>
      <c r="U81" s="24" t="n">
        <f aca="false">SUMPRODUCT((((Annahmen!$C$161:$C$174="monatlich")*(Annahmen!$D$161:$D$174&lt;=$A81))+((Annahmen!$C$161:$C$174="einmalig")*(Annahmen!$D$161:$D$174=$A81)))*Annahmen!$B$161:$B$174*Annahmen!$E$161:$E$174)</f>
        <v>69.9850799606897</v>
      </c>
      <c r="V81" s="24" t="n">
        <f aca="false">IF($A81&gt;=Annahmen!$D$55,Annahmen!$D$143,0)</f>
        <v>2000</v>
      </c>
      <c r="W81" s="36" t="n">
        <f aca="false">MAX(0,(E81-Annahmen!$B$147)/Annahmen!$B$148)</f>
        <v>0</v>
      </c>
      <c r="X81" s="24" t="n">
        <f aca="false">W81*Annahmen!$B$146</f>
        <v>0</v>
      </c>
      <c r="Y81" s="24" t="n">
        <f aca="false">O81-P81-R81-S81-T81-U81-V81-X81+AB81</f>
        <v>-334.531900844979</v>
      </c>
      <c r="Z81" s="24" t="n">
        <f aca="false">Z80+Y81</f>
        <v>-15235.7856800511</v>
      </c>
      <c r="AA81" s="15" t="n">
        <f aca="false">MAX(0,C81-E81)</f>
        <v>3220.37827055741</v>
      </c>
      <c r="AB81" s="24" t="n">
        <f aca="false">IF($A81&gt;=Annahmen!$D$69,AA81*Annahmen!$D$70,0)</f>
        <v>0</v>
      </c>
      <c r="AC81" s="15" t="n">
        <f aca="false">IF($A81&lt;Annahmen!$D$55,0,IF($A81=Annahmen!$D$55,Annahmen!$D$56,AC80*(1+Annahmen!$D$57*(1-C80/Annahmen!$D$58))))</f>
        <v>2198.9889652963</v>
      </c>
      <c r="AD81" s="15" t="n">
        <f aca="false">IF($A81&lt;Annahmen!$D$71,0,IF($A81&lt;Annahmen!$D$71+Annahmen!$B$73,Annahmen!$D$72,Annahmen!$D$72*Annahmen!$B$75))</f>
        <v>1500</v>
      </c>
      <c r="AE81" s="7" t="n">
        <f aca="false">IF(Y81&gt;0,1,0)</f>
        <v>0</v>
      </c>
      <c r="AF81" s="7" t="n">
        <f aca="false">IF(Z81&gt;=0,1,0)</f>
        <v>0</v>
      </c>
    </row>
    <row r="82" customFormat="false" ht="15" hidden="false" customHeight="false" outlineLevel="0" collapsed="false">
      <c r="A82" s="7" t="n">
        <v>7</v>
      </c>
      <c r="B82" s="7" t="s">
        <v>396</v>
      </c>
      <c r="C82" s="15" t="n">
        <f aca="false">AC82+AD82</f>
        <v>4179.18756185781</v>
      </c>
      <c r="D82" s="17" t="n">
        <f aca="false">IF($A82&gt;Annahmen!$B$68,INDEX($AC$76:$AC$99,$A82-Annahmen!$B$68),0)*Annahmen!$D$59+IF($A82=Annahmen!$D$71+Annahmen!$B$73,Annahmen!$D$72*Annahmen!$D$74,0)</f>
        <v>32.9848344794445</v>
      </c>
      <c r="E82" s="17" t="n">
        <f aca="false">E81*(1-Annahmen!$D$60)+D82</f>
        <v>492.451101428774</v>
      </c>
      <c r="F82" s="17" t="n">
        <f aca="false">E82*(1-Annahmen!$D$61)</f>
        <v>246.225550714387</v>
      </c>
      <c r="G82" s="17" t="n">
        <f aca="false">E82*Annahmen!$D$61</f>
        <v>246.225550714387</v>
      </c>
      <c r="H82" s="24" t="n">
        <f aca="false">F82*Annahmen!$D$87+G82*Annahmen!$D$88</f>
        <v>3157.22712403523</v>
      </c>
      <c r="I82" s="17" t="n">
        <f aca="false">IF($A82&gt;=Annahmen!$D$55,Annahmen!$D$64*(1-Annahmen!$D$65),0)</f>
        <v>2.5</v>
      </c>
      <c r="J82" s="17" t="n">
        <f aca="false">IF($A82&gt;=Annahmen!$D$55,Annahmen!$D$64*Annahmen!$D$65,0)</f>
        <v>2.5</v>
      </c>
      <c r="K82" s="24" t="n">
        <f aca="false">I82*Annahmen!$B$80+J82*Annahmen!$B$81</f>
        <v>337.45</v>
      </c>
      <c r="L82" s="17" t="n">
        <f aca="false">IF($A82&gt;=Annahmen!$D$55,Annahmen!$D$66,0)</f>
        <v>1</v>
      </c>
      <c r="M82" s="24" t="n">
        <f aca="false">L82*Annahmen!$B$82</f>
        <v>149</v>
      </c>
      <c r="N82" s="24" t="n">
        <f aca="false">H82+K82+M82</f>
        <v>3643.67712403523</v>
      </c>
      <c r="O82" s="24" t="n">
        <f aca="false">N82/(1+Annahmen!$B$9)</f>
        <v>3061.91354960944</v>
      </c>
      <c r="P82" s="24" t="n">
        <f aca="false">O82*(Annahmen!$D$63*Annahmen!$B$83+(1-Annahmen!$D$63)*Annahmen!$B$84)+(E82*Annahmen!$D$62+E82*(1-Annahmen!$D$62)/12+I82+J82+L82)*(1-Annahmen!$D$63)*Annahmen!$B$85</f>
        <v>252.183686914139</v>
      </c>
      <c r="Q82" s="17" t="n">
        <f aca="false">Annahmen!$D$67</f>
        <v>12</v>
      </c>
      <c r="R82" s="24" t="n">
        <f aca="false">Q82*(Annahmen!$B$43+Annahmen!$B$154)</f>
        <v>778.451552687232</v>
      </c>
      <c r="S82" s="24" t="n">
        <f aca="false">I82*Annahmen!$B$44+(J82+L82)*Annahmen!$B$45</f>
        <v>190.53822791269</v>
      </c>
      <c r="T82" s="24" t="n">
        <f aca="false">C82*Annahmen!$B$86</f>
        <v>41.7918756185781</v>
      </c>
      <c r="U82" s="24" t="n">
        <f aca="false">SUMPRODUCT((((Annahmen!$C$161:$C$174="monatlich")*(Annahmen!$D$161:$D$174&lt;=$A82))+((Annahmen!$C$161:$C$174="einmalig")*(Annahmen!$D$161:$D$174=$A82)))*Annahmen!$B$161:$B$174*Annahmen!$E$161:$E$174)</f>
        <v>69.9850799606897</v>
      </c>
      <c r="V82" s="24" t="n">
        <f aca="false">IF($A82&gt;=Annahmen!$D$55,Annahmen!$D$143,0)</f>
        <v>2000</v>
      </c>
      <c r="W82" s="36" t="n">
        <f aca="false">MAX(0,(E82-Annahmen!$B$147)/Annahmen!$B$148)</f>
        <v>0</v>
      </c>
      <c r="X82" s="24" t="n">
        <f aca="false">W82*Annahmen!$B$146</f>
        <v>0</v>
      </c>
      <c r="Y82" s="24" t="n">
        <f aca="false">O82-P82-R82-S82-T82-U82-V82-X82+AB82</f>
        <v>466.310418601915</v>
      </c>
      <c r="Z82" s="24" t="n">
        <f aca="false">Z81+Y82</f>
        <v>-14769.4752614492</v>
      </c>
      <c r="AA82" s="15" t="n">
        <f aca="false">MAX(0,C82-E82)</f>
        <v>3686.73646042904</v>
      </c>
      <c r="AB82" s="24" t="n">
        <f aca="false">IF($A82&gt;=Annahmen!$D$69,AA82*Annahmen!$D$70,0)</f>
        <v>737.347292085807</v>
      </c>
      <c r="AC82" s="15" t="n">
        <f aca="false">IF($A82&lt;Annahmen!$D$55,0,IF($A82=Annahmen!$D$55,Annahmen!$D$56,AC81*(1+Annahmen!$D$57*(1-C81/Annahmen!$D$58))))</f>
        <v>2679.18756185781</v>
      </c>
      <c r="AD82" s="15" t="n">
        <f aca="false">IF($A82&lt;Annahmen!$D$71,0,IF($A82&lt;Annahmen!$D$71+Annahmen!$B$73,Annahmen!$D$72,Annahmen!$D$72*Annahmen!$B$75))</f>
        <v>1500</v>
      </c>
      <c r="AE82" s="7" t="n">
        <f aca="false">IF(Y82&gt;0,1,0)</f>
        <v>1</v>
      </c>
      <c r="AF82" s="7" t="n">
        <f aca="false">IF(Z82&gt;=0,1,0)</f>
        <v>0</v>
      </c>
    </row>
    <row r="83" customFormat="false" ht="15" hidden="false" customHeight="false" outlineLevel="0" collapsed="false">
      <c r="A83" s="7" t="n">
        <v>8</v>
      </c>
      <c r="B83" s="7" t="s">
        <v>397</v>
      </c>
      <c r="C83" s="15" t="n">
        <f aca="false">AC83+AD83</f>
        <v>4763.68222143939</v>
      </c>
      <c r="D83" s="17" t="n">
        <f aca="false">IF($A83&gt;Annahmen!$B$68,INDEX($AC$76:$AC$99,$A83-Annahmen!$B$68),0)*Annahmen!$D$59+IF($A83=Annahmen!$D$71+Annahmen!$B$73,Annahmen!$D$72*Annahmen!$D$74,0)</f>
        <v>40.1878134278672</v>
      </c>
      <c r="E83" s="17" t="n">
        <f aca="false">E82*(1-Annahmen!$D$60)+D83</f>
        <v>512.94087079949</v>
      </c>
      <c r="F83" s="17" t="n">
        <f aca="false">E83*(1-Annahmen!$D$61)</f>
        <v>256.470435399745</v>
      </c>
      <c r="G83" s="17" t="n">
        <f aca="false">E83*Annahmen!$D$61</f>
        <v>256.470435399745</v>
      </c>
      <c r="H83" s="24" t="n">
        <f aca="false">F83*Annahmen!$D$87+G83*Annahmen!$D$88</f>
        <v>3288.59215791323</v>
      </c>
      <c r="I83" s="17" t="n">
        <f aca="false">IF($A83&gt;=Annahmen!$D$55,Annahmen!$D$64*(1-Annahmen!$D$65),0)</f>
        <v>2.5</v>
      </c>
      <c r="J83" s="17" t="n">
        <f aca="false">IF($A83&gt;=Annahmen!$D$55,Annahmen!$D$64*Annahmen!$D$65,0)</f>
        <v>2.5</v>
      </c>
      <c r="K83" s="24" t="n">
        <f aca="false">I83*Annahmen!$B$80+J83*Annahmen!$B$81</f>
        <v>337.45</v>
      </c>
      <c r="L83" s="17" t="n">
        <f aca="false">IF($A83&gt;=Annahmen!$D$55,Annahmen!$D$66,0)</f>
        <v>1</v>
      </c>
      <c r="M83" s="24" t="n">
        <f aca="false">L83*Annahmen!$B$82</f>
        <v>149</v>
      </c>
      <c r="N83" s="24" t="n">
        <f aca="false">H83+K83+M83</f>
        <v>3775.04215791323</v>
      </c>
      <c r="O83" s="24" t="n">
        <f aca="false">N83/(1+Annahmen!$B$9)</f>
        <v>3172.30433438087</v>
      </c>
      <c r="P83" s="24" t="n">
        <f aca="false">O83*(Annahmen!$D$63*Annahmen!$B$83+(1-Annahmen!$D$63)*Annahmen!$B$84)+(E83*Annahmen!$D$62+E83*(1-Annahmen!$D$62)/12+I83+J83+L83)*(1-Annahmen!$D$63)*Annahmen!$B$85</f>
        <v>261.465444824738</v>
      </c>
      <c r="Q83" s="17" t="n">
        <f aca="false">Annahmen!$D$67</f>
        <v>12</v>
      </c>
      <c r="R83" s="24" t="n">
        <f aca="false">Q83*(Annahmen!$B$43+Annahmen!$B$154)</f>
        <v>778.451552687232</v>
      </c>
      <c r="S83" s="24" t="n">
        <f aca="false">I83*Annahmen!$B$44+(J83+L83)*Annahmen!$B$45</f>
        <v>190.53822791269</v>
      </c>
      <c r="T83" s="24" t="n">
        <f aca="false">C83*Annahmen!$B$86</f>
        <v>47.6368222143939</v>
      </c>
      <c r="U83" s="24" t="n">
        <f aca="false">SUMPRODUCT((((Annahmen!$C$161:$C$174="monatlich")*(Annahmen!$D$161:$D$174&lt;=$A83))+((Annahmen!$C$161:$C$174="einmalig")*(Annahmen!$D$161:$D$174=$A83)))*Annahmen!$B$161:$B$174*Annahmen!$E$161:$E$174)</f>
        <v>69.9850799606897</v>
      </c>
      <c r="V83" s="24" t="n">
        <f aca="false">IF($A83&gt;=Annahmen!$D$55,Annahmen!$D$143,0)</f>
        <v>2000</v>
      </c>
      <c r="W83" s="36" t="n">
        <f aca="false">MAX(0,(E83-Annahmen!$B$147)/Annahmen!$B$148)</f>
        <v>0</v>
      </c>
      <c r="X83" s="24" t="n">
        <f aca="false">W83*Annahmen!$B$146</f>
        <v>0</v>
      </c>
      <c r="Y83" s="24" t="n">
        <f aca="false">O83-P83-R83-S83-T83-U83-V83-X83+AB83</f>
        <v>674.375476909104</v>
      </c>
      <c r="Z83" s="24" t="n">
        <f aca="false">Z82+Y83</f>
        <v>-14095.0997845401</v>
      </c>
      <c r="AA83" s="15" t="n">
        <f aca="false">MAX(0,C83-E83)</f>
        <v>4250.7413506399</v>
      </c>
      <c r="AB83" s="24" t="n">
        <f aca="false">IF($A83&gt;=Annahmen!$D$69,AA83*Annahmen!$D$70,0)</f>
        <v>850.14827012798</v>
      </c>
      <c r="AC83" s="15" t="n">
        <f aca="false">IF($A83&lt;Annahmen!$D$55,0,IF($A83=Annahmen!$D$55,Annahmen!$D$56,AC82*(1+Annahmen!$D$57*(1-C82/Annahmen!$D$58))))</f>
        <v>3263.68222143939</v>
      </c>
      <c r="AD83" s="15" t="n">
        <f aca="false">IF($A83&lt;Annahmen!$D$71,0,IF($A83&lt;Annahmen!$D$71+Annahmen!$B$73,Annahmen!$D$72,Annahmen!$D$72*Annahmen!$B$75))</f>
        <v>1500</v>
      </c>
      <c r="AE83" s="7" t="n">
        <f aca="false">IF(Y83&gt;0,1,0)</f>
        <v>1</v>
      </c>
      <c r="AF83" s="7" t="n">
        <f aca="false">IF(Z83&gt;=0,1,0)</f>
        <v>0</v>
      </c>
    </row>
    <row r="84" customFormat="false" ht="15" hidden="false" customHeight="false" outlineLevel="0" collapsed="false">
      <c r="A84" s="7" t="n">
        <v>9</v>
      </c>
      <c r="B84" s="7" t="s">
        <v>398</v>
      </c>
      <c r="C84" s="15" t="n">
        <f aca="false">AC84+AD84</f>
        <v>5474.85156636719</v>
      </c>
      <c r="D84" s="17" t="n">
        <f aca="false">IF($A84&gt;Annahmen!$B$68,INDEX($AC$76:$AC$99,$A84-Annahmen!$B$68),0)*Annahmen!$D$59+IF($A84=Annahmen!$D$71+Annahmen!$B$73,Annahmen!$D$72*Annahmen!$D$74,0)</f>
        <v>48.9552333215909</v>
      </c>
      <c r="E84" s="17" t="n">
        <f aca="false">E83*(1-Annahmen!$D$60)+D84</f>
        <v>541.378469289102</v>
      </c>
      <c r="F84" s="17" t="n">
        <f aca="false">E84*(1-Annahmen!$D$61)</f>
        <v>270.689234644551</v>
      </c>
      <c r="G84" s="17" t="n">
        <f aca="false">E84*Annahmen!$D$61</f>
        <v>270.689234644551</v>
      </c>
      <c r="H84" s="24" t="n">
        <f aca="false">F84*Annahmen!$D$87+G84*Annahmen!$D$88</f>
        <v>3470.91271122975</v>
      </c>
      <c r="I84" s="17" t="n">
        <f aca="false">IF($A84&gt;=Annahmen!$D$55,Annahmen!$D$64*(1-Annahmen!$D$65),0)</f>
        <v>2.5</v>
      </c>
      <c r="J84" s="17" t="n">
        <f aca="false">IF($A84&gt;=Annahmen!$D$55,Annahmen!$D$64*Annahmen!$D$65,0)</f>
        <v>2.5</v>
      </c>
      <c r="K84" s="24" t="n">
        <f aca="false">I84*Annahmen!$B$80+J84*Annahmen!$B$81</f>
        <v>337.45</v>
      </c>
      <c r="L84" s="17" t="n">
        <f aca="false">IF($A84&gt;=Annahmen!$D$55,Annahmen!$D$66,0)</f>
        <v>1</v>
      </c>
      <c r="M84" s="24" t="n">
        <f aca="false">L84*Annahmen!$B$82</f>
        <v>149</v>
      </c>
      <c r="N84" s="24" t="n">
        <f aca="false">H84+K84+M84</f>
        <v>3957.36271122975</v>
      </c>
      <c r="O84" s="24" t="n">
        <f aca="false">N84/(1+Annahmen!$B$9)</f>
        <v>3325.51488338635</v>
      </c>
      <c r="P84" s="24" t="n">
        <f aca="false">O84*(Annahmen!$D$63*Annahmen!$B$83+(1-Annahmen!$D$63)*Annahmen!$B$84)+(E84*Annahmen!$D$62+E84*(1-Annahmen!$D$62)/12+I84+J84+L84)*(1-Annahmen!$D$63)*Annahmen!$B$85</f>
        <v>274.347527583397</v>
      </c>
      <c r="Q84" s="17" t="n">
        <f aca="false">Annahmen!$D$67</f>
        <v>12</v>
      </c>
      <c r="R84" s="24" t="n">
        <f aca="false">Q84*(Annahmen!$B$43+Annahmen!$B$154)</f>
        <v>778.451552687232</v>
      </c>
      <c r="S84" s="24" t="n">
        <f aca="false">I84*Annahmen!$B$44+(J84+L84)*Annahmen!$B$45</f>
        <v>190.53822791269</v>
      </c>
      <c r="T84" s="24" t="n">
        <f aca="false">C84*Annahmen!$B$86</f>
        <v>54.7485156636719</v>
      </c>
      <c r="U84" s="24" t="n">
        <f aca="false">SUMPRODUCT((((Annahmen!$C$161:$C$174="monatlich")*(Annahmen!$D$161:$D$174&lt;=$A84))+((Annahmen!$C$161:$C$174="einmalig")*(Annahmen!$D$161:$D$174=$A84)))*Annahmen!$B$161:$B$174*Annahmen!$E$161:$E$174)</f>
        <v>69.9850799606897</v>
      </c>
      <c r="V84" s="24" t="n">
        <f aca="false">IF($A84&gt;=Annahmen!$D$55,Annahmen!$D$143,0)</f>
        <v>2000</v>
      </c>
      <c r="W84" s="36" t="n">
        <f aca="false">MAX(0,(E84-Annahmen!$B$147)/Annahmen!$B$148)</f>
        <v>0</v>
      </c>
      <c r="X84" s="24" t="n">
        <f aca="false">W84*Annahmen!$B$146</f>
        <v>0</v>
      </c>
      <c r="Y84" s="24" t="n">
        <f aca="false">O84-P84-R84-S84-T84-U84-V84-X84+AB84</f>
        <v>944.138598994284</v>
      </c>
      <c r="Z84" s="24" t="n">
        <f aca="false">Z83+Y84</f>
        <v>-13150.9611855458</v>
      </c>
      <c r="AA84" s="15" t="n">
        <f aca="false">MAX(0,C84-E84)</f>
        <v>4933.47309707809</v>
      </c>
      <c r="AB84" s="24" t="n">
        <f aca="false">IF($A84&gt;=Annahmen!$D$69,AA84*Annahmen!$D$70,0)</f>
        <v>986.694619415618</v>
      </c>
      <c r="AC84" s="15" t="n">
        <f aca="false">IF($A84&lt;Annahmen!$D$55,0,IF($A84=Annahmen!$D$55,Annahmen!$D$56,AC83*(1+Annahmen!$D$57*(1-C83/Annahmen!$D$58))))</f>
        <v>3974.85156636719</v>
      </c>
      <c r="AD84" s="15" t="n">
        <f aca="false">IF($A84&lt;Annahmen!$D$71,0,IF($A84&lt;Annahmen!$D$71+Annahmen!$B$73,Annahmen!$D$72,Annahmen!$D$72*Annahmen!$B$75))</f>
        <v>1500</v>
      </c>
      <c r="AE84" s="7" t="n">
        <f aca="false">IF(Y84&gt;0,1,0)</f>
        <v>1</v>
      </c>
      <c r="AF84" s="7" t="n">
        <f aca="false">IF(Z84&gt;=0,1,0)</f>
        <v>0</v>
      </c>
    </row>
    <row r="85" customFormat="false" ht="15" hidden="false" customHeight="false" outlineLevel="0" collapsed="false">
      <c r="A85" s="7" t="n">
        <v>10</v>
      </c>
      <c r="B85" s="7" t="s">
        <v>399</v>
      </c>
      <c r="C85" s="15" t="n">
        <f aca="false">AC85+AD85</f>
        <v>6339.74375314532</v>
      </c>
      <c r="D85" s="17" t="n">
        <f aca="false">IF($A85&gt;Annahmen!$B$68,INDEX($AC$76:$AC$99,$A85-Annahmen!$B$68),0)*Annahmen!$D$59+IF($A85=Annahmen!$D$71+Annahmen!$B$73,Annahmen!$D$72*Annahmen!$D$74,0)</f>
        <v>59.6227734955079</v>
      </c>
      <c r="E85" s="17" t="n">
        <f aca="false">E84*(1-Annahmen!$D$60)+D85</f>
        <v>579.346104013045</v>
      </c>
      <c r="F85" s="17" t="n">
        <f aca="false">E85*(1-Annahmen!$D$61)</f>
        <v>289.673052006523</v>
      </c>
      <c r="G85" s="17" t="n">
        <f aca="false">E85*Annahmen!$D$61</f>
        <v>289.673052006523</v>
      </c>
      <c r="H85" s="24" t="n">
        <f aca="false">F85*Annahmen!$D$87+G85*Annahmen!$D$88</f>
        <v>3714.33270935364</v>
      </c>
      <c r="I85" s="17" t="n">
        <f aca="false">IF($A85&gt;=Annahmen!$D$55,Annahmen!$D$64*(1-Annahmen!$D$65),0)</f>
        <v>2.5</v>
      </c>
      <c r="J85" s="17" t="n">
        <f aca="false">IF($A85&gt;=Annahmen!$D$55,Annahmen!$D$64*Annahmen!$D$65,0)</f>
        <v>2.5</v>
      </c>
      <c r="K85" s="24" t="n">
        <f aca="false">I85*Annahmen!$B$80+J85*Annahmen!$B$81</f>
        <v>337.45</v>
      </c>
      <c r="L85" s="17" t="n">
        <f aca="false">IF($A85&gt;=Annahmen!$D$55,Annahmen!$D$66,0)</f>
        <v>1</v>
      </c>
      <c r="M85" s="24" t="n">
        <f aca="false">L85*Annahmen!$B$82</f>
        <v>149</v>
      </c>
      <c r="N85" s="24" t="n">
        <f aca="false">H85+K85+M85</f>
        <v>4200.78270935364</v>
      </c>
      <c r="O85" s="24" t="n">
        <f aca="false">N85/(1+Annahmen!$B$9)</f>
        <v>3530.06950365852</v>
      </c>
      <c r="P85" s="24" t="n">
        <f aca="false">O85*(Annahmen!$D$63*Annahmen!$B$83+(1-Annahmen!$D$63)*Annahmen!$B$84)+(E85*Annahmen!$D$62+E85*(1-Annahmen!$D$62)/12+I85+J85+L85)*(1-Annahmen!$D$63)*Annahmen!$B$85</f>
        <v>291.546666703498</v>
      </c>
      <c r="Q85" s="17" t="n">
        <f aca="false">Annahmen!$D$67</f>
        <v>12</v>
      </c>
      <c r="R85" s="24" t="n">
        <f aca="false">Q85*(Annahmen!$B$43+Annahmen!$B$154)</f>
        <v>778.451552687232</v>
      </c>
      <c r="S85" s="24" t="n">
        <f aca="false">I85*Annahmen!$B$44+(J85+L85)*Annahmen!$B$45</f>
        <v>190.53822791269</v>
      </c>
      <c r="T85" s="24" t="n">
        <f aca="false">C85*Annahmen!$B$86</f>
        <v>63.3974375314532</v>
      </c>
      <c r="U85" s="24" t="n">
        <f aca="false">SUMPRODUCT((((Annahmen!$C$161:$C$174="monatlich")*(Annahmen!$D$161:$D$174&lt;=$A85))+((Annahmen!$C$161:$C$174="einmalig")*(Annahmen!$D$161:$D$174=$A85)))*Annahmen!$B$161:$B$174*Annahmen!$E$161:$E$174)</f>
        <v>69.9850799606897</v>
      </c>
      <c r="V85" s="24" t="n">
        <f aca="false">IF($A85&gt;=Annahmen!$D$55,Annahmen!$D$143,0)</f>
        <v>2000</v>
      </c>
      <c r="W85" s="36" t="n">
        <f aca="false">MAX(0,(E85-Annahmen!$B$147)/Annahmen!$B$148)</f>
        <v>0</v>
      </c>
      <c r="X85" s="24" t="n">
        <f aca="false">W85*Annahmen!$B$146</f>
        <v>0</v>
      </c>
      <c r="Y85" s="24" t="n">
        <f aca="false">O85-P85-R85-S85-T85-U85-V85-X85+AB85</f>
        <v>1288.23006868941</v>
      </c>
      <c r="Z85" s="24" t="n">
        <f aca="false">Z84+Y85</f>
        <v>-11862.7311168564</v>
      </c>
      <c r="AA85" s="15" t="n">
        <f aca="false">MAX(0,C85-E85)</f>
        <v>5760.39764913228</v>
      </c>
      <c r="AB85" s="24" t="n">
        <f aca="false">IF($A85&gt;=Annahmen!$D$69,AA85*Annahmen!$D$70,0)</f>
        <v>1152.07952982646</v>
      </c>
      <c r="AC85" s="15" t="n">
        <f aca="false">IF($A85&lt;Annahmen!$D$55,0,IF($A85=Annahmen!$D$55,Annahmen!$D$56,AC84*(1+Annahmen!$D$57*(1-C84/Annahmen!$D$58))))</f>
        <v>4839.74375314532</v>
      </c>
      <c r="AD85" s="15" t="n">
        <f aca="false">IF($A85&lt;Annahmen!$D$71,0,IF($A85&lt;Annahmen!$D$71+Annahmen!$B$73,Annahmen!$D$72,Annahmen!$D$72*Annahmen!$B$75))</f>
        <v>1500</v>
      </c>
      <c r="AE85" s="7" t="n">
        <f aca="false">IF(Y85&gt;0,1,0)</f>
        <v>1</v>
      </c>
      <c r="AF85" s="7" t="n">
        <f aca="false">IF(Z85&gt;=0,1,0)</f>
        <v>0</v>
      </c>
    </row>
    <row r="86" customFormat="false" ht="15" hidden="false" customHeight="false" outlineLevel="0" collapsed="false">
      <c r="A86" s="7" t="n">
        <v>11</v>
      </c>
      <c r="B86" s="7" t="s">
        <v>400</v>
      </c>
      <c r="C86" s="15" t="n">
        <f aca="false">AC86+AD86</f>
        <v>7390.98697533793</v>
      </c>
      <c r="D86" s="17" t="n">
        <f aca="false">IF($A86&gt;Annahmen!$B$68,INDEX($AC$76:$AC$99,$A86-Annahmen!$B$68),0)*Annahmen!$D$59+IF($A86=Annahmen!$D$71+Annahmen!$B$73,Annahmen!$D$72*Annahmen!$D$74,0)</f>
        <v>72.5961562971799</v>
      </c>
      <c r="E86" s="17" t="n">
        <f aca="false">E85*(1-Annahmen!$D$60)+D86</f>
        <v>628.768416149703</v>
      </c>
      <c r="F86" s="17" t="n">
        <f aca="false">E86*(1-Annahmen!$D$61)</f>
        <v>314.384208074852</v>
      </c>
      <c r="G86" s="17" t="n">
        <f aca="false">E86*Annahmen!$D$61</f>
        <v>314.384208074852</v>
      </c>
      <c r="H86" s="24" t="n">
        <f aca="false">F86*Annahmen!$D$87+G86*Annahmen!$D$88</f>
        <v>4031.19150803979</v>
      </c>
      <c r="I86" s="17" t="n">
        <f aca="false">IF($A86&gt;=Annahmen!$D$55,Annahmen!$D$64*(1-Annahmen!$D$65),0)</f>
        <v>2.5</v>
      </c>
      <c r="J86" s="17" t="n">
        <f aca="false">IF($A86&gt;=Annahmen!$D$55,Annahmen!$D$64*Annahmen!$D$65,0)</f>
        <v>2.5</v>
      </c>
      <c r="K86" s="24" t="n">
        <f aca="false">I86*Annahmen!$B$80+J86*Annahmen!$B$81</f>
        <v>337.45</v>
      </c>
      <c r="L86" s="17" t="n">
        <f aca="false">IF($A86&gt;=Annahmen!$D$55,Annahmen!$D$66,0)</f>
        <v>1</v>
      </c>
      <c r="M86" s="24" t="n">
        <f aca="false">L86*Annahmen!$B$82</f>
        <v>149</v>
      </c>
      <c r="N86" s="24" t="n">
        <f aca="false">H86+K86+M86</f>
        <v>4517.64150803979</v>
      </c>
      <c r="O86" s="24" t="n">
        <f aca="false">N86/(1+Annahmen!$B$9)</f>
        <v>3796.33740171411</v>
      </c>
      <c r="P86" s="24" t="n">
        <f aca="false">O86*(Annahmen!$D$63*Annahmen!$B$83+(1-Annahmen!$D$63)*Annahmen!$B$84)+(E86*Annahmen!$D$62+E86*(1-Annahmen!$D$62)/12+I86+J86+L86)*(1-Annahmen!$D$63)*Annahmen!$B$85</f>
        <v>313.934714530437</v>
      </c>
      <c r="Q86" s="17" t="n">
        <f aca="false">Annahmen!$D$67</f>
        <v>12</v>
      </c>
      <c r="R86" s="24" t="n">
        <f aca="false">Q86*(Annahmen!$B$43+Annahmen!$B$154)</f>
        <v>778.451552687232</v>
      </c>
      <c r="S86" s="24" t="n">
        <f aca="false">I86*Annahmen!$B$44+(J86+L86)*Annahmen!$B$45</f>
        <v>190.53822791269</v>
      </c>
      <c r="T86" s="24" t="n">
        <f aca="false">C86*Annahmen!$B$86</f>
        <v>73.9098697533793</v>
      </c>
      <c r="U86" s="24" t="n">
        <f aca="false">SUMPRODUCT((((Annahmen!$C$161:$C$174="monatlich")*(Annahmen!$D$161:$D$174&lt;=$A86))+((Annahmen!$C$161:$C$174="einmalig")*(Annahmen!$D$161:$D$174=$A86)))*Annahmen!$B$161:$B$174*Annahmen!$E$161:$E$174)</f>
        <v>69.9850799606897</v>
      </c>
      <c r="V86" s="24" t="n">
        <f aca="false">IF($A86&gt;=Annahmen!$D$55,Annahmen!$D$143,0)</f>
        <v>2000</v>
      </c>
      <c r="W86" s="36" t="n">
        <f aca="false">MAX(0,(E86-Annahmen!$B$147)/Annahmen!$B$148)</f>
        <v>0</v>
      </c>
      <c r="X86" s="24" t="n">
        <f aca="false">W86*Annahmen!$B$146</f>
        <v>0</v>
      </c>
      <c r="Y86" s="24" t="n">
        <f aca="false">O86-P86-R86-S86-T86-U86-V86-X86+AB86</f>
        <v>1721.96166870732</v>
      </c>
      <c r="Z86" s="24" t="n">
        <f aca="false">Z85+Y86</f>
        <v>-10140.7694481491</v>
      </c>
      <c r="AA86" s="15" t="n">
        <f aca="false">MAX(0,C86-E86)</f>
        <v>6762.21855918823</v>
      </c>
      <c r="AB86" s="24" t="n">
        <f aca="false">IF($A86&gt;=Annahmen!$D$69,AA86*Annahmen!$D$70,0)</f>
        <v>1352.44371183765</v>
      </c>
      <c r="AC86" s="15" t="n">
        <f aca="false">IF($A86&lt;Annahmen!$D$55,0,IF($A86=Annahmen!$D$55,Annahmen!$D$56,AC85*(1+Annahmen!$D$57*(1-C85/Annahmen!$D$58))))</f>
        <v>5890.98697533793</v>
      </c>
      <c r="AD86" s="15" t="n">
        <f aca="false">IF($A86&lt;Annahmen!$D$71,0,IF($A86&lt;Annahmen!$D$71+Annahmen!$B$73,Annahmen!$D$72,Annahmen!$D$72*Annahmen!$B$75))</f>
        <v>1500</v>
      </c>
      <c r="AE86" s="7" t="n">
        <f aca="false">IF(Y86&gt;0,1,0)</f>
        <v>1</v>
      </c>
      <c r="AF86" s="7" t="n">
        <f aca="false">IF(Z86&gt;=0,1,0)</f>
        <v>0</v>
      </c>
    </row>
    <row r="87" customFormat="false" ht="15" hidden="false" customHeight="false" outlineLevel="0" collapsed="false">
      <c r="A87" s="7" t="n">
        <v>12</v>
      </c>
      <c r="B87" s="7" t="s">
        <v>401</v>
      </c>
      <c r="C87" s="15" t="n">
        <f aca="false">AC87+AD87</f>
        <v>8667.84641838937</v>
      </c>
      <c r="D87" s="17" t="n">
        <f aca="false">IF($A87&gt;Annahmen!$B$68,INDEX($AC$76:$AC$99,$A87-Annahmen!$B$68),0)*Annahmen!$D$59+IF($A87=Annahmen!$D$71+Annahmen!$B$73,Annahmen!$D$72*Annahmen!$D$74,0)</f>
        <v>88.364804630069</v>
      </c>
      <c r="E87" s="17" t="n">
        <f aca="false">E86*(1-Annahmen!$D$60)+D87</f>
        <v>691.982484133784</v>
      </c>
      <c r="F87" s="17" t="n">
        <f aca="false">E87*(1-Annahmen!$D$61)</f>
        <v>345.991242066892</v>
      </c>
      <c r="G87" s="17" t="n">
        <f aca="false">E87*Annahmen!$D$61</f>
        <v>345.991242066892</v>
      </c>
      <c r="H87" s="24" t="n">
        <f aca="false">F87*Annahmen!$D$87+G87*Annahmen!$D$88</f>
        <v>4436.47270140273</v>
      </c>
      <c r="I87" s="17" t="n">
        <f aca="false">IF($A87&gt;=Annahmen!$D$55,Annahmen!$D$64*(1-Annahmen!$D$65),0)</f>
        <v>2.5</v>
      </c>
      <c r="J87" s="17" t="n">
        <f aca="false">IF($A87&gt;=Annahmen!$D$55,Annahmen!$D$64*Annahmen!$D$65,0)</f>
        <v>2.5</v>
      </c>
      <c r="K87" s="24" t="n">
        <f aca="false">I87*Annahmen!$B$80+J87*Annahmen!$B$81</f>
        <v>337.45</v>
      </c>
      <c r="L87" s="17" t="n">
        <f aca="false">IF($A87&gt;=Annahmen!$D$55,Annahmen!$D$66,0)</f>
        <v>1</v>
      </c>
      <c r="M87" s="24" t="n">
        <f aca="false">L87*Annahmen!$B$82</f>
        <v>149</v>
      </c>
      <c r="N87" s="24" t="n">
        <f aca="false">H87+K87+M87</f>
        <v>4922.92270140273</v>
      </c>
      <c r="O87" s="24" t="n">
        <f aca="false">N87/(1+Annahmen!$B$9)</f>
        <v>4136.90983311153</v>
      </c>
      <c r="P87" s="24" t="n">
        <f aca="false">O87*(Annahmen!$D$63*Annahmen!$B$83+(1-Annahmen!$D$63)*Annahmen!$B$84)+(E87*Annahmen!$D$62+E87*(1-Annahmen!$D$62)/12+I87+J87+L87)*(1-Annahmen!$D$63)*Annahmen!$B$85</f>
        <v>342.570355320566</v>
      </c>
      <c r="Q87" s="17" t="n">
        <f aca="false">Annahmen!$D$67</f>
        <v>12</v>
      </c>
      <c r="R87" s="24" t="n">
        <f aca="false">Q87*(Annahmen!$B$43+Annahmen!$B$154)</f>
        <v>778.451552687232</v>
      </c>
      <c r="S87" s="24" t="n">
        <f aca="false">I87*Annahmen!$B$44+(J87+L87)*Annahmen!$B$45</f>
        <v>190.53822791269</v>
      </c>
      <c r="T87" s="24" t="n">
        <f aca="false">C87*Annahmen!$B$86</f>
        <v>86.6784641838937</v>
      </c>
      <c r="U87" s="24" t="n">
        <f aca="false">SUMPRODUCT((((Annahmen!$C$161:$C$174="monatlich")*(Annahmen!$D$161:$D$174&lt;=$A87))+((Annahmen!$C$161:$C$174="einmalig")*(Annahmen!$D$161:$D$174=$A87)))*Annahmen!$B$161:$B$174*Annahmen!$E$161:$E$174)</f>
        <v>69.9850799606897</v>
      </c>
      <c r="V87" s="24" t="n">
        <f aca="false">IF($A87&gt;=Annahmen!$D$55,Annahmen!$D$143,0)</f>
        <v>2000</v>
      </c>
      <c r="W87" s="36" t="n">
        <f aca="false">MAX(0,(E87-Annahmen!$B$147)/Annahmen!$B$148)</f>
        <v>0</v>
      </c>
      <c r="X87" s="24" t="n">
        <f aca="false">W87*Annahmen!$B$146</f>
        <v>0</v>
      </c>
      <c r="Y87" s="24" t="n">
        <f aca="false">O87-P87-R87-S87-T87-U87-V87-X87+AB87</f>
        <v>2263.85893989758</v>
      </c>
      <c r="Z87" s="24" t="n">
        <f aca="false">Z86+Y87</f>
        <v>-7876.91050825149</v>
      </c>
      <c r="AA87" s="15" t="n">
        <f aca="false">MAX(0,C87-E87)</f>
        <v>7975.86393425559</v>
      </c>
      <c r="AB87" s="24" t="n">
        <f aca="false">IF($A87&gt;=Annahmen!$D$69,AA87*Annahmen!$D$70,0)</f>
        <v>1595.17278685112</v>
      </c>
      <c r="AC87" s="15" t="n">
        <f aca="false">IF($A87&lt;Annahmen!$D$55,0,IF($A87=Annahmen!$D$55,Annahmen!$D$56,AC86*(1+Annahmen!$D$57*(1-C86/Annahmen!$D$58))))</f>
        <v>7167.84641838937</v>
      </c>
      <c r="AD87" s="15" t="n">
        <f aca="false">IF($A87&lt;Annahmen!$D$71,0,IF($A87&lt;Annahmen!$D$71+Annahmen!$B$73,Annahmen!$D$72,Annahmen!$D$72*Annahmen!$B$75))</f>
        <v>1500</v>
      </c>
      <c r="AE87" s="7" t="n">
        <f aca="false">IF(Y87&gt;0,1,0)</f>
        <v>1</v>
      </c>
      <c r="AF87" s="7" t="n">
        <f aca="false">IF(Z87&gt;=0,1,0)</f>
        <v>0</v>
      </c>
    </row>
    <row r="88" customFormat="false" ht="15" hidden="false" customHeight="false" outlineLevel="0" collapsed="false">
      <c r="A88" s="7" t="n">
        <v>13</v>
      </c>
      <c r="B88" s="7" t="s">
        <v>402</v>
      </c>
      <c r="C88" s="15" t="n">
        <f aca="false">AC88+AD88</f>
        <v>10217.4355219967</v>
      </c>
      <c r="D88" s="17" t="n">
        <f aca="false">IF($A88&gt;Annahmen!$B$68,INDEX($AC$76:$AC$99,$A88-Annahmen!$B$68),0)*Annahmen!$D$59+IF($A88=Annahmen!$D$71+Annahmen!$B$73,Annahmen!$D$72*Annahmen!$D$74,0)</f>
        <v>107.517696275841</v>
      </c>
      <c r="E88" s="17" t="n">
        <f aca="false">E87*(1-Annahmen!$D$60)+D88</f>
        <v>771.820881044273</v>
      </c>
      <c r="F88" s="17" t="n">
        <f aca="false">E88*(1-Annahmen!$D$61)</f>
        <v>385.910440522137</v>
      </c>
      <c r="G88" s="17" t="n">
        <f aca="false">E88*Annahmen!$D$61</f>
        <v>385.910440522137</v>
      </c>
      <c r="H88" s="24" t="n">
        <f aca="false">F88*Annahmen!$D$87+G88*Annahmen!$D$88</f>
        <v>4948.3366235951</v>
      </c>
      <c r="I88" s="17" t="n">
        <f aca="false">IF($A88&gt;=Annahmen!$D$55,Annahmen!$D$64*(1-Annahmen!$D$65),0)</f>
        <v>2.5</v>
      </c>
      <c r="J88" s="17" t="n">
        <f aca="false">IF($A88&gt;=Annahmen!$D$55,Annahmen!$D$64*Annahmen!$D$65,0)</f>
        <v>2.5</v>
      </c>
      <c r="K88" s="24" t="n">
        <f aca="false">I88*Annahmen!$B$80+J88*Annahmen!$B$81</f>
        <v>337.45</v>
      </c>
      <c r="L88" s="17" t="n">
        <f aca="false">IF($A88&gt;=Annahmen!$D$55,Annahmen!$D$66,0)</f>
        <v>1</v>
      </c>
      <c r="M88" s="24" t="n">
        <f aca="false">L88*Annahmen!$B$82</f>
        <v>149</v>
      </c>
      <c r="N88" s="24" t="n">
        <f aca="false">H88+K88+M88</f>
        <v>5434.7866235951</v>
      </c>
      <c r="O88" s="24" t="n">
        <f aca="false">N88/(1+Annahmen!$B$9)</f>
        <v>4567.04758285302</v>
      </c>
      <c r="P88" s="24" t="n">
        <f aca="false">O88*(Annahmen!$D$63*Annahmen!$B$83+(1-Annahmen!$D$63)*Annahmen!$B$84)+(E88*Annahmen!$D$62+E88*(1-Annahmen!$D$62)/12+I88+J88+L88)*(1-Annahmen!$D$63)*Annahmen!$B$85</f>
        <v>378.736729801706</v>
      </c>
      <c r="Q88" s="17" t="n">
        <f aca="false">Annahmen!$D$67</f>
        <v>12</v>
      </c>
      <c r="R88" s="24" t="n">
        <f aca="false">Q88*(Annahmen!$B$43+Annahmen!$B$154)</f>
        <v>778.451552687232</v>
      </c>
      <c r="S88" s="24" t="n">
        <f aca="false">I88*Annahmen!$B$44+(J88+L88)*Annahmen!$B$45</f>
        <v>190.53822791269</v>
      </c>
      <c r="T88" s="24" t="n">
        <f aca="false">C88*Annahmen!$B$86</f>
        <v>102.174355219967</v>
      </c>
      <c r="U88" s="24" t="n">
        <f aca="false">SUMPRODUCT((((Annahmen!$C$161:$C$174="monatlich")*(Annahmen!$D$161:$D$174&lt;=$A88))+((Annahmen!$C$161:$C$174="einmalig")*(Annahmen!$D$161:$D$174=$A88)))*Annahmen!$B$161:$B$174*Annahmen!$E$161:$E$174)</f>
        <v>69.9850799606897</v>
      </c>
      <c r="V88" s="24" t="n">
        <f aca="false">IF($A88&gt;=Annahmen!$D$55,Annahmen!$D$143,0)</f>
        <v>2000</v>
      </c>
      <c r="W88" s="36" t="n">
        <f aca="false">MAX(0,(E88-Annahmen!$B$147)/Annahmen!$B$148)</f>
        <v>0</v>
      </c>
      <c r="X88" s="24" t="n">
        <f aca="false">W88*Annahmen!$B$146</f>
        <v>0</v>
      </c>
      <c r="Y88" s="24" t="n">
        <f aca="false">O88-P88-R88-S88-T88-U88-V88-X88+AB88</f>
        <v>2936.28456546123</v>
      </c>
      <c r="Z88" s="24" t="n">
        <f aca="false">Z87+Y88</f>
        <v>-4940.62594279026</v>
      </c>
      <c r="AA88" s="15" t="n">
        <f aca="false">MAX(0,C88-E88)</f>
        <v>9445.61464095247</v>
      </c>
      <c r="AB88" s="24" t="n">
        <f aca="false">IF($A88&gt;=Annahmen!$D$69,AA88*Annahmen!$D$70,0)</f>
        <v>1889.12292819049</v>
      </c>
      <c r="AC88" s="15" t="n">
        <f aca="false">IF($A88&lt;Annahmen!$D$55,0,IF($A88=Annahmen!$D$55,Annahmen!$D$56,AC87*(1+Annahmen!$D$57*(1-C87/Annahmen!$D$58))))</f>
        <v>8717.43552199674</v>
      </c>
      <c r="AD88" s="15" t="n">
        <f aca="false">IF($A88&lt;Annahmen!$D$71,0,IF($A88&lt;Annahmen!$D$71+Annahmen!$B$73,Annahmen!$D$72,Annahmen!$D$72*Annahmen!$B$75))</f>
        <v>1500</v>
      </c>
      <c r="AE88" s="7" t="n">
        <f aca="false">IF(Y88&gt;0,1,0)</f>
        <v>1</v>
      </c>
      <c r="AF88" s="7" t="n">
        <f aca="false">IF(Z88&gt;=0,1,0)</f>
        <v>0</v>
      </c>
    </row>
    <row r="89" customFormat="false" ht="15" hidden="false" customHeight="false" outlineLevel="0" collapsed="false">
      <c r="A89" s="7" t="n">
        <v>14</v>
      </c>
      <c r="B89" s="7" t="s">
        <v>403</v>
      </c>
      <c r="C89" s="15" t="n">
        <f aca="false">AC89+AD89</f>
        <v>12096.0806092762</v>
      </c>
      <c r="D89" s="17" t="n">
        <f aca="false">IF($A89&gt;Annahmen!$B$68,INDEX($AC$76:$AC$99,$A89-Annahmen!$B$68),0)*Annahmen!$D$59+IF($A89=Annahmen!$D$71+Annahmen!$B$73,Annahmen!$D$72*Annahmen!$D$74,0)</f>
        <v>130.761532829951</v>
      </c>
      <c r="E89" s="17" t="n">
        <f aca="false">E88*(1-Annahmen!$D$60)+D89</f>
        <v>871.709578632454</v>
      </c>
      <c r="F89" s="17" t="n">
        <f aca="false">E89*(1-Annahmen!$D$61)</f>
        <v>435.854789316227</v>
      </c>
      <c r="G89" s="17" t="n">
        <f aca="false">E89*Annahmen!$D$61</f>
        <v>435.854789316227</v>
      </c>
      <c r="H89" s="24" t="n">
        <f aca="false">F89*Annahmen!$D$87+G89*Annahmen!$D$88</f>
        <v>5588.74803600732</v>
      </c>
      <c r="I89" s="17" t="n">
        <f aca="false">IF($A89&gt;=Annahmen!$D$55,Annahmen!$D$64*(1-Annahmen!$D$65),0)</f>
        <v>2.5</v>
      </c>
      <c r="J89" s="17" t="n">
        <f aca="false">IF($A89&gt;=Annahmen!$D$55,Annahmen!$D$64*Annahmen!$D$65,0)</f>
        <v>2.5</v>
      </c>
      <c r="K89" s="24" t="n">
        <f aca="false">I89*Annahmen!$B$80+J89*Annahmen!$B$81</f>
        <v>337.45</v>
      </c>
      <c r="L89" s="17" t="n">
        <f aca="false">IF($A89&gt;=Annahmen!$D$55,Annahmen!$D$66,0)</f>
        <v>1</v>
      </c>
      <c r="M89" s="24" t="n">
        <f aca="false">L89*Annahmen!$B$82</f>
        <v>149</v>
      </c>
      <c r="N89" s="24" t="n">
        <f aca="false">H89+K89+M89</f>
        <v>6075.19803600732</v>
      </c>
      <c r="O89" s="24" t="n">
        <f aca="false">N89/(1+Annahmen!$B$9)</f>
        <v>5105.20843361959</v>
      </c>
      <c r="P89" s="24" t="n">
        <f aca="false">O89*(Annahmen!$D$63*Annahmen!$B$83+(1-Annahmen!$D$63)*Annahmen!$B$84)+(E89*Annahmen!$D$62+E89*(1-Annahmen!$D$62)/12+I89+J89+L89)*(1-Annahmen!$D$63)*Annahmen!$B$85</f>
        <v>423.985785183639</v>
      </c>
      <c r="Q89" s="17" t="n">
        <f aca="false">Annahmen!$D$67</f>
        <v>12</v>
      </c>
      <c r="R89" s="24" t="n">
        <f aca="false">Q89*(Annahmen!$B$43+Annahmen!$B$154)</f>
        <v>778.451552687232</v>
      </c>
      <c r="S89" s="24" t="n">
        <f aca="false">I89*Annahmen!$B$44+(J89+L89)*Annahmen!$B$45</f>
        <v>190.53822791269</v>
      </c>
      <c r="T89" s="24" t="n">
        <f aca="false">C89*Annahmen!$B$86</f>
        <v>120.960806092762</v>
      </c>
      <c r="U89" s="24" t="n">
        <f aca="false">SUMPRODUCT((((Annahmen!$C$161:$C$174="monatlich")*(Annahmen!$D$161:$D$174&lt;=$A89))+((Annahmen!$C$161:$C$174="einmalig")*(Annahmen!$D$161:$D$174=$A89)))*Annahmen!$B$161:$B$174*Annahmen!$E$161:$E$174)</f>
        <v>69.9850799606897</v>
      </c>
      <c r="V89" s="24" t="n">
        <f aca="false">IF($A89&gt;=Annahmen!$D$55,Annahmen!$D$143,0)</f>
        <v>2000</v>
      </c>
      <c r="W89" s="36" t="n">
        <f aca="false">MAX(0,(E89-Annahmen!$B$147)/Annahmen!$B$148)</f>
        <v>0</v>
      </c>
      <c r="X89" s="24" t="n">
        <f aca="false">W89*Annahmen!$B$146</f>
        <v>0</v>
      </c>
      <c r="Y89" s="24" t="n">
        <f aca="false">O89-P89-R89-S89-T89-U89-V89-X89+AB89</f>
        <v>3766.16118791134</v>
      </c>
      <c r="Z89" s="24" t="n">
        <f aca="false">Z88+Y89</f>
        <v>-1174.46475487892</v>
      </c>
      <c r="AA89" s="15" t="n">
        <f aca="false">MAX(0,C89-E89)</f>
        <v>11224.3710306438</v>
      </c>
      <c r="AB89" s="24" t="n">
        <f aca="false">IF($A89&gt;=Annahmen!$D$69,AA89*Annahmen!$D$70,0)</f>
        <v>2244.87420612876</v>
      </c>
      <c r="AC89" s="15" t="n">
        <f aca="false">IF($A89&lt;Annahmen!$D$55,0,IF($A89=Annahmen!$D$55,Annahmen!$D$56,AC88*(1+Annahmen!$D$57*(1-C88/Annahmen!$D$58))))</f>
        <v>10596.0806092762</v>
      </c>
      <c r="AD89" s="15" t="n">
        <f aca="false">IF($A89&lt;Annahmen!$D$71,0,IF($A89&lt;Annahmen!$D$71+Annahmen!$B$73,Annahmen!$D$72,Annahmen!$D$72*Annahmen!$B$75))</f>
        <v>1500</v>
      </c>
      <c r="AE89" s="7" t="n">
        <f aca="false">IF(Y89&gt;0,1,0)</f>
        <v>1</v>
      </c>
      <c r="AF89" s="7" t="n">
        <f aca="false">IF(Z89&gt;=0,1,0)</f>
        <v>0</v>
      </c>
    </row>
    <row r="90" customFormat="false" ht="15" hidden="false" customHeight="false" outlineLevel="0" collapsed="false">
      <c r="A90" s="7" t="n">
        <v>15</v>
      </c>
      <c r="B90" s="7" t="s">
        <v>404</v>
      </c>
      <c r="C90" s="15" t="n">
        <f aca="false">AC90+AD90</f>
        <v>14370.8230834324</v>
      </c>
      <c r="D90" s="17" t="n">
        <f aca="false">IF($A90&gt;Annahmen!$B$68,INDEX($AC$76:$AC$99,$A90-Annahmen!$B$68),0)*Annahmen!$D$59+IF($A90=Annahmen!$D$71+Annahmen!$B$73,Annahmen!$D$72*Annahmen!$D$74,0)</f>
        <v>158.941209139143</v>
      </c>
      <c r="E90" s="17" t="n">
        <f aca="false">E89*(1-Annahmen!$D$60)+D90</f>
        <v>995.782404626299</v>
      </c>
      <c r="F90" s="17" t="n">
        <f aca="false">E90*(1-Annahmen!$D$61)</f>
        <v>497.891202313149</v>
      </c>
      <c r="G90" s="17" t="n">
        <f aca="false">E90*Annahmen!$D$61</f>
        <v>497.891202313149</v>
      </c>
      <c r="H90" s="24" t="n">
        <f aca="false">F90*Annahmen!$D$87+G90*Annahmen!$D$88</f>
        <v>6384.20994166036</v>
      </c>
      <c r="I90" s="17" t="n">
        <f aca="false">IF($A90&gt;=Annahmen!$D$55,Annahmen!$D$64*(1-Annahmen!$D$65),0)</f>
        <v>2.5</v>
      </c>
      <c r="J90" s="17" t="n">
        <f aca="false">IF($A90&gt;=Annahmen!$D$55,Annahmen!$D$64*Annahmen!$D$65,0)</f>
        <v>2.5</v>
      </c>
      <c r="K90" s="24" t="n">
        <f aca="false">I90*Annahmen!$B$80+J90*Annahmen!$B$81</f>
        <v>337.45</v>
      </c>
      <c r="L90" s="17" t="n">
        <f aca="false">IF($A90&gt;=Annahmen!$D$55,Annahmen!$D$66,0)</f>
        <v>1</v>
      </c>
      <c r="M90" s="24" t="n">
        <f aca="false">L90*Annahmen!$B$82</f>
        <v>149</v>
      </c>
      <c r="N90" s="24" t="n">
        <f aca="false">H90+K90+M90</f>
        <v>6870.65994166036</v>
      </c>
      <c r="O90" s="24" t="n">
        <f aca="false">N90/(1+Annahmen!$B$9)</f>
        <v>5773.66381652131</v>
      </c>
      <c r="P90" s="24" t="n">
        <f aca="false">O90*(Annahmen!$D$63*Annahmen!$B$83+(1-Annahmen!$D$63)*Annahmen!$B$84)+(E90*Annahmen!$D$62+E90*(1-Annahmen!$D$62)/12+I90+J90+L90)*(1-Annahmen!$D$63)*Annahmen!$B$85</f>
        <v>480.190123715857</v>
      </c>
      <c r="Q90" s="17" t="n">
        <f aca="false">Annahmen!$D$67</f>
        <v>12</v>
      </c>
      <c r="R90" s="24" t="n">
        <f aca="false">Q90*(Annahmen!$B$43+Annahmen!$B$154)</f>
        <v>778.451552687232</v>
      </c>
      <c r="S90" s="24" t="n">
        <f aca="false">I90*Annahmen!$B$44+(J90+L90)*Annahmen!$B$45</f>
        <v>190.53822791269</v>
      </c>
      <c r="T90" s="24" t="n">
        <f aca="false">C90*Annahmen!$B$86</f>
        <v>143.708230834324</v>
      </c>
      <c r="U90" s="24" t="n">
        <f aca="false">SUMPRODUCT((((Annahmen!$C$161:$C$174="monatlich")*(Annahmen!$D$161:$D$174&lt;=$A90))+((Annahmen!$C$161:$C$174="einmalig")*(Annahmen!$D$161:$D$174=$A90)))*Annahmen!$B$161:$B$174*Annahmen!$E$161:$E$174)</f>
        <v>69.9850799606897</v>
      </c>
      <c r="V90" s="24" t="n">
        <f aca="false">IF($A90&gt;=Annahmen!$D$55,Annahmen!$D$143,0)</f>
        <v>2000</v>
      </c>
      <c r="W90" s="36" t="n">
        <f aca="false">MAX(0,(E90-Annahmen!$B$147)/Annahmen!$B$148)</f>
        <v>0</v>
      </c>
      <c r="X90" s="24" t="n">
        <f aca="false">W90*Annahmen!$B$146</f>
        <v>0</v>
      </c>
      <c r="Y90" s="24" t="n">
        <f aca="false">O90-P90-R90-S90-T90-U90-V90-X90+AB90</f>
        <v>4785.79873717174</v>
      </c>
      <c r="Z90" s="24" t="n">
        <f aca="false">Z89+Y90</f>
        <v>3611.33398229282</v>
      </c>
      <c r="AA90" s="15" t="n">
        <f aca="false">MAX(0,C90-E90)</f>
        <v>13375.0406788061</v>
      </c>
      <c r="AB90" s="24" t="n">
        <f aca="false">IF($A90&gt;=Annahmen!$D$69,AA90*Annahmen!$D$70,0)</f>
        <v>2675.00813576123</v>
      </c>
      <c r="AC90" s="15" t="n">
        <f aca="false">IF($A90&lt;Annahmen!$D$55,0,IF($A90=Annahmen!$D$55,Annahmen!$D$56,AC89*(1+Annahmen!$D$57*(1-C89/Annahmen!$D$58))))</f>
        <v>12870.8230834324</v>
      </c>
      <c r="AD90" s="15" t="n">
        <f aca="false">IF($A90&lt;Annahmen!$D$71,0,IF($A90&lt;Annahmen!$D$71+Annahmen!$B$73,Annahmen!$D$72,Annahmen!$D$72*Annahmen!$B$75))</f>
        <v>1500</v>
      </c>
      <c r="AE90" s="7" t="n">
        <f aca="false">IF(Y90&gt;0,1,0)</f>
        <v>1</v>
      </c>
      <c r="AF90" s="7" t="n">
        <f aca="false">IF(Z90&gt;=0,1,0)</f>
        <v>1</v>
      </c>
    </row>
    <row r="91" customFormat="false" ht="15" hidden="false" customHeight="false" outlineLevel="0" collapsed="false">
      <c r="A91" s="7" t="n">
        <v>16</v>
      </c>
      <c r="B91" s="7" t="s">
        <v>405</v>
      </c>
      <c r="C91" s="15" t="n">
        <f aca="false">AC91+AD91</f>
        <v>17121.0198603407</v>
      </c>
      <c r="D91" s="17" t="n">
        <f aca="false">IF($A91&gt;Annahmen!$B$68,INDEX($AC$76:$AC$99,$A91-Annahmen!$B$68),0)*Annahmen!$D$59+IF($A91=Annahmen!$D$71+Annahmen!$B$73,Annahmen!$D$72*Annahmen!$D$74,0)</f>
        <v>193.062346251487</v>
      </c>
      <c r="E91" s="17" t="n">
        <f aca="false">E90*(1-Annahmen!$D$60)+D91</f>
        <v>1149.01345469273</v>
      </c>
      <c r="F91" s="17" t="n">
        <f aca="false">E91*(1-Annahmen!$D$61)</f>
        <v>574.506727346367</v>
      </c>
      <c r="G91" s="17" t="n">
        <f aca="false">E91*Annahmen!$D$61</f>
        <v>574.506727346367</v>
      </c>
      <c r="H91" s="24" t="n">
        <f aca="false">F91*Annahmen!$D$87+G91*Annahmen!$D$88</f>
        <v>7366.61251139879</v>
      </c>
      <c r="I91" s="17" t="n">
        <f aca="false">IF($A91&gt;=Annahmen!$D$55,Annahmen!$D$64*(1-Annahmen!$D$65),0)</f>
        <v>2.5</v>
      </c>
      <c r="J91" s="17" t="n">
        <f aca="false">IF($A91&gt;=Annahmen!$D$55,Annahmen!$D$64*Annahmen!$D$65,0)</f>
        <v>2.5</v>
      </c>
      <c r="K91" s="24" t="n">
        <f aca="false">I91*Annahmen!$B$80+J91*Annahmen!$B$81</f>
        <v>337.45</v>
      </c>
      <c r="L91" s="17" t="n">
        <f aca="false">IF($A91&gt;=Annahmen!$D$55,Annahmen!$D$66,0)</f>
        <v>1</v>
      </c>
      <c r="M91" s="24" t="n">
        <f aca="false">L91*Annahmen!$B$82</f>
        <v>149</v>
      </c>
      <c r="N91" s="24" t="n">
        <f aca="false">H91+K91+M91</f>
        <v>7853.06251139879</v>
      </c>
      <c r="O91" s="24" t="n">
        <f aca="false">N91/(1+Annahmen!$B$9)</f>
        <v>6599.21219445276</v>
      </c>
      <c r="P91" s="24" t="n">
        <f aca="false">O91*(Annahmen!$D$63*Annahmen!$B$83+(1-Annahmen!$D$63)*Annahmen!$B$84)+(E91*Annahmen!$D$62+E91*(1-Annahmen!$D$62)/12+I91+J91+L91)*(1-Annahmen!$D$63)*Annahmen!$B$85</f>
        <v>549.602984611025</v>
      </c>
      <c r="Q91" s="17" t="n">
        <f aca="false">Annahmen!$D$67</f>
        <v>12</v>
      </c>
      <c r="R91" s="24" t="n">
        <f aca="false">Q91*(Annahmen!$B$43+Annahmen!$B$154)</f>
        <v>778.451552687232</v>
      </c>
      <c r="S91" s="24" t="n">
        <f aca="false">I91*Annahmen!$B$44+(J91+L91)*Annahmen!$B$45</f>
        <v>190.53822791269</v>
      </c>
      <c r="T91" s="24" t="n">
        <f aca="false">C91*Annahmen!$B$86</f>
        <v>171.210198603407</v>
      </c>
      <c r="U91" s="24" t="n">
        <f aca="false">SUMPRODUCT((((Annahmen!$C$161:$C$174="monatlich")*(Annahmen!$D$161:$D$174&lt;=$A91))+((Annahmen!$C$161:$C$174="einmalig")*(Annahmen!$D$161:$D$174=$A91)))*Annahmen!$B$161:$B$174*Annahmen!$E$161:$E$174)</f>
        <v>69.9850799606897</v>
      </c>
      <c r="V91" s="24" t="n">
        <f aca="false">IF($A91&gt;=Annahmen!$D$55,Annahmen!$D$143,0)</f>
        <v>2000</v>
      </c>
      <c r="W91" s="36" t="n">
        <f aca="false">MAX(0,(E91-Annahmen!$B$147)/Annahmen!$B$148)</f>
        <v>0.0496711515642445</v>
      </c>
      <c r="X91" s="24" t="n">
        <f aca="false">W91*Annahmen!$B$146</f>
        <v>223.5201820391</v>
      </c>
      <c r="Y91" s="24" t="n">
        <f aca="false">O91-P91-R91-S91-T91-U91-V91-X91+AB91</f>
        <v>5810.30524976821</v>
      </c>
      <c r="Z91" s="24" t="n">
        <f aca="false">Z90+Y91</f>
        <v>9421.63923206104</v>
      </c>
      <c r="AA91" s="15" t="n">
        <f aca="false">MAX(0,C91-E91)</f>
        <v>15972.006405648</v>
      </c>
      <c r="AB91" s="24" t="n">
        <f aca="false">IF($A91&gt;=Annahmen!$D$69,AA91*Annahmen!$D$70,0)</f>
        <v>3194.40128112959</v>
      </c>
      <c r="AC91" s="15" t="n">
        <f aca="false">IF($A91&lt;Annahmen!$D$55,0,IF($A91=Annahmen!$D$55,Annahmen!$D$56,AC90*(1+Annahmen!$D$57*(1-C90/Annahmen!$D$58))))</f>
        <v>15621.0198603407</v>
      </c>
      <c r="AD91" s="15" t="n">
        <f aca="false">IF($A91&lt;Annahmen!$D$71,0,IF($A91&lt;Annahmen!$D$71+Annahmen!$B$73,Annahmen!$D$72,Annahmen!$D$72*Annahmen!$B$75))</f>
        <v>1500</v>
      </c>
      <c r="AE91" s="7" t="n">
        <f aca="false">IF(Y91&gt;0,1,0)</f>
        <v>1</v>
      </c>
      <c r="AF91" s="7" t="n">
        <f aca="false">IF(Z91&gt;=0,1,0)</f>
        <v>1</v>
      </c>
    </row>
    <row r="92" customFormat="false" ht="15" hidden="false" customHeight="false" outlineLevel="0" collapsed="false">
      <c r="A92" s="7" t="n">
        <v>17</v>
      </c>
      <c r="B92" s="7" t="s">
        <v>406</v>
      </c>
      <c r="C92" s="15" t="n">
        <f aca="false">AC92+AD92</f>
        <v>20439.9672014579</v>
      </c>
      <c r="D92" s="17" t="n">
        <f aca="false">IF($A92&gt;Annahmen!$B$68,INDEX($AC$76:$AC$99,$A92-Annahmen!$B$68),0)*Annahmen!$D$59+IF($A92=Annahmen!$D$71+Annahmen!$B$73,Annahmen!$D$72*Annahmen!$D$74,0)</f>
        <v>234.315297905111</v>
      </c>
      <c r="E92" s="17" t="n">
        <f aca="false">E91*(1-Annahmen!$D$60)+D92</f>
        <v>1337.36821441013</v>
      </c>
      <c r="F92" s="17" t="n">
        <f aca="false">E92*(1-Annahmen!$D$61)</f>
        <v>668.684107205067</v>
      </c>
      <c r="G92" s="17" t="n">
        <f aca="false">E92*Annahmen!$D$61</f>
        <v>668.684107205067</v>
      </c>
      <c r="H92" s="24" t="n">
        <f aca="false">F92*Annahmen!$D$87+G92*Annahmen!$D$88</f>
        <v>8574.20196463698</v>
      </c>
      <c r="I92" s="17" t="n">
        <f aca="false">IF($A92&gt;=Annahmen!$D$55,Annahmen!$D$64*(1-Annahmen!$D$65),0)</f>
        <v>2.5</v>
      </c>
      <c r="J92" s="17" t="n">
        <f aca="false">IF($A92&gt;=Annahmen!$D$55,Annahmen!$D$64*Annahmen!$D$65,0)</f>
        <v>2.5</v>
      </c>
      <c r="K92" s="24" t="n">
        <f aca="false">I92*Annahmen!$B$80+J92*Annahmen!$B$81</f>
        <v>337.45</v>
      </c>
      <c r="L92" s="17" t="n">
        <f aca="false">IF($A92&gt;=Annahmen!$D$55,Annahmen!$D$66,0)</f>
        <v>1</v>
      </c>
      <c r="M92" s="24" t="n">
        <f aca="false">L92*Annahmen!$B$82</f>
        <v>149</v>
      </c>
      <c r="N92" s="24" t="n">
        <f aca="false">H92+K92+M92</f>
        <v>9060.65196463698</v>
      </c>
      <c r="O92" s="24" t="n">
        <f aca="false">N92/(1+Annahmen!$B$9)</f>
        <v>7613.9932475941</v>
      </c>
      <c r="P92" s="24" t="n">
        <f aca="false">O92*(Annahmen!$D$63*Annahmen!$B$83+(1-Annahmen!$D$63)*Annahmen!$B$84)+(E92*Annahmen!$D$62+E92*(1-Annahmen!$D$62)/12+I92+J92+L92)*(1-Annahmen!$D$63)*Annahmen!$B$85</f>
        <v>634.926701504816</v>
      </c>
      <c r="Q92" s="17" t="n">
        <f aca="false">Annahmen!$D$67</f>
        <v>12</v>
      </c>
      <c r="R92" s="24" t="n">
        <f aca="false">Q92*(Annahmen!$B$43+Annahmen!$B$154)</f>
        <v>778.451552687232</v>
      </c>
      <c r="S92" s="24" t="n">
        <f aca="false">I92*Annahmen!$B$44+(J92+L92)*Annahmen!$B$45</f>
        <v>190.53822791269</v>
      </c>
      <c r="T92" s="24" t="n">
        <f aca="false">C92*Annahmen!$B$86</f>
        <v>204.399672014579</v>
      </c>
      <c r="U92" s="24" t="n">
        <f aca="false">SUMPRODUCT((((Annahmen!$C$161:$C$174="monatlich")*(Annahmen!$D$161:$D$174&lt;=$A92))+((Annahmen!$C$161:$C$174="einmalig")*(Annahmen!$D$161:$D$174=$A92)))*Annahmen!$B$161:$B$174*Annahmen!$E$161:$E$174)</f>
        <v>69.9850799606897</v>
      </c>
      <c r="V92" s="24" t="n">
        <f aca="false">IF($A92&gt;=Annahmen!$D$55,Annahmen!$D$143,0)</f>
        <v>2000</v>
      </c>
      <c r="W92" s="36" t="n">
        <f aca="false">MAX(0,(E92-Annahmen!$B$147)/Annahmen!$B$148)</f>
        <v>0.112456071470045</v>
      </c>
      <c r="X92" s="24" t="n">
        <f aca="false">W92*Annahmen!$B$146</f>
        <v>506.052321615202</v>
      </c>
      <c r="Y92" s="24" t="n">
        <f aca="false">O92-P92-R92-S92-T92-U92-V92-X92+AB92</f>
        <v>7050.15948930844</v>
      </c>
      <c r="Z92" s="24" t="n">
        <f aca="false">Z91+Y92</f>
        <v>16471.7987213695</v>
      </c>
      <c r="AA92" s="15" t="n">
        <f aca="false">MAX(0,C92-E92)</f>
        <v>19102.5989870478</v>
      </c>
      <c r="AB92" s="24" t="n">
        <f aca="false">IF($A92&gt;=Annahmen!$D$69,AA92*Annahmen!$D$70,0)</f>
        <v>3820.51979740955</v>
      </c>
      <c r="AC92" s="15" t="n">
        <f aca="false">IF($A92&lt;Annahmen!$D$55,0,IF($A92=Annahmen!$D$55,Annahmen!$D$56,AC91*(1+Annahmen!$D$57*(1-C91/Annahmen!$D$58))))</f>
        <v>18939.9672014579</v>
      </c>
      <c r="AD92" s="15" t="n">
        <f aca="false">IF($A92&lt;Annahmen!$D$71,0,IF($A92&lt;Annahmen!$D$71+Annahmen!$B$73,Annahmen!$D$72,Annahmen!$D$72*Annahmen!$B$75))</f>
        <v>1500</v>
      </c>
      <c r="AE92" s="7" t="n">
        <f aca="false">IF(Y92&gt;0,1,0)</f>
        <v>1</v>
      </c>
      <c r="AF92" s="7" t="n">
        <f aca="false">IF(Z92&gt;=0,1,0)</f>
        <v>1</v>
      </c>
    </row>
    <row r="93" customFormat="false" ht="15" hidden="false" customHeight="false" outlineLevel="0" collapsed="false">
      <c r="A93" s="7" t="n">
        <v>18</v>
      </c>
      <c r="B93" s="7" t="s">
        <v>407</v>
      </c>
      <c r="C93" s="15" t="n">
        <f aca="false">AC93+AD93</f>
        <v>24436.421770085</v>
      </c>
      <c r="D93" s="17" t="n">
        <f aca="false">IF($A93&gt;Annahmen!$B$68,INDEX($AC$76:$AC$99,$A93-Annahmen!$B$68),0)*Annahmen!$D$59+IF($A93=Annahmen!$D$71+Annahmen!$B$73,Annahmen!$D$72*Annahmen!$D$74,0)</f>
        <v>284.099508021868</v>
      </c>
      <c r="E93" s="17" t="n">
        <f aca="false">E92*(1-Annahmen!$D$60)+D93</f>
        <v>1567.9729938556</v>
      </c>
      <c r="F93" s="17" t="n">
        <f aca="false">E93*(1-Annahmen!$D$61)</f>
        <v>783.986496927799</v>
      </c>
      <c r="G93" s="17" t="n">
        <f aca="false">E93*Annahmen!$D$61</f>
        <v>783.986496927799</v>
      </c>
      <c r="H93" s="24" t="n">
        <f aca="false">F93*Annahmen!$D$87+G93*Annahmen!$D$88</f>
        <v>10052.6668568567</v>
      </c>
      <c r="I93" s="17" t="n">
        <f aca="false">IF($A93&gt;=Annahmen!$D$55,Annahmen!$D$64*(1-Annahmen!$D$65),0)</f>
        <v>2.5</v>
      </c>
      <c r="J93" s="17" t="n">
        <f aca="false">IF($A93&gt;=Annahmen!$D$55,Annahmen!$D$64*Annahmen!$D$65,0)</f>
        <v>2.5</v>
      </c>
      <c r="K93" s="24" t="n">
        <f aca="false">I93*Annahmen!$B$80+J93*Annahmen!$B$81</f>
        <v>337.45</v>
      </c>
      <c r="L93" s="17" t="n">
        <f aca="false">IF($A93&gt;=Annahmen!$D$55,Annahmen!$D$66,0)</f>
        <v>1</v>
      </c>
      <c r="M93" s="24" t="n">
        <f aca="false">L93*Annahmen!$B$82</f>
        <v>149</v>
      </c>
      <c r="N93" s="24" t="n">
        <f aca="false">H93+K93+M93</f>
        <v>10539.1168568567</v>
      </c>
      <c r="O93" s="24" t="n">
        <f aca="false">N93/(1+Annahmen!$B$9)</f>
        <v>8856.40072004765</v>
      </c>
      <c r="P93" s="24" t="n">
        <f aca="false">O93*(Annahmen!$D$63*Annahmen!$B$83+(1-Annahmen!$D$63)*Annahmen!$B$84)+(E93*Annahmen!$D$62+E93*(1-Annahmen!$D$62)/12+I93+J93+L93)*(1-Annahmen!$D$63)*Annahmen!$B$85</f>
        <v>739.389455434055</v>
      </c>
      <c r="Q93" s="17" t="n">
        <f aca="false">Annahmen!$D$67</f>
        <v>12</v>
      </c>
      <c r="R93" s="24" t="n">
        <f aca="false">Q93*(Annahmen!$B$43+Annahmen!$B$154)</f>
        <v>778.451552687232</v>
      </c>
      <c r="S93" s="24" t="n">
        <f aca="false">I93*Annahmen!$B$44+(J93+L93)*Annahmen!$B$45</f>
        <v>190.53822791269</v>
      </c>
      <c r="T93" s="24" t="n">
        <f aca="false">C93*Annahmen!$B$86</f>
        <v>244.36421770085</v>
      </c>
      <c r="U93" s="24" t="n">
        <f aca="false">SUMPRODUCT((((Annahmen!$C$161:$C$174="monatlich")*(Annahmen!$D$161:$D$174&lt;=$A93))+((Annahmen!$C$161:$C$174="einmalig")*(Annahmen!$D$161:$D$174=$A93)))*Annahmen!$B$161:$B$174*Annahmen!$E$161:$E$174)</f>
        <v>69.9850799606897</v>
      </c>
      <c r="V93" s="24" t="n">
        <f aca="false">IF($A93&gt;=Annahmen!$D$55,Annahmen!$D$143,0)</f>
        <v>2000</v>
      </c>
      <c r="W93" s="36" t="n">
        <f aca="false">MAX(0,(E93-Annahmen!$B$147)/Annahmen!$B$148)</f>
        <v>0.189324331285199</v>
      </c>
      <c r="X93" s="24" t="n">
        <f aca="false">W93*Annahmen!$B$146</f>
        <v>851.959490783396</v>
      </c>
      <c r="Y93" s="24" t="n">
        <f aca="false">O93-P93-R93-S93-T93-U93-V93-X93+AB93</f>
        <v>8555.40245081463</v>
      </c>
      <c r="Z93" s="24" t="n">
        <f aca="false">Z92+Y93</f>
        <v>25027.2011721841</v>
      </c>
      <c r="AA93" s="15" t="n">
        <f aca="false">MAX(0,C93-E93)</f>
        <v>22868.4487762294</v>
      </c>
      <c r="AB93" s="24" t="n">
        <f aca="false">IF($A93&gt;=Annahmen!$D$69,AA93*Annahmen!$D$70,0)</f>
        <v>4573.68975524589</v>
      </c>
      <c r="AC93" s="15" t="n">
        <f aca="false">IF($A93&lt;Annahmen!$D$55,0,IF($A93=Annahmen!$D$55,Annahmen!$D$56,AC92*(1+Annahmen!$D$57*(1-C92/Annahmen!$D$58))))</f>
        <v>22936.421770085</v>
      </c>
      <c r="AD93" s="15" t="n">
        <f aca="false">IF($A93&lt;Annahmen!$D$71,0,IF($A93&lt;Annahmen!$D$71+Annahmen!$B$73,Annahmen!$D$72,Annahmen!$D$72*Annahmen!$B$75))</f>
        <v>1500</v>
      </c>
      <c r="AE93" s="7" t="n">
        <f aca="false">IF(Y93&gt;0,1,0)</f>
        <v>1</v>
      </c>
      <c r="AF93" s="7" t="n">
        <f aca="false">IF(Z93&gt;=0,1,0)</f>
        <v>1</v>
      </c>
    </row>
    <row r="94" customFormat="false" ht="15" hidden="false" customHeight="false" outlineLevel="0" collapsed="false">
      <c r="A94" s="7" t="n">
        <v>19</v>
      </c>
      <c r="B94" s="7" t="s">
        <v>408</v>
      </c>
      <c r="C94" s="15" t="n">
        <f aca="false">AC94+AD94</f>
        <v>29235.8215659448</v>
      </c>
      <c r="D94" s="17" t="n">
        <f aca="false">IF($A94&gt;Annahmen!$B$68,INDEX($AC$76:$AC$99,$A94-Annahmen!$B$68),0)*Annahmen!$D$59+IF($A94=Annahmen!$D$71+Annahmen!$B$73,Annahmen!$D$72*Annahmen!$D$74,0)</f>
        <v>344.046326551276</v>
      </c>
      <c r="E94" s="17" t="n">
        <f aca="false">E93*(1-Annahmen!$D$60)+D94</f>
        <v>1849.30040065265</v>
      </c>
      <c r="F94" s="17" t="n">
        <f aca="false">E94*(1-Annahmen!$D$61)</f>
        <v>924.650200326325</v>
      </c>
      <c r="G94" s="17" t="n">
        <f aca="false">E94*Annahmen!$D$61</f>
        <v>924.650200326325</v>
      </c>
      <c r="H94" s="24" t="n">
        <f aca="false">F94*Annahmen!$D$87+G94*Annahmen!$D$88</f>
        <v>11856.3271936843</v>
      </c>
      <c r="I94" s="17" t="n">
        <f aca="false">IF($A94&gt;=Annahmen!$D$55,Annahmen!$D$64*(1-Annahmen!$D$65),0)</f>
        <v>2.5</v>
      </c>
      <c r="J94" s="17" t="n">
        <f aca="false">IF($A94&gt;=Annahmen!$D$55,Annahmen!$D$64*Annahmen!$D$65,0)</f>
        <v>2.5</v>
      </c>
      <c r="K94" s="24" t="n">
        <f aca="false">I94*Annahmen!$B$80+J94*Annahmen!$B$81</f>
        <v>337.45</v>
      </c>
      <c r="L94" s="17" t="n">
        <f aca="false">IF($A94&gt;=Annahmen!$D$55,Annahmen!$D$66,0)</f>
        <v>1</v>
      </c>
      <c r="M94" s="24" t="n">
        <f aca="false">L94*Annahmen!$B$82</f>
        <v>149</v>
      </c>
      <c r="N94" s="24" t="n">
        <f aca="false">H94+K94+M94</f>
        <v>12342.7771936843</v>
      </c>
      <c r="O94" s="24" t="n">
        <f aca="false">N94/(1+Annahmen!$B$9)</f>
        <v>10372.081675365</v>
      </c>
      <c r="P94" s="24" t="n">
        <f aca="false">O94*(Annahmen!$D$63*Annahmen!$B$83+(1-Annahmen!$D$63)*Annahmen!$B$84)+(E94*Annahmen!$D$62+E94*(1-Annahmen!$D$62)/12+I94+J94+L94)*(1-Annahmen!$D$63)*Annahmen!$B$85</f>
        <v>866.82929315321</v>
      </c>
      <c r="Q94" s="17" t="n">
        <f aca="false">Annahmen!$D$67</f>
        <v>12</v>
      </c>
      <c r="R94" s="24" t="n">
        <f aca="false">Q94*(Annahmen!$B$43+Annahmen!$B$154)</f>
        <v>778.451552687232</v>
      </c>
      <c r="S94" s="24" t="n">
        <f aca="false">I94*Annahmen!$B$44+(J94+L94)*Annahmen!$B$45</f>
        <v>190.53822791269</v>
      </c>
      <c r="T94" s="24" t="n">
        <f aca="false">C94*Annahmen!$B$86</f>
        <v>292.358215659448</v>
      </c>
      <c r="U94" s="24" t="n">
        <f aca="false">SUMPRODUCT((((Annahmen!$C$161:$C$174="monatlich")*(Annahmen!$D$161:$D$174&lt;=$A94))+((Annahmen!$C$161:$C$174="einmalig")*(Annahmen!$D$161:$D$174=$A94)))*Annahmen!$B$161:$B$174*Annahmen!$E$161:$E$174)</f>
        <v>69.9850799606897</v>
      </c>
      <c r="V94" s="24" t="n">
        <f aca="false">IF($A94&gt;=Annahmen!$D$55,Annahmen!$D$143,0)</f>
        <v>2000</v>
      </c>
      <c r="W94" s="36" t="n">
        <f aca="false">MAX(0,(E94-Annahmen!$B$147)/Annahmen!$B$148)</f>
        <v>0.283100133550883</v>
      </c>
      <c r="X94" s="24" t="n">
        <f aca="false">W94*Annahmen!$B$146</f>
        <v>1273.95060097897</v>
      </c>
      <c r="Y94" s="24" t="n">
        <f aca="false">O94-P94-R94-S94-T94-U94-V94-X94+AB94</f>
        <v>10377.2729380711</v>
      </c>
      <c r="Z94" s="24" t="n">
        <f aca="false">Z93+Y94</f>
        <v>35404.4741102553</v>
      </c>
      <c r="AA94" s="15" t="n">
        <f aca="false">MAX(0,C94-E94)</f>
        <v>27386.5211652921</v>
      </c>
      <c r="AB94" s="24" t="n">
        <f aca="false">IF($A94&gt;=Annahmen!$D$69,AA94*Annahmen!$D$70,0)</f>
        <v>5477.30423305843</v>
      </c>
      <c r="AC94" s="15" t="n">
        <f aca="false">IF($A94&lt;Annahmen!$D$55,0,IF($A94=Annahmen!$D$55,Annahmen!$D$56,AC93*(1+Annahmen!$D$57*(1-C93/Annahmen!$D$58))))</f>
        <v>27735.8215659448</v>
      </c>
      <c r="AD94" s="15" t="n">
        <f aca="false">IF($A94&lt;Annahmen!$D$71,0,IF($A94&lt;Annahmen!$D$71+Annahmen!$B$73,Annahmen!$D$72,Annahmen!$D$72*Annahmen!$B$75))</f>
        <v>1500</v>
      </c>
      <c r="AE94" s="7" t="n">
        <f aca="false">IF(Y94&gt;0,1,0)</f>
        <v>1</v>
      </c>
      <c r="AF94" s="7" t="n">
        <f aca="false">IF(Z94&gt;=0,1,0)</f>
        <v>1</v>
      </c>
    </row>
    <row r="95" customFormat="false" ht="15" hidden="false" customHeight="false" outlineLevel="0" collapsed="false">
      <c r="A95" s="7" t="n">
        <v>20</v>
      </c>
      <c r="B95" s="7" t="s">
        <v>409</v>
      </c>
      <c r="C95" s="15" t="n">
        <f aca="false">AC95+AD95</f>
        <v>34980.9153171264</v>
      </c>
      <c r="D95" s="17" t="n">
        <f aca="false">IF($A95&gt;Annahmen!$B$68,INDEX($AC$76:$AC$99,$A95-Annahmen!$B$68),0)*Annahmen!$D$59+IF($A95=Annahmen!$D$71+Annahmen!$B$73,Annahmen!$D$72*Annahmen!$D$74,0)</f>
        <v>416.037323489172</v>
      </c>
      <c r="E95" s="17" t="n">
        <f aca="false">E94*(1-Annahmen!$D$60)+D95</f>
        <v>2191.36570811572</v>
      </c>
      <c r="F95" s="17" t="n">
        <f aca="false">E95*(1-Annahmen!$D$61)</f>
        <v>1095.68285405786</v>
      </c>
      <c r="G95" s="17" t="n">
        <f aca="false">E95*Annahmen!$D$61</f>
        <v>1095.68285405786</v>
      </c>
      <c r="H95" s="24" t="n">
        <f aca="false">F95*Annahmen!$D$87+G95*Annahmen!$D$88</f>
        <v>14049.3933961569</v>
      </c>
      <c r="I95" s="17" t="n">
        <f aca="false">IF($A95&gt;=Annahmen!$D$55,Annahmen!$D$64*(1-Annahmen!$D$65),0)</f>
        <v>2.5</v>
      </c>
      <c r="J95" s="17" t="n">
        <f aca="false">IF($A95&gt;=Annahmen!$D$55,Annahmen!$D$64*Annahmen!$D$65,0)</f>
        <v>2.5</v>
      </c>
      <c r="K95" s="24" t="n">
        <f aca="false">I95*Annahmen!$B$80+J95*Annahmen!$B$81</f>
        <v>337.45</v>
      </c>
      <c r="L95" s="17" t="n">
        <f aca="false">IF($A95&gt;=Annahmen!$D$55,Annahmen!$D$66,0)</f>
        <v>1</v>
      </c>
      <c r="M95" s="24" t="n">
        <f aca="false">L95*Annahmen!$B$82</f>
        <v>149</v>
      </c>
      <c r="N95" s="24" t="n">
        <f aca="false">H95+K95+M95</f>
        <v>14535.8433961569</v>
      </c>
      <c r="O95" s="24" t="n">
        <f aca="false">N95/(1+Annahmen!$B$9)</f>
        <v>12214.994450552</v>
      </c>
      <c r="P95" s="24" t="n">
        <f aca="false">O95*(Annahmen!$D$63*Annahmen!$B$83+(1-Annahmen!$D$63)*Annahmen!$B$84)+(E95*Annahmen!$D$62+E95*(1-Annahmen!$D$62)/12+I95+J95+L95)*(1-Annahmen!$D$63)*Annahmen!$B$85</f>
        <v>1021.78308087249</v>
      </c>
      <c r="Q95" s="17" t="n">
        <f aca="false">Annahmen!$D$67</f>
        <v>12</v>
      </c>
      <c r="R95" s="24" t="n">
        <f aca="false">Q95*(Annahmen!$B$43+Annahmen!$B$154)</f>
        <v>778.451552687232</v>
      </c>
      <c r="S95" s="24" t="n">
        <f aca="false">I95*Annahmen!$B$44+(J95+L95)*Annahmen!$B$45</f>
        <v>190.53822791269</v>
      </c>
      <c r="T95" s="24" t="n">
        <f aca="false">C95*Annahmen!$B$86</f>
        <v>349.809153171264</v>
      </c>
      <c r="U95" s="24" t="n">
        <f aca="false">SUMPRODUCT((((Annahmen!$C$161:$C$174="monatlich")*(Annahmen!$D$161:$D$174&lt;=$A95))+((Annahmen!$C$161:$C$174="einmalig")*(Annahmen!$D$161:$D$174=$A95)))*Annahmen!$B$161:$B$174*Annahmen!$E$161:$E$174)</f>
        <v>69.9850799606897</v>
      </c>
      <c r="V95" s="24" t="n">
        <f aca="false">IF($A95&gt;=Annahmen!$D$55,Annahmen!$D$143,0)</f>
        <v>2000</v>
      </c>
      <c r="W95" s="36" t="n">
        <f aca="false">MAX(0,(E95-Annahmen!$B$147)/Annahmen!$B$148)</f>
        <v>0.397121902705238</v>
      </c>
      <c r="X95" s="24" t="n">
        <f aca="false">W95*Annahmen!$B$146</f>
        <v>1787.04856217357</v>
      </c>
      <c r="Y95" s="24" t="n">
        <f aca="false">O95-P95-R95-S95-T95-U95-V95-X95+AB95</f>
        <v>12575.2887155762</v>
      </c>
      <c r="Z95" s="24" t="n">
        <f aca="false">Z94+Y95</f>
        <v>47979.7628258315</v>
      </c>
      <c r="AA95" s="15" t="n">
        <f aca="false">MAX(0,C95-E95)</f>
        <v>32789.5496090107</v>
      </c>
      <c r="AB95" s="24" t="n">
        <f aca="false">IF($A95&gt;=Annahmen!$D$69,AA95*Annahmen!$D$70,0)</f>
        <v>6557.90992180215</v>
      </c>
      <c r="AC95" s="15" t="n">
        <f aca="false">IF($A95&lt;Annahmen!$D$55,0,IF($A95=Annahmen!$D$55,Annahmen!$D$56,AC94*(1+Annahmen!$D$57*(1-C94/Annahmen!$D$58))))</f>
        <v>33480.9153171264</v>
      </c>
      <c r="AD95" s="15" t="n">
        <f aca="false">IF($A95&lt;Annahmen!$D$71,0,IF($A95&lt;Annahmen!$D$71+Annahmen!$B$73,Annahmen!$D$72,Annahmen!$D$72*Annahmen!$B$75))</f>
        <v>1500</v>
      </c>
      <c r="AE95" s="7" t="n">
        <f aca="false">IF(Y95&gt;0,1,0)</f>
        <v>1</v>
      </c>
      <c r="AF95" s="7" t="n">
        <f aca="false">IF(Z95&gt;=0,1,0)</f>
        <v>1</v>
      </c>
    </row>
    <row r="96" customFormat="false" ht="15" hidden="false" customHeight="false" outlineLevel="0" collapsed="false">
      <c r="A96" s="7" t="n">
        <v>21</v>
      </c>
      <c r="B96" s="7" t="s">
        <v>410</v>
      </c>
      <c r="C96" s="15" t="n">
        <f aca="false">AC96+AD96</f>
        <v>41831.391738977</v>
      </c>
      <c r="D96" s="17" t="n">
        <f aca="false">IF($A96&gt;Annahmen!$B$68,INDEX($AC$76:$AC$99,$A96-Annahmen!$B$68),0)*Annahmen!$D$59+IF($A96=Annahmen!$D$71+Annahmen!$B$73,Annahmen!$D$72*Annahmen!$D$74,0)</f>
        <v>502.213729756897</v>
      </c>
      <c r="E96" s="17" t="n">
        <f aca="false">E95*(1-Annahmen!$D$60)+D96</f>
        <v>2605.92480954798</v>
      </c>
      <c r="F96" s="17" t="n">
        <f aca="false">E96*(1-Annahmen!$D$61)</f>
        <v>1302.96240477399</v>
      </c>
      <c r="G96" s="17" t="n">
        <f aca="false">E96*Annahmen!$D$61</f>
        <v>1302.96240477399</v>
      </c>
      <c r="H96" s="24" t="n">
        <f aca="false">F96*Annahmen!$D$87+G96*Annahmen!$D$88</f>
        <v>16707.2354352145</v>
      </c>
      <c r="I96" s="17" t="n">
        <f aca="false">IF($A96&gt;=Annahmen!$D$55,Annahmen!$D$64*(1-Annahmen!$D$65),0)</f>
        <v>2.5</v>
      </c>
      <c r="J96" s="17" t="n">
        <f aca="false">IF($A96&gt;=Annahmen!$D$55,Annahmen!$D$64*Annahmen!$D$65,0)</f>
        <v>2.5</v>
      </c>
      <c r="K96" s="24" t="n">
        <f aca="false">I96*Annahmen!$B$80+J96*Annahmen!$B$81</f>
        <v>337.45</v>
      </c>
      <c r="L96" s="17" t="n">
        <f aca="false">IF($A96&gt;=Annahmen!$D$55,Annahmen!$D$66,0)</f>
        <v>1</v>
      </c>
      <c r="M96" s="24" t="n">
        <f aca="false">L96*Annahmen!$B$82</f>
        <v>149</v>
      </c>
      <c r="N96" s="24" t="n">
        <f aca="false">H96+K96+M96</f>
        <v>17193.6854352145</v>
      </c>
      <c r="O96" s="24" t="n">
        <f aca="false">N96/(1+Annahmen!$B$9)</f>
        <v>14448.4751556424</v>
      </c>
      <c r="P96" s="24" t="n">
        <f aca="false">O96*(Annahmen!$D$63*Annahmen!$B$83+(1-Annahmen!$D$63)*Annahmen!$B$84)+(E96*Annahmen!$D$62+E96*(1-Annahmen!$D$62)/12+I96+J96+L96)*(1-Annahmen!$D$63)*Annahmen!$B$85</f>
        <v>1209.5761765151</v>
      </c>
      <c r="Q96" s="17" t="n">
        <f aca="false">Annahmen!$D$67</f>
        <v>12</v>
      </c>
      <c r="R96" s="24" t="n">
        <f aca="false">Q96*(Annahmen!$B$43+Annahmen!$B$154)</f>
        <v>778.451552687232</v>
      </c>
      <c r="S96" s="24" t="n">
        <f aca="false">I96*Annahmen!$B$44+(J96+L96)*Annahmen!$B$45</f>
        <v>190.53822791269</v>
      </c>
      <c r="T96" s="24" t="n">
        <f aca="false">C96*Annahmen!$B$86</f>
        <v>418.31391738977</v>
      </c>
      <c r="U96" s="24" t="n">
        <f aca="false">SUMPRODUCT((((Annahmen!$C$161:$C$174="monatlich")*(Annahmen!$D$161:$D$174&lt;=$A96))+((Annahmen!$C$161:$C$174="einmalig")*(Annahmen!$D$161:$D$174=$A96)))*Annahmen!$B$161:$B$174*Annahmen!$E$161:$E$174)</f>
        <v>69.9850799606897</v>
      </c>
      <c r="V96" s="24" t="n">
        <f aca="false">IF($A96&gt;=Annahmen!$D$55,Annahmen!$D$143,0)</f>
        <v>2000</v>
      </c>
      <c r="W96" s="36" t="n">
        <f aca="false">MAX(0,(E96-Annahmen!$B$147)/Annahmen!$B$148)</f>
        <v>0.535308269849328</v>
      </c>
      <c r="X96" s="24" t="n">
        <f aca="false">W96*Annahmen!$B$146</f>
        <v>2408.88721432197</v>
      </c>
      <c r="Y96" s="24" t="n">
        <f aca="false">O96-P96-R96-S96-T96-U96-V96-X96+AB96</f>
        <v>15217.8163727408</v>
      </c>
      <c r="Z96" s="24" t="n">
        <f aca="false">Z95+Y96</f>
        <v>63197.5791985722</v>
      </c>
      <c r="AA96" s="15" t="n">
        <f aca="false">MAX(0,C96-E96)</f>
        <v>39225.466929429</v>
      </c>
      <c r="AB96" s="24" t="n">
        <f aca="false">IF($A96&gt;=Annahmen!$D$69,AA96*Annahmen!$D$70,0)</f>
        <v>7845.09338588581</v>
      </c>
      <c r="AC96" s="15" t="n">
        <f aca="false">IF($A96&lt;Annahmen!$D$55,0,IF($A96=Annahmen!$D$55,Annahmen!$D$56,AC95*(1+Annahmen!$D$57*(1-C95/Annahmen!$D$58))))</f>
        <v>40331.391738977</v>
      </c>
      <c r="AD96" s="15" t="n">
        <f aca="false">IF($A96&lt;Annahmen!$D$71,0,IF($A96&lt;Annahmen!$D$71+Annahmen!$B$73,Annahmen!$D$72,Annahmen!$D$72*Annahmen!$B$75))</f>
        <v>1500</v>
      </c>
      <c r="AE96" s="7" t="n">
        <f aca="false">IF(Y96&gt;0,1,0)</f>
        <v>1</v>
      </c>
      <c r="AF96" s="7" t="n">
        <f aca="false">IF(Z96&gt;=0,1,0)</f>
        <v>1</v>
      </c>
    </row>
    <row r="97" customFormat="false" ht="15" hidden="false" customHeight="false" outlineLevel="0" collapsed="false">
      <c r="A97" s="7" t="n">
        <v>22</v>
      </c>
      <c r="B97" s="7" t="s">
        <v>411</v>
      </c>
      <c r="C97" s="15" t="n">
        <f aca="false">AC97+AD97</f>
        <v>49961.965892779</v>
      </c>
      <c r="D97" s="17" t="n">
        <f aca="false">IF($A97&gt;Annahmen!$B$68,INDEX($AC$76:$AC$99,$A97-Annahmen!$B$68),0)*Annahmen!$D$59+IF($A97=Annahmen!$D$71+Annahmen!$B$73,Annahmen!$D$72*Annahmen!$D$74,0)</f>
        <v>604.970876084655</v>
      </c>
      <c r="E97" s="17" t="n">
        <f aca="false">E96*(1-Annahmen!$D$60)+D97</f>
        <v>3106.65869325072</v>
      </c>
      <c r="F97" s="17" t="n">
        <f aca="false">E97*(1-Annahmen!$D$61)</f>
        <v>1553.32934662536</v>
      </c>
      <c r="G97" s="17" t="n">
        <f aca="false">E97*Annahmen!$D$61</f>
        <v>1553.32934662536</v>
      </c>
      <c r="H97" s="24" t="n">
        <f aca="false">F97*Annahmen!$D$87+G97*Annahmen!$D$88</f>
        <v>19917.5655471037</v>
      </c>
      <c r="I97" s="17" t="n">
        <f aca="false">IF($A97&gt;=Annahmen!$D$55,Annahmen!$D$64*(1-Annahmen!$D$65),0)</f>
        <v>2.5</v>
      </c>
      <c r="J97" s="17" t="n">
        <f aca="false">IF($A97&gt;=Annahmen!$D$55,Annahmen!$D$64*Annahmen!$D$65,0)</f>
        <v>2.5</v>
      </c>
      <c r="K97" s="24" t="n">
        <f aca="false">I97*Annahmen!$B$80+J97*Annahmen!$B$81</f>
        <v>337.45</v>
      </c>
      <c r="L97" s="17" t="n">
        <f aca="false">IF($A97&gt;=Annahmen!$D$55,Annahmen!$D$66,0)</f>
        <v>1</v>
      </c>
      <c r="M97" s="24" t="n">
        <f aca="false">L97*Annahmen!$B$82</f>
        <v>149</v>
      </c>
      <c r="N97" s="24" t="n">
        <f aca="false">H97+K97+M97</f>
        <v>20404.0155471037</v>
      </c>
      <c r="O97" s="24" t="n">
        <f aca="false">N97/(1+Annahmen!$B$9)</f>
        <v>17146.231552188</v>
      </c>
      <c r="P97" s="24" t="n">
        <f aca="false">O97*(Annahmen!$D$63*Annahmen!$B$83+(1-Annahmen!$D$63)*Annahmen!$B$84)+(E97*Annahmen!$D$62+E97*(1-Annahmen!$D$62)/12+I97+J97+L97)*(1-Annahmen!$D$63)*Annahmen!$B$85</f>
        <v>1436.40599592759</v>
      </c>
      <c r="Q97" s="17" t="n">
        <f aca="false">Annahmen!$D$67</f>
        <v>12</v>
      </c>
      <c r="R97" s="24" t="n">
        <f aca="false">Q97*(Annahmen!$B$43+Annahmen!$B$154)</f>
        <v>778.451552687232</v>
      </c>
      <c r="S97" s="24" t="n">
        <f aca="false">I97*Annahmen!$B$44+(J97+L97)*Annahmen!$B$45</f>
        <v>190.53822791269</v>
      </c>
      <c r="T97" s="24" t="n">
        <f aca="false">C97*Annahmen!$B$86</f>
        <v>499.61965892779</v>
      </c>
      <c r="U97" s="24" t="n">
        <f aca="false">SUMPRODUCT((((Annahmen!$C$161:$C$174="monatlich")*(Annahmen!$D$161:$D$174&lt;=$A97))+((Annahmen!$C$161:$C$174="einmalig")*(Annahmen!$D$161:$D$174=$A97)))*Annahmen!$B$161:$B$174*Annahmen!$E$161:$E$174)</f>
        <v>69.9850799606897</v>
      </c>
      <c r="V97" s="24" t="n">
        <f aca="false">IF($A97&gt;=Annahmen!$D$55,Annahmen!$D$143,0)</f>
        <v>2000</v>
      </c>
      <c r="W97" s="36" t="n">
        <f aca="false">MAX(0,(E97-Annahmen!$B$147)/Annahmen!$B$148)</f>
        <v>0.702219564416906</v>
      </c>
      <c r="X97" s="24" t="n">
        <f aca="false">W97*Annahmen!$B$146</f>
        <v>3159.98803987608</v>
      </c>
      <c r="Y97" s="24" t="n">
        <f aca="false">O97-P97-R97-S97-T97-U97-V97-X97+AB97</f>
        <v>18382.3044368015</v>
      </c>
      <c r="Z97" s="24" t="n">
        <f aca="false">Z96+Y97</f>
        <v>81579.8836353738</v>
      </c>
      <c r="AA97" s="15" t="n">
        <f aca="false">MAX(0,C97-E97)</f>
        <v>46855.3071995283</v>
      </c>
      <c r="AB97" s="24" t="n">
        <f aca="false">IF($A97&gt;=Annahmen!$D$69,AA97*Annahmen!$D$70,0)</f>
        <v>9371.06143990566</v>
      </c>
      <c r="AC97" s="15" t="n">
        <f aca="false">IF($A97&lt;Annahmen!$D$55,0,IF($A97=Annahmen!$D$55,Annahmen!$D$56,AC96*(1+Annahmen!$D$57*(1-C96/Annahmen!$D$58))))</f>
        <v>48461.965892779</v>
      </c>
      <c r="AD97" s="15" t="n">
        <f aca="false">IF($A97&lt;Annahmen!$D$71,0,IF($A97&lt;Annahmen!$D$71+Annahmen!$B$73,Annahmen!$D$72,Annahmen!$D$72*Annahmen!$B$75))</f>
        <v>1500</v>
      </c>
      <c r="AE97" s="7" t="n">
        <f aca="false">IF(Y97&gt;0,1,0)</f>
        <v>1</v>
      </c>
      <c r="AF97" s="7" t="n">
        <f aca="false">IF(Z97&gt;=0,1,0)</f>
        <v>1</v>
      </c>
    </row>
    <row r="98" customFormat="false" ht="15" hidden="false" customHeight="false" outlineLevel="0" collapsed="false">
      <c r="A98" s="7" t="n">
        <v>23</v>
      </c>
      <c r="B98" s="7" t="s">
        <v>412</v>
      </c>
      <c r="C98" s="15" t="n">
        <f aca="false">AC98+AD98</f>
        <v>59558.2461508963</v>
      </c>
      <c r="D98" s="17" t="n">
        <f aca="false">IF($A98&gt;Annahmen!$B$68,INDEX($AC$76:$AC$99,$A98-Annahmen!$B$68),0)*Annahmen!$D$59+IF($A98=Annahmen!$D$71+Annahmen!$B$73,Annahmen!$D$72*Annahmen!$D$74,0)</f>
        <v>726.929488391685</v>
      </c>
      <c r="E98" s="17" t="n">
        <f aca="false">E97*(1-Annahmen!$D$60)+D98</f>
        <v>3709.32183391238</v>
      </c>
      <c r="F98" s="17" t="n">
        <f aca="false">E98*(1-Annahmen!$D$61)</f>
        <v>1854.66091695619</v>
      </c>
      <c r="G98" s="17" t="n">
        <f aca="false">E98*Annahmen!$D$61</f>
        <v>1854.66091695619</v>
      </c>
      <c r="H98" s="24" t="n">
        <f aca="false">F98*Annahmen!$D$87+G98*Annahmen!$D$88</f>
        <v>23781.3896076707</v>
      </c>
      <c r="I98" s="17" t="n">
        <f aca="false">IF($A98&gt;=Annahmen!$D$55,Annahmen!$D$64*(1-Annahmen!$D$65),0)</f>
        <v>2.5</v>
      </c>
      <c r="J98" s="17" t="n">
        <f aca="false">IF($A98&gt;=Annahmen!$D$55,Annahmen!$D$64*Annahmen!$D$65,0)</f>
        <v>2.5</v>
      </c>
      <c r="K98" s="24" t="n">
        <f aca="false">I98*Annahmen!$B$80+J98*Annahmen!$B$81</f>
        <v>337.45</v>
      </c>
      <c r="L98" s="17" t="n">
        <f aca="false">IF($A98&gt;=Annahmen!$D$55,Annahmen!$D$66,0)</f>
        <v>1</v>
      </c>
      <c r="M98" s="24" t="n">
        <f aca="false">L98*Annahmen!$B$82</f>
        <v>149</v>
      </c>
      <c r="N98" s="24" t="n">
        <f aca="false">H98+K98+M98</f>
        <v>24267.8396076707</v>
      </c>
      <c r="O98" s="24" t="n">
        <f aca="false">N98/(1+Annahmen!$B$9)</f>
        <v>20393.1425274544</v>
      </c>
      <c r="P98" s="24" t="n">
        <f aca="false">O98*(Annahmen!$D$63*Annahmen!$B$83+(1-Annahmen!$D$63)*Annahmen!$B$84)+(E98*Annahmen!$D$62+E98*(1-Annahmen!$D$62)/12+I98+J98+L98)*(1-Annahmen!$D$63)*Annahmen!$B$85</f>
        <v>1709.40923339973</v>
      </c>
      <c r="Q98" s="17" t="n">
        <f aca="false">Annahmen!$D$67</f>
        <v>12</v>
      </c>
      <c r="R98" s="24" t="n">
        <f aca="false">Q98*(Annahmen!$B$43+Annahmen!$B$154)</f>
        <v>778.451552687232</v>
      </c>
      <c r="S98" s="24" t="n">
        <f aca="false">I98*Annahmen!$B$44+(J98+L98)*Annahmen!$B$45</f>
        <v>190.53822791269</v>
      </c>
      <c r="T98" s="24" t="n">
        <f aca="false">C98*Annahmen!$B$86</f>
        <v>595.582461508963</v>
      </c>
      <c r="U98" s="24" t="n">
        <f aca="false">SUMPRODUCT((((Annahmen!$C$161:$C$174="monatlich")*(Annahmen!$D$161:$D$174&lt;=$A98))+((Annahmen!$C$161:$C$174="einmalig")*(Annahmen!$D$161:$D$174=$A98)))*Annahmen!$B$161:$B$174*Annahmen!$E$161:$E$174)</f>
        <v>69.9850799606897</v>
      </c>
      <c r="V98" s="24" t="n">
        <f aca="false">IF($A98&gt;=Annahmen!$D$55,Annahmen!$D$143,0)</f>
        <v>2000</v>
      </c>
      <c r="W98" s="36" t="n">
        <f aca="false">MAX(0,(E98-Annahmen!$B$147)/Annahmen!$B$148)</f>
        <v>0.903107277970792</v>
      </c>
      <c r="X98" s="24" t="n">
        <f aca="false">W98*Annahmen!$B$146</f>
        <v>4063.98275086856</v>
      </c>
      <c r="Y98" s="24" t="n">
        <f aca="false">O98-P98-R98-S98-T98-U98-V98-X98+AB98</f>
        <v>22154.9780845133</v>
      </c>
      <c r="Z98" s="24" t="n">
        <f aca="false">Z97+Y98</f>
        <v>103734.861719887</v>
      </c>
      <c r="AA98" s="15" t="n">
        <f aca="false">MAX(0,C98-E98)</f>
        <v>55848.9243169839</v>
      </c>
      <c r="AB98" s="24" t="n">
        <f aca="false">IF($A98&gt;=Annahmen!$D$69,AA98*Annahmen!$D$70,0)</f>
        <v>11169.7848633968</v>
      </c>
      <c r="AC98" s="15" t="n">
        <f aca="false">IF($A98&lt;Annahmen!$D$55,0,IF($A98=Annahmen!$D$55,Annahmen!$D$56,AC97*(1+Annahmen!$D$57*(1-C97/Annahmen!$D$58))))</f>
        <v>58058.2461508963</v>
      </c>
      <c r="AD98" s="15" t="n">
        <f aca="false">IF($A98&lt;Annahmen!$D$71,0,IF($A98&lt;Annahmen!$D$71+Annahmen!$B$73,Annahmen!$D$72,Annahmen!$D$72*Annahmen!$B$75))</f>
        <v>1500</v>
      </c>
      <c r="AE98" s="7" t="n">
        <f aca="false">IF(Y98&gt;0,1,0)</f>
        <v>1</v>
      </c>
      <c r="AF98" s="7" t="n">
        <f aca="false">IF(Z98&gt;=0,1,0)</f>
        <v>1</v>
      </c>
    </row>
    <row r="99" customFormat="false" ht="15" hidden="false" customHeight="false" outlineLevel="0" collapsed="false">
      <c r="A99" s="7" t="n">
        <v>24</v>
      </c>
      <c r="B99" s="7" t="s">
        <v>413</v>
      </c>
      <c r="C99" s="15" t="n">
        <f aca="false">AC99+AD99</f>
        <v>70809.6074853419</v>
      </c>
      <c r="D99" s="17" t="n">
        <f aca="false">IF($A99&gt;Annahmen!$B$68,INDEX($AC$76:$AC$99,$A99-Annahmen!$B$68),0)*Annahmen!$D$59+IF($A99=Annahmen!$D$71+Annahmen!$B$73,Annahmen!$D$72*Annahmen!$D$74,0)</f>
        <v>870.873692263444</v>
      </c>
      <c r="E99" s="17" t="n">
        <f aca="false">E98*(1-Annahmen!$D$60)+D99</f>
        <v>4431.82265281932</v>
      </c>
      <c r="F99" s="17" t="n">
        <f aca="false">E99*(1-Annahmen!$D$61)</f>
        <v>2215.91132640966</v>
      </c>
      <c r="G99" s="17" t="n">
        <f aca="false">E99*Annahmen!$D$61</f>
        <v>2215.91132640966</v>
      </c>
      <c r="H99" s="24" t="n">
        <f aca="false">F99*Annahmen!$D$87+G99*Annahmen!$D$88</f>
        <v>28413.5229828879</v>
      </c>
      <c r="I99" s="17" t="n">
        <f aca="false">IF($A99&gt;=Annahmen!$D$55,Annahmen!$D$64*(1-Annahmen!$D$65),0)</f>
        <v>2.5</v>
      </c>
      <c r="J99" s="17" t="n">
        <f aca="false">IF($A99&gt;=Annahmen!$D$55,Annahmen!$D$64*Annahmen!$D$65,0)</f>
        <v>2.5</v>
      </c>
      <c r="K99" s="24" t="n">
        <f aca="false">I99*Annahmen!$B$80+J99*Annahmen!$B$81</f>
        <v>337.45</v>
      </c>
      <c r="L99" s="17" t="n">
        <f aca="false">IF($A99&gt;=Annahmen!$D$55,Annahmen!$D$66,0)</f>
        <v>1</v>
      </c>
      <c r="M99" s="24" t="n">
        <f aca="false">L99*Annahmen!$B$82</f>
        <v>149</v>
      </c>
      <c r="N99" s="24" t="n">
        <f aca="false">H99+K99+M99</f>
        <v>28899.9729828879</v>
      </c>
      <c r="O99" s="24" t="n">
        <f aca="false">N99/(1+Annahmen!$B$9)</f>
        <v>24285.6915822587</v>
      </c>
      <c r="P99" s="24" t="n">
        <f aca="false">O99*(Annahmen!$D$63*Annahmen!$B$83+(1-Annahmen!$D$63)*Annahmen!$B$84)+(E99*Annahmen!$D$62+E99*(1-Annahmen!$D$62)/12+I99+J99+L99)*(1-Annahmen!$D$63)*Annahmen!$B$85</f>
        <v>2036.69830971742</v>
      </c>
      <c r="Q99" s="17" t="n">
        <f aca="false">Annahmen!$D$67</f>
        <v>12</v>
      </c>
      <c r="R99" s="24" t="n">
        <f aca="false">Q99*(Annahmen!$B$43+Annahmen!$B$154)</f>
        <v>778.451552687232</v>
      </c>
      <c r="S99" s="24" t="n">
        <f aca="false">I99*Annahmen!$B$44+(J99+L99)*Annahmen!$B$45</f>
        <v>190.53822791269</v>
      </c>
      <c r="T99" s="24" t="n">
        <f aca="false">C99*Annahmen!$B$86</f>
        <v>708.096074853419</v>
      </c>
      <c r="U99" s="24" t="n">
        <f aca="false">SUMPRODUCT((((Annahmen!$C$161:$C$174="monatlich")*(Annahmen!$D$161:$D$174&lt;=$A99))+((Annahmen!$C$161:$C$174="einmalig")*(Annahmen!$D$161:$D$174=$A99)))*Annahmen!$B$161:$B$174*Annahmen!$E$161:$E$174)</f>
        <v>69.9850799606897</v>
      </c>
      <c r="V99" s="24" t="n">
        <f aca="false">IF($A99&gt;=Annahmen!$D$55,Annahmen!$D$143,0)</f>
        <v>2000</v>
      </c>
      <c r="W99" s="36" t="n">
        <f aca="false">MAX(0,(E99-Annahmen!$B$147)/Annahmen!$B$148)</f>
        <v>1.14394088427311</v>
      </c>
      <c r="X99" s="24" t="n">
        <f aca="false">W99*Annahmen!$B$146</f>
        <v>5147.73397922899</v>
      </c>
      <c r="Y99" s="24" t="n">
        <f aca="false">O99-P99-R99-S99-T99-U99-V99-X99+AB99</f>
        <v>26629.7453244028</v>
      </c>
      <c r="Z99" s="24" t="n">
        <f aca="false">Z98+Y99</f>
        <v>130364.60704429</v>
      </c>
      <c r="AA99" s="15" t="n">
        <f aca="false">MAX(0,C99-E99)</f>
        <v>66377.7848325226</v>
      </c>
      <c r="AB99" s="24" t="n">
        <f aca="false">IF($A99&gt;=Annahmen!$D$69,AA99*Annahmen!$D$70,0)</f>
        <v>13275.5569665045</v>
      </c>
      <c r="AC99" s="15" t="n">
        <f aca="false">IF($A99&lt;Annahmen!$D$55,0,IF($A99=Annahmen!$D$55,Annahmen!$D$56,AC98*(1+Annahmen!$D$57*(1-C98/Annahmen!$D$58))))</f>
        <v>69309.6074853419</v>
      </c>
      <c r="AD99" s="15" t="n">
        <f aca="false">IF($A99&lt;Annahmen!$D$71,0,IF($A99&lt;Annahmen!$D$71+Annahmen!$B$73,Annahmen!$D$72,Annahmen!$D$72*Annahmen!$B$75))</f>
        <v>1500</v>
      </c>
      <c r="AE99" s="7" t="n">
        <f aca="false">IF(Y99&gt;0,1,0)</f>
        <v>1</v>
      </c>
      <c r="AF99" s="7" t="n">
        <f aca="false">IF(Z99&gt;=0,1,0)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0" min="3" style="0" width="13"/>
  </cols>
  <sheetData>
    <row r="1" customFormat="false" ht="17.35" hidden="false" customHeight="false" outlineLevel="0" collapsed="false">
      <c r="A1" s="1" t="s">
        <v>414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52.2" hidden="false" customHeight="false" outlineLevel="0" collapsed="false">
      <c r="A3" s="4" t="s">
        <v>348</v>
      </c>
      <c r="B3" s="32" t="str">
        <f aca="false">"vorsichtig – "&amp;Annahmen!$B$142</f>
        <v>vorsichtig – teures Hobby</v>
      </c>
      <c r="C3" s="32" t="str">
        <f aca="false">"mittel – "&amp;Annahmen!$C$142</f>
        <v>mittel – profitabler Nebenerwerb</v>
      </c>
      <c r="D3" s="32" t="str">
        <f aca="false">"stark – "&amp;Annahmen!$D$142</f>
        <v>stark – skalierbares Business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5" hidden="false" customHeight="false" outlineLevel="0" collapsed="false">
      <c r="A4" s="33" t="s">
        <v>349</v>
      </c>
      <c r="B4" s="33" t="str">
        <f aca="false">IFERROR("Monat "&amp;MATCH(1,AC18:AC41,0)&amp;" ("&amp;INDEX($B$18:$B$41,MATCH(1,AC18:AC41,0))&amp;")","nicht in 24 M")</f>
        <v>Monat 8 (08/2027)</v>
      </c>
      <c r="C4" s="33" t="str">
        <f aca="false">IFERROR("Monat "&amp;MATCH(1,AC47:AC70,0)&amp;" ("&amp;INDEX($B$47:$B$70,MATCH(1,AC47:AC70,0))&amp;")","nicht in 24 M")</f>
        <v>Monat 4 (04/2027)</v>
      </c>
      <c r="D4" s="33" t="str">
        <f aca="false">IFERROR("Monat "&amp;MATCH(1,AC76:AC99,0)&amp;" ("&amp;INDEX($B$76:$B$99,MATCH(1,AC76:AC99,0))&amp;")","nicht in 24 M")</f>
        <v>Monat 3 (03/2027)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5" hidden="false" customHeight="false" outlineLevel="0" collapsed="false">
      <c r="A5" s="33" t="s">
        <v>350</v>
      </c>
      <c r="B5" s="33" t="str">
        <f aca="false">IFERROR("Monat "&amp;MATCH(1,AD18:AD41,0)&amp;" ("&amp;INDEX($B$18:$B$41,MATCH(1,AD18:AD41,0))&amp;")","nicht in 24 M")</f>
        <v>Monat 22 (10/2028)</v>
      </c>
      <c r="C5" s="33" t="str">
        <f aca="false">IFERROR("Monat "&amp;MATCH(1,AD47:AD70,0)&amp;" ("&amp;INDEX($B$47:$B$70,MATCH(1,AD47:AD70,0))&amp;")","nicht in 24 M")</f>
        <v>Monat 6 (06/2027)</v>
      </c>
      <c r="D5" s="33" t="str">
        <f aca="false">IFERROR("Monat "&amp;MATCH(1,AD76:AD99,0)&amp;" ("&amp;INDEX($B$76:$B$99,MATCH(1,AD76:AD99,0))&amp;")","nicht in 24 M")</f>
        <v>Monat 3 (03/2027)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5" hidden="false" customHeight="false" outlineLevel="0" collapsed="false">
      <c r="A6" s="33" t="s">
        <v>415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5" hidden="false" customHeight="false" outlineLevel="0" collapsed="false">
      <c r="A7" s="7" t="s">
        <v>416</v>
      </c>
      <c r="B7" s="34" t="n">
        <f aca="false">Annahmen!$B$105-Annahmen!$B$52</f>
        <v>473.806305162154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5" hidden="false" customHeight="false" outlineLevel="0" collapsed="false">
      <c r="A8" s="7" t="s">
        <v>417</v>
      </c>
      <c r="B8" s="34" t="n">
        <f aca="false">Annahmen!$B$106-Annahmen!$B$46</f>
        <v>148.722434010855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5" hidden="false" customHeight="false" outlineLevel="0" collapsed="false">
      <c r="A9" s="7" t="s">
        <v>418</v>
      </c>
      <c r="B9" s="34" t="n">
        <f aca="false">Annahmen!$B$106+Annahmen!$B$107-Annahmen!$B$48</f>
        <v>530.328256728624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5" hidden="false" customHeight="false" outlineLevel="0" collapsed="false">
      <c r="A10" s="7" t="s">
        <v>419</v>
      </c>
      <c r="B10" s="34" t="n">
        <f aca="false">Annahmen!$B$108-Annahmen!$B$49</f>
        <v>188.552433897726</v>
      </c>
      <c r="C10" s="34" t="n">
        <f aca="false">Annahmen!$B$108+Annahmen!$B$111-Annahmen!$B$49</f>
        <v>317.584691962242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5" hidden="false" customHeight="false" outlineLevel="0" collapsed="false">
      <c r="A11" s="7" t="s">
        <v>420</v>
      </c>
      <c r="B11" s="34" t="n">
        <f aca="false">Annahmen!$B$111</f>
        <v>129.032258064516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5" hidden="false" customHeight="false" outlineLevel="0" collapsed="false">
      <c r="A12" s="7" t="s">
        <v>421</v>
      </c>
      <c r="B12" s="34" t="n">
        <f aca="false">Annahmen!$B$112-Annahmen!$B$50</f>
        <v>87.4166543321986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5" hidden="false" customHeight="false" outlineLevel="0" collapsed="false">
      <c r="A13" s="7" t="s">
        <v>422</v>
      </c>
      <c r="B13" s="34" t="n">
        <f aca="false">Annahmen!$B$113-Annahmen!$B$51</f>
        <v>5.97989815062986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5" hidden="false" customHeight="false" outlineLevel="0" collapsed="false">
      <c r="A14" s="7" t="s">
        <v>423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5" hidden="false" customHeight="false" outlineLevel="0" collapsed="false">
      <c r="A16" s="5" t="str">
        <f aca="false">"Szenario vorsichtig – "&amp;Annahmen!$B$142</f>
        <v>Szenario vorsichtig – teures Hobby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2"/>
      <c r="AD16" s="2"/>
    </row>
    <row r="17" customFormat="false" ht="42" hidden="false" customHeight="true" outlineLevel="0" collapsed="false">
      <c r="A17" s="35" t="s">
        <v>99</v>
      </c>
      <c r="B17" s="35" t="s">
        <v>359</v>
      </c>
      <c r="C17" s="35" t="s">
        <v>424</v>
      </c>
      <c r="D17" s="35" t="s">
        <v>425</v>
      </c>
      <c r="E17" s="35" t="s">
        <v>426</v>
      </c>
      <c r="F17" s="35" t="s">
        <v>427</v>
      </c>
      <c r="G17" s="35" t="s">
        <v>428</v>
      </c>
      <c r="H17" s="35" t="s">
        <v>429</v>
      </c>
      <c r="I17" s="35" t="s">
        <v>430</v>
      </c>
      <c r="J17" s="35" t="s">
        <v>431</v>
      </c>
      <c r="K17" s="35" t="s">
        <v>432</v>
      </c>
      <c r="L17" s="35" t="s">
        <v>433</v>
      </c>
      <c r="M17" s="35" t="s">
        <v>434</v>
      </c>
      <c r="N17" s="35" t="s">
        <v>435</v>
      </c>
      <c r="O17" s="35" t="s">
        <v>436</v>
      </c>
      <c r="P17" s="35" t="s">
        <v>437</v>
      </c>
      <c r="Q17" s="35" t="s">
        <v>438</v>
      </c>
      <c r="R17" s="35" t="s">
        <v>439</v>
      </c>
      <c r="S17" s="35" t="s">
        <v>440</v>
      </c>
      <c r="T17" s="35" t="s">
        <v>441</v>
      </c>
      <c r="U17" s="35" t="s">
        <v>442</v>
      </c>
      <c r="V17" s="35" t="s">
        <v>378</v>
      </c>
      <c r="W17" s="35" t="s">
        <v>379</v>
      </c>
      <c r="X17" s="35" t="s">
        <v>443</v>
      </c>
      <c r="Y17" s="35" t="s">
        <v>380</v>
      </c>
      <c r="Z17" s="35" t="s">
        <v>381</v>
      </c>
      <c r="AA17" s="35" t="s">
        <v>382</v>
      </c>
      <c r="AB17" s="35" t="s">
        <v>383</v>
      </c>
      <c r="AC17" s="35" t="s">
        <v>388</v>
      </c>
      <c r="AD17" s="35" t="s">
        <v>389</v>
      </c>
    </row>
    <row r="18" customFormat="false" ht="15" hidden="false" customHeight="false" outlineLevel="0" collapsed="false">
      <c r="A18" s="7" t="n">
        <v>1</v>
      </c>
      <c r="B18" s="7" t="s">
        <v>390</v>
      </c>
      <c r="C18" s="17" t="n">
        <f aca="false">IF($A18&gt;=Annahmen!$B$91,Annahmen!$B$92,0)</f>
        <v>0</v>
      </c>
      <c r="D18" s="17" t="n">
        <f aca="false">C18*Annahmen!$B$93</f>
        <v>0</v>
      </c>
      <c r="E18" s="24" t="n">
        <f aca="false">(C18-D18)*Annahmen!$B$105</f>
        <v>0</v>
      </c>
      <c r="F18" s="17" t="n">
        <f aca="false">IF($A18&gt;Annahmen!$B$95,INDEX($C$18:$C$41,$A18-Annahmen!$B$95)*Annahmen!$B$94,0)</f>
        <v>0</v>
      </c>
      <c r="G18" s="24" t="n">
        <f aca="false">F18*(Annahmen!$B$96*(Annahmen!$B$106+Annahmen!$B$107)-Annahmen!$B$105*(1-Annahmen!$B$93))</f>
        <v>0</v>
      </c>
      <c r="H18" s="17" t="n">
        <f aca="false">IF($A18&gt;=Annahmen!$B$91,Annahmen!$B$97,0)</f>
        <v>0</v>
      </c>
      <c r="I18" s="24" t="n">
        <f aca="false">H18*(Annahmen!$B$106+Annahmen!$B$98*Annahmen!$B$107)</f>
        <v>0</v>
      </c>
      <c r="J18" s="17" t="n">
        <f aca="false">IF($A18&gt;=Annahmen!$B$91,Annahmen!$B$99,0)</f>
        <v>0</v>
      </c>
      <c r="K18" s="24" t="n">
        <f aca="false">J18*(Annahmen!$B$108+Annahmen!$B$100*Annahmen!$B$111)</f>
        <v>0</v>
      </c>
      <c r="L18" s="17" t="n">
        <f aca="false">IF($A18&gt;=Annahmen!$B$91,Annahmen!$B$101,0)</f>
        <v>0</v>
      </c>
      <c r="M18" s="24" t="n">
        <f aca="false">L18*Annahmen!$B$112</f>
        <v>0</v>
      </c>
      <c r="N18" s="15" t="n">
        <f aca="false">IF($A18&gt;=Annahmen!$B$91,Annahmen!$B$102,0)</f>
        <v>0</v>
      </c>
      <c r="O18" s="24" t="n">
        <f aca="false">N18*Annahmen!$B$113</f>
        <v>0</v>
      </c>
      <c r="P18" s="15" t="n">
        <f aca="false">IF($A18&gt;=Annahmen!$B$91,Annahmen!$B$103,0)</f>
        <v>0</v>
      </c>
      <c r="Q18" s="24" t="n">
        <f aca="false">P18*Annahmen!$B$114</f>
        <v>0</v>
      </c>
      <c r="R18" s="17" t="n">
        <f aca="false">IF($A18&gt;=Annahmen!$B$91,Annahmen!$B$104,0)</f>
        <v>0</v>
      </c>
      <c r="S18" s="24" t="n">
        <f aca="false">R18*Annahmen!$B$115</f>
        <v>0</v>
      </c>
      <c r="T18" s="24" t="n">
        <f aca="false">E18+G18+I18+K18+M18+O18+Q18+S18</f>
        <v>0</v>
      </c>
      <c r="U18" s="24" t="n">
        <f aca="false">C18*Annahmen!$B$52+F18*Annahmen!$B$96*Annahmen!$B$48+H18*(Annahmen!$B$46+Annahmen!$B$98*(Annahmen!$B$48-Annahmen!$B$46))+J18*Annahmen!$B$49+L18*Annahmen!$B$50+(N18+P18)*Annahmen!$B$51</f>
        <v>0</v>
      </c>
      <c r="V18" s="24" t="n">
        <f aca="false">SUMPRODUCT((((Annahmen!$C$161:$C$174="monatlich")*(Annahmen!$D$161:$D$174&lt;=$A18))+((Annahmen!$C$161:$C$174="einmalig")*(Annahmen!$D$161:$D$174=$A18)))*Annahmen!$B$161:$B$174*Annahmen!$F$161:$F$174)</f>
        <v>1856.16889953485</v>
      </c>
      <c r="W18" s="24" t="n">
        <f aca="false">Annahmen!$B$144</f>
        <v>50</v>
      </c>
      <c r="X18" s="17" t="n">
        <f aca="false">C18+F18*Annahmen!$B$96+H18+J18+L18/Annahmen!$B$47+(N18+P18)/(Annahmen!$B$24/Annahmen!$B$25)</f>
        <v>0</v>
      </c>
      <c r="Y18" s="36" t="n">
        <f aca="false">MAX(0,(X18-Annahmen!$B$149)/Annahmen!$B$150)</f>
        <v>0</v>
      </c>
      <c r="Z18" s="24" t="n">
        <f aca="false">Y18*Annahmen!$B$146</f>
        <v>0</v>
      </c>
      <c r="AA18" s="24" t="n">
        <f aca="false">T18-U18-V18-W18-Z18</f>
        <v>-1906.16889953485</v>
      </c>
      <c r="AB18" s="24" t="n">
        <f aca="false">AA18</f>
        <v>-1906.16889953485</v>
      </c>
      <c r="AC18" s="7" t="n">
        <f aca="false">IF(AA18&gt;0,1,0)</f>
        <v>0</v>
      </c>
      <c r="AD18" s="7" t="n">
        <f aca="false">IF(AB18&gt;=0,1,0)</f>
        <v>0</v>
      </c>
    </row>
    <row r="19" customFormat="false" ht="15" hidden="false" customHeight="false" outlineLevel="0" collapsed="false">
      <c r="A19" s="7" t="n">
        <v>2</v>
      </c>
      <c r="B19" s="7" t="s">
        <v>391</v>
      </c>
      <c r="C19" s="17" t="n">
        <f aca="false">IF($A19&gt;=Annahmen!$B$91,Annahmen!$B$92,0)</f>
        <v>0</v>
      </c>
      <c r="D19" s="17" t="n">
        <f aca="false">C19*Annahmen!$B$93</f>
        <v>0</v>
      </c>
      <c r="E19" s="24" t="n">
        <f aca="false">(C19-D19)*Annahmen!$B$105</f>
        <v>0</v>
      </c>
      <c r="F19" s="17" t="n">
        <f aca="false">IF($A19&gt;Annahmen!$B$95,INDEX($C$18:$C$41,$A19-Annahmen!$B$95)*Annahmen!$B$94,0)</f>
        <v>0</v>
      </c>
      <c r="G19" s="24" t="n">
        <f aca="false">F19*(Annahmen!$B$96*(Annahmen!$B$106+Annahmen!$B$107)-Annahmen!$B$105*(1-Annahmen!$B$93))</f>
        <v>0</v>
      </c>
      <c r="H19" s="17" t="n">
        <f aca="false">IF($A19&gt;=Annahmen!$B$91,Annahmen!$B$97,0)</f>
        <v>0</v>
      </c>
      <c r="I19" s="24" t="n">
        <f aca="false">H19*(Annahmen!$B$106+Annahmen!$B$98*Annahmen!$B$107)</f>
        <v>0</v>
      </c>
      <c r="J19" s="17" t="n">
        <f aca="false">IF($A19&gt;=Annahmen!$B$91,Annahmen!$B$99,0)</f>
        <v>0</v>
      </c>
      <c r="K19" s="24" t="n">
        <f aca="false">J19*(Annahmen!$B$108+Annahmen!$B$100*Annahmen!$B$111)</f>
        <v>0</v>
      </c>
      <c r="L19" s="17" t="n">
        <f aca="false">IF($A19&gt;=Annahmen!$B$91,Annahmen!$B$101,0)</f>
        <v>0</v>
      </c>
      <c r="M19" s="24" t="n">
        <f aca="false">L19*Annahmen!$B$112</f>
        <v>0</v>
      </c>
      <c r="N19" s="15" t="n">
        <f aca="false">IF($A19&gt;=Annahmen!$B$91,Annahmen!$B$102,0)</f>
        <v>0</v>
      </c>
      <c r="O19" s="24" t="n">
        <f aca="false">N19*Annahmen!$B$113</f>
        <v>0</v>
      </c>
      <c r="P19" s="15" t="n">
        <f aca="false">IF($A19&gt;=Annahmen!$B$91,Annahmen!$B$103,0)</f>
        <v>0</v>
      </c>
      <c r="Q19" s="24" t="n">
        <f aca="false">P19*Annahmen!$B$114</f>
        <v>0</v>
      </c>
      <c r="R19" s="17" t="n">
        <f aca="false">IF($A19&gt;=Annahmen!$B$91,Annahmen!$B$104,0)</f>
        <v>0</v>
      </c>
      <c r="S19" s="24" t="n">
        <f aca="false">R19*Annahmen!$B$115</f>
        <v>0</v>
      </c>
      <c r="T19" s="24" t="n">
        <f aca="false">E19+G19+I19+K19+M19+O19+Q19+S19</f>
        <v>0</v>
      </c>
      <c r="U19" s="24" t="n">
        <f aca="false">C19*Annahmen!$B$52+F19*Annahmen!$B$96*Annahmen!$B$48+H19*(Annahmen!$B$46+Annahmen!$B$98*(Annahmen!$B$48-Annahmen!$B$46))+J19*Annahmen!$B$49+L19*Annahmen!$B$50+(N19+P19)*Annahmen!$B$51</f>
        <v>0</v>
      </c>
      <c r="V19" s="24" t="n">
        <f aca="false">SUMPRODUCT((((Annahmen!$C$161:$C$174="monatlich")*(Annahmen!$D$161:$D$174&lt;=$A19))+((Annahmen!$C$161:$C$174="einmalig")*(Annahmen!$D$161:$D$174=$A19)))*Annahmen!$B$161:$B$174*Annahmen!$F$161:$F$174)</f>
        <v>50.8275708031806</v>
      </c>
      <c r="W19" s="24" t="n">
        <f aca="false">Annahmen!$B$144</f>
        <v>50</v>
      </c>
      <c r="X19" s="17" t="n">
        <f aca="false">C19+F19*Annahmen!$B$96+H19+J19+L19/Annahmen!$B$47+(N19+P19)/(Annahmen!$B$24/Annahmen!$B$25)</f>
        <v>0</v>
      </c>
      <c r="Y19" s="36" t="n">
        <f aca="false">MAX(0,(X19-Annahmen!$B$149)/Annahmen!$B$150)</f>
        <v>0</v>
      </c>
      <c r="Z19" s="24" t="n">
        <f aca="false">Y19*Annahmen!$B$146</f>
        <v>0</v>
      </c>
      <c r="AA19" s="24" t="n">
        <f aca="false">T19-U19-V19-W19-Z19</f>
        <v>-100.827570803181</v>
      </c>
      <c r="AB19" s="24" t="n">
        <f aca="false">AB18+AA19</f>
        <v>-2006.99647033803</v>
      </c>
      <c r="AC19" s="7" t="n">
        <f aca="false">IF(AA19&gt;0,1,0)</f>
        <v>0</v>
      </c>
      <c r="AD19" s="7" t="n">
        <f aca="false">IF(AB19&gt;=0,1,0)</f>
        <v>0</v>
      </c>
    </row>
    <row r="20" customFormat="false" ht="15" hidden="false" customHeight="false" outlineLevel="0" collapsed="false">
      <c r="A20" s="7" t="n">
        <v>3</v>
      </c>
      <c r="B20" s="7" t="s">
        <v>392</v>
      </c>
      <c r="C20" s="17" t="n">
        <f aca="false">IF($A20&gt;=Annahmen!$B$91,Annahmen!$B$92,0)</f>
        <v>0</v>
      </c>
      <c r="D20" s="17" t="n">
        <f aca="false">C20*Annahmen!$B$93</f>
        <v>0</v>
      </c>
      <c r="E20" s="24" t="n">
        <f aca="false">(C20-D20)*Annahmen!$B$105</f>
        <v>0</v>
      </c>
      <c r="F20" s="17" t="n">
        <f aca="false">IF($A20&gt;Annahmen!$B$95,INDEX($C$18:$C$41,$A20-Annahmen!$B$95)*Annahmen!$B$94,0)</f>
        <v>0</v>
      </c>
      <c r="G20" s="24" t="n">
        <f aca="false">F20*(Annahmen!$B$96*(Annahmen!$B$106+Annahmen!$B$107)-Annahmen!$B$105*(1-Annahmen!$B$93))</f>
        <v>0</v>
      </c>
      <c r="H20" s="17" t="n">
        <f aca="false">IF($A20&gt;=Annahmen!$B$91,Annahmen!$B$97,0)</f>
        <v>0</v>
      </c>
      <c r="I20" s="24" t="n">
        <f aca="false">H20*(Annahmen!$B$106+Annahmen!$B$98*Annahmen!$B$107)</f>
        <v>0</v>
      </c>
      <c r="J20" s="17" t="n">
        <f aca="false">IF($A20&gt;=Annahmen!$B$91,Annahmen!$B$99,0)</f>
        <v>0</v>
      </c>
      <c r="K20" s="24" t="n">
        <f aca="false">J20*(Annahmen!$B$108+Annahmen!$B$100*Annahmen!$B$111)</f>
        <v>0</v>
      </c>
      <c r="L20" s="17" t="n">
        <f aca="false">IF($A20&gt;=Annahmen!$B$91,Annahmen!$B$101,0)</f>
        <v>0</v>
      </c>
      <c r="M20" s="24" t="n">
        <f aca="false">L20*Annahmen!$B$112</f>
        <v>0</v>
      </c>
      <c r="N20" s="15" t="n">
        <f aca="false">IF($A20&gt;=Annahmen!$B$91,Annahmen!$B$102,0)</f>
        <v>0</v>
      </c>
      <c r="O20" s="24" t="n">
        <f aca="false">N20*Annahmen!$B$113</f>
        <v>0</v>
      </c>
      <c r="P20" s="15" t="n">
        <f aca="false">IF($A20&gt;=Annahmen!$B$91,Annahmen!$B$103,0)</f>
        <v>0</v>
      </c>
      <c r="Q20" s="24" t="n">
        <f aca="false">P20*Annahmen!$B$114</f>
        <v>0</v>
      </c>
      <c r="R20" s="17" t="n">
        <f aca="false">IF($A20&gt;=Annahmen!$B$91,Annahmen!$B$104,0)</f>
        <v>0</v>
      </c>
      <c r="S20" s="24" t="n">
        <f aca="false">R20*Annahmen!$B$115</f>
        <v>0</v>
      </c>
      <c r="T20" s="24" t="n">
        <f aca="false">E20+G20+I20+K20+M20+O20+Q20+S20</f>
        <v>0</v>
      </c>
      <c r="U20" s="24" t="n">
        <f aca="false">C20*Annahmen!$B$52+F20*Annahmen!$B$96*Annahmen!$B$48+H20*(Annahmen!$B$46+Annahmen!$B$98*(Annahmen!$B$48-Annahmen!$B$46))+J20*Annahmen!$B$49+L20*Annahmen!$B$50+(N20+P20)*Annahmen!$B$51</f>
        <v>0</v>
      </c>
      <c r="V20" s="24" t="n">
        <f aca="false">SUMPRODUCT((((Annahmen!$C$161:$C$174="monatlich")*(Annahmen!$D$161:$D$174&lt;=$A20))+((Annahmen!$C$161:$C$174="einmalig")*(Annahmen!$D$161:$D$174=$A20)))*Annahmen!$B$161:$B$174*Annahmen!$F$161:$F$174)</f>
        <v>330.827570803181</v>
      </c>
      <c r="W20" s="24" t="n">
        <f aca="false">Annahmen!$B$144</f>
        <v>50</v>
      </c>
      <c r="X20" s="17" t="n">
        <f aca="false">C20+F20*Annahmen!$B$96+H20+J20+L20/Annahmen!$B$47+(N20+P20)/(Annahmen!$B$24/Annahmen!$B$25)</f>
        <v>0</v>
      </c>
      <c r="Y20" s="36" t="n">
        <f aca="false">MAX(0,(X20-Annahmen!$B$149)/Annahmen!$B$150)</f>
        <v>0</v>
      </c>
      <c r="Z20" s="24" t="n">
        <f aca="false">Y20*Annahmen!$B$146</f>
        <v>0</v>
      </c>
      <c r="AA20" s="24" t="n">
        <f aca="false">T20-U20-V20-W20-Z20</f>
        <v>-380.827570803181</v>
      </c>
      <c r="AB20" s="24" t="n">
        <f aca="false">AB19+AA20</f>
        <v>-2387.82404114121</v>
      </c>
      <c r="AC20" s="7" t="n">
        <f aca="false">IF(AA20&gt;0,1,0)</f>
        <v>0</v>
      </c>
      <c r="AD20" s="7" t="n">
        <f aca="false">IF(AB20&gt;=0,1,0)</f>
        <v>0</v>
      </c>
    </row>
    <row r="21" customFormat="false" ht="15" hidden="false" customHeight="false" outlineLevel="0" collapsed="false">
      <c r="A21" s="7" t="n">
        <v>4</v>
      </c>
      <c r="B21" s="7" t="s">
        <v>393</v>
      </c>
      <c r="C21" s="17" t="n">
        <f aca="false">IF($A21&gt;=Annahmen!$B$91,Annahmen!$B$92,0)</f>
        <v>0</v>
      </c>
      <c r="D21" s="17" t="n">
        <f aca="false">C21*Annahmen!$B$93</f>
        <v>0</v>
      </c>
      <c r="E21" s="24" t="n">
        <f aca="false">(C21-D21)*Annahmen!$B$105</f>
        <v>0</v>
      </c>
      <c r="F21" s="17" t="n">
        <f aca="false">IF($A21&gt;Annahmen!$B$95,INDEX($C$18:$C$41,$A21-Annahmen!$B$95)*Annahmen!$B$94,0)</f>
        <v>0</v>
      </c>
      <c r="G21" s="24" t="n">
        <f aca="false">F21*(Annahmen!$B$96*(Annahmen!$B$106+Annahmen!$B$107)-Annahmen!$B$105*(1-Annahmen!$B$93))</f>
        <v>0</v>
      </c>
      <c r="H21" s="17" t="n">
        <f aca="false">IF($A21&gt;=Annahmen!$B$91,Annahmen!$B$97,0)</f>
        <v>0</v>
      </c>
      <c r="I21" s="24" t="n">
        <f aca="false">H21*(Annahmen!$B$106+Annahmen!$B$98*Annahmen!$B$107)</f>
        <v>0</v>
      </c>
      <c r="J21" s="17" t="n">
        <f aca="false">IF($A21&gt;=Annahmen!$B$91,Annahmen!$B$99,0)</f>
        <v>0</v>
      </c>
      <c r="K21" s="24" t="n">
        <f aca="false">J21*(Annahmen!$B$108+Annahmen!$B$100*Annahmen!$B$111)</f>
        <v>0</v>
      </c>
      <c r="L21" s="17" t="n">
        <f aca="false">IF($A21&gt;=Annahmen!$B$91,Annahmen!$B$101,0)</f>
        <v>0</v>
      </c>
      <c r="M21" s="24" t="n">
        <f aca="false">L21*Annahmen!$B$112</f>
        <v>0</v>
      </c>
      <c r="N21" s="15" t="n">
        <f aca="false">IF($A21&gt;=Annahmen!$B$91,Annahmen!$B$102,0)</f>
        <v>0</v>
      </c>
      <c r="O21" s="24" t="n">
        <f aca="false">N21*Annahmen!$B$113</f>
        <v>0</v>
      </c>
      <c r="P21" s="15" t="n">
        <f aca="false">IF($A21&gt;=Annahmen!$B$91,Annahmen!$B$103,0)</f>
        <v>0</v>
      </c>
      <c r="Q21" s="24" t="n">
        <f aca="false">P21*Annahmen!$B$114</f>
        <v>0</v>
      </c>
      <c r="R21" s="17" t="n">
        <f aca="false">IF($A21&gt;=Annahmen!$B$91,Annahmen!$B$104,0)</f>
        <v>0</v>
      </c>
      <c r="S21" s="24" t="n">
        <f aca="false">R21*Annahmen!$B$115</f>
        <v>0</v>
      </c>
      <c r="T21" s="24" t="n">
        <f aca="false">E21+G21+I21+K21+M21+O21+Q21+S21</f>
        <v>0</v>
      </c>
      <c r="U21" s="24" t="n">
        <f aca="false">C21*Annahmen!$B$52+F21*Annahmen!$B$96*Annahmen!$B$48+H21*(Annahmen!$B$46+Annahmen!$B$98*(Annahmen!$B$48-Annahmen!$B$46))+J21*Annahmen!$B$49+L21*Annahmen!$B$50+(N21+P21)*Annahmen!$B$51</f>
        <v>0</v>
      </c>
      <c r="V21" s="24" t="n">
        <f aca="false">SUMPRODUCT((((Annahmen!$C$161:$C$174="monatlich")*(Annahmen!$D$161:$D$174&lt;=$A21))+((Annahmen!$C$161:$C$174="einmalig")*(Annahmen!$D$161:$D$174=$A21)))*Annahmen!$B$161:$B$174*Annahmen!$F$161:$F$174)</f>
        <v>50.8275708031806</v>
      </c>
      <c r="W21" s="24" t="n">
        <f aca="false">Annahmen!$B$144</f>
        <v>50</v>
      </c>
      <c r="X21" s="17" t="n">
        <f aca="false">C21+F21*Annahmen!$B$96+H21+J21+L21/Annahmen!$B$47+(N21+P21)/(Annahmen!$B$24/Annahmen!$B$25)</f>
        <v>0</v>
      </c>
      <c r="Y21" s="36" t="n">
        <f aca="false">MAX(0,(X21-Annahmen!$B$149)/Annahmen!$B$150)</f>
        <v>0</v>
      </c>
      <c r="Z21" s="24" t="n">
        <f aca="false">Y21*Annahmen!$B$146</f>
        <v>0</v>
      </c>
      <c r="AA21" s="24" t="n">
        <f aca="false">T21-U21-V21-W21-Z21</f>
        <v>-100.827570803181</v>
      </c>
      <c r="AB21" s="24" t="n">
        <f aca="false">AB20+AA21</f>
        <v>-2488.65161194439</v>
      </c>
      <c r="AC21" s="7" t="n">
        <f aca="false">IF(AA21&gt;0,1,0)</f>
        <v>0</v>
      </c>
      <c r="AD21" s="7" t="n">
        <f aca="false">IF(AB21&gt;=0,1,0)</f>
        <v>0</v>
      </c>
    </row>
    <row r="22" customFormat="false" ht="15" hidden="false" customHeight="false" outlineLevel="0" collapsed="false">
      <c r="A22" s="7" t="n">
        <v>5</v>
      </c>
      <c r="B22" s="7" t="s">
        <v>394</v>
      </c>
      <c r="C22" s="17" t="n">
        <f aca="false">IF($A22&gt;=Annahmen!$B$91,Annahmen!$B$92,0)</f>
        <v>0.3</v>
      </c>
      <c r="D22" s="17" t="n">
        <f aca="false">C22*Annahmen!$B$93</f>
        <v>0.09</v>
      </c>
      <c r="E22" s="24" t="n">
        <f aca="false">(C22-D22)*Annahmen!$B$105</f>
        <v>102.9</v>
      </c>
      <c r="F22" s="17" t="n">
        <f aca="false">IF($A22&gt;Annahmen!$B$95,INDEX($C$18:$C$41,$A22-Annahmen!$B$95)*Annahmen!$B$94,0)</f>
        <v>0</v>
      </c>
      <c r="G22" s="24" t="n">
        <f aca="false">F22*(Annahmen!$B$96*(Annahmen!$B$106+Annahmen!$B$107)-Annahmen!$B$105*(1-Annahmen!$B$93))</f>
        <v>0</v>
      </c>
      <c r="H22" s="17" t="n">
        <f aca="false">IF($A22&gt;=Annahmen!$B$91,Annahmen!$B$97,0)</f>
        <v>0</v>
      </c>
      <c r="I22" s="24" t="n">
        <f aca="false">H22*(Annahmen!$B$106+Annahmen!$B$98*Annahmen!$B$107)</f>
        <v>0</v>
      </c>
      <c r="J22" s="17" t="n">
        <f aca="false">IF($A22&gt;=Annahmen!$B$91,Annahmen!$B$99,0)</f>
        <v>0</v>
      </c>
      <c r="K22" s="24" t="n">
        <f aca="false">J22*(Annahmen!$B$108+Annahmen!$B$100*Annahmen!$B$111)</f>
        <v>0</v>
      </c>
      <c r="L22" s="17" t="n">
        <f aca="false">IF($A22&gt;=Annahmen!$B$91,Annahmen!$B$101,0)</f>
        <v>0</v>
      </c>
      <c r="M22" s="24" t="n">
        <f aca="false">L22*Annahmen!$B$112</f>
        <v>0</v>
      </c>
      <c r="N22" s="15" t="n">
        <f aca="false">IF($A22&gt;=Annahmen!$B$91,Annahmen!$B$102,0)</f>
        <v>0</v>
      </c>
      <c r="O22" s="24" t="n">
        <f aca="false">N22*Annahmen!$B$113</f>
        <v>0</v>
      </c>
      <c r="P22" s="15" t="n">
        <f aca="false">IF($A22&gt;=Annahmen!$B$91,Annahmen!$B$103,0)</f>
        <v>0</v>
      </c>
      <c r="Q22" s="24" t="n">
        <f aca="false">P22*Annahmen!$B$114</f>
        <v>0</v>
      </c>
      <c r="R22" s="17" t="n">
        <f aca="false">IF($A22&gt;=Annahmen!$B$91,Annahmen!$B$104,0)</f>
        <v>0</v>
      </c>
      <c r="S22" s="24" t="n">
        <f aca="false">R22*Annahmen!$B$115</f>
        <v>0</v>
      </c>
      <c r="T22" s="24" t="n">
        <f aca="false">E22+G22+I22+K22+M22+O22+Q22+S22</f>
        <v>102.9</v>
      </c>
      <c r="U22" s="24" t="n">
        <f aca="false">C22*Annahmen!$B$52+F22*Annahmen!$B$96*Annahmen!$B$48+H22*(Annahmen!$B$46+Annahmen!$B$98*(Annahmen!$B$48-Annahmen!$B$46))+J22*Annahmen!$B$49+L22*Annahmen!$B$50+(N22+P22)*Annahmen!$B$51</f>
        <v>4.85810845135387</v>
      </c>
      <c r="V22" s="24" t="n">
        <f aca="false">SUMPRODUCT((((Annahmen!$C$161:$C$174="monatlich")*(Annahmen!$D$161:$D$174&lt;=$A22))+((Annahmen!$C$161:$C$174="einmalig")*(Annahmen!$D$161:$D$174=$A22)))*Annahmen!$B$161:$B$174*Annahmen!$F$161:$F$174)</f>
        <v>610.827570803181</v>
      </c>
      <c r="W22" s="24" t="n">
        <f aca="false">Annahmen!$B$144</f>
        <v>50</v>
      </c>
      <c r="X22" s="17" t="n">
        <f aca="false">C22+F22*Annahmen!$B$96+H22+J22+L22/Annahmen!$B$47+(N22+P22)/(Annahmen!$B$24/Annahmen!$B$25)</f>
        <v>0.3</v>
      </c>
      <c r="Y22" s="36" t="n">
        <f aca="false">MAX(0,(X22-Annahmen!$B$149)/Annahmen!$B$150)</f>
        <v>0</v>
      </c>
      <c r="Z22" s="24" t="n">
        <f aca="false">Y22*Annahmen!$B$146</f>
        <v>0</v>
      </c>
      <c r="AA22" s="24" t="n">
        <f aca="false">T22-U22-V22-W22-Z22</f>
        <v>-562.785679254534</v>
      </c>
      <c r="AB22" s="24" t="n">
        <f aca="false">AB21+AA22</f>
        <v>-3051.43729119892</v>
      </c>
      <c r="AC22" s="7" t="n">
        <f aca="false">IF(AA22&gt;0,1,0)</f>
        <v>0</v>
      </c>
      <c r="AD22" s="7" t="n">
        <f aca="false">IF(AB22&gt;=0,1,0)</f>
        <v>0</v>
      </c>
    </row>
    <row r="23" customFormat="false" ht="15" hidden="false" customHeight="false" outlineLevel="0" collapsed="false">
      <c r="A23" s="7" t="n">
        <v>6</v>
      </c>
      <c r="B23" s="7" t="s">
        <v>395</v>
      </c>
      <c r="C23" s="17" t="n">
        <f aca="false">IF($A23&gt;=Annahmen!$B$91,Annahmen!$B$92,0)</f>
        <v>0.3</v>
      </c>
      <c r="D23" s="17" t="n">
        <f aca="false">C23*Annahmen!$B$93</f>
        <v>0.09</v>
      </c>
      <c r="E23" s="24" t="n">
        <f aca="false">(C23-D23)*Annahmen!$B$105</f>
        <v>102.9</v>
      </c>
      <c r="F23" s="17" t="n">
        <f aca="false">IF($A23&gt;Annahmen!$B$95,INDEX($C$18:$C$41,$A23-Annahmen!$B$95)*Annahmen!$B$94,0)</f>
        <v>0</v>
      </c>
      <c r="G23" s="24" t="n">
        <f aca="false">F23*(Annahmen!$B$96*(Annahmen!$B$106+Annahmen!$B$107)-Annahmen!$B$105*(1-Annahmen!$B$93))</f>
        <v>0</v>
      </c>
      <c r="H23" s="17" t="n">
        <f aca="false">IF($A23&gt;=Annahmen!$B$91,Annahmen!$B$97,0)</f>
        <v>0</v>
      </c>
      <c r="I23" s="24" t="n">
        <f aca="false">H23*(Annahmen!$B$106+Annahmen!$B$98*Annahmen!$B$107)</f>
        <v>0</v>
      </c>
      <c r="J23" s="17" t="n">
        <f aca="false">IF($A23&gt;=Annahmen!$B$91,Annahmen!$B$99,0)</f>
        <v>0</v>
      </c>
      <c r="K23" s="24" t="n">
        <f aca="false">J23*(Annahmen!$B$108+Annahmen!$B$100*Annahmen!$B$111)</f>
        <v>0</v>
      </c>
      <c r="L23" s="17" t="n">
        <f aca="false">IF($A23&gt;=Annahmen!$B$91,Annahmen!$B$101,0)</f>
        <v>0</v>
      </c>
      <c r="M23" s="24" t="n">
        <f aca="false">L23*Annahmen!$B$112</f>
        <v>0</v>
      </c>
      <c r="N23" s="15" t="n">
        <f aca="false">IF($A23&gt;=Annahmen!$B$91,Annahmen!$B$102,0)</f>
        <v>0</v>
      </c>
      <c r="O23" s="24" t="n">
        <f aca="false">N23*Annahmen!$B$113</f>
        <v>0</v>
      </c>
      <c r="P23" s="15" t="n">
        <f aca="false">IF($A23&gt;=Annahmen!$B$91,Annahmen!$B$103,0)</f>
        <v>0</v>
      </c>
      <c r="Q23" s="24" t="n">
        <f aca="false">P23*Annahmen!$B$114</f>
        <v>0</v>
      </c>
      <c r="R23" s="17" t="n">
        <f aca="false">IF($A23&gt;=Annahmen!$B$91,Annahmen!$B$104,0)</f>
        <v>0</v>
      </c>
      <c r="S23" s="24" t="n">
        <f aca="false">R23*Annahmen!$B$115</f>
        <v>0</v>
      </c>
      <c r="T23" s="24" t="n">
        <f aca="false">E23+G23+I23+K23+M23+O23+Q23+S23</f>
        <v>102.9</v>
      </c>
      <c r="U23" s="24" t="n">
        <f aca="false">C23*Annahmen!$B$52+F23*Annahmen!$B$96*Annahmen!$B$48+H23*(Annahmen!$B$46+Annahmen!$B$98*(Annahmen!$B$48-Annahmen!$B$46))+J23*Annahmen!$B$49+L23*Annahmen!$B$50+(N23+P23)*Annahmen!$B$51</f>
        <v>4.85810845135387</v>
      </c>
      <c r="V23" s="24" t="n">
        <f aca="false">SUMPRODUCT((((Annahmen!$C$161:$C$174="monatlich")*(Annahmen!$D$161:$D$174&lt;=$A23))+((Annahmen!$C$161:$C$174="einmalig")*(Annahmen!$D$161:$D$174=$A23)))*Annahmen!$B$161:$B$174*Annahmen!$F$161:$F$174)</f>
        <v>50.8275708031806</v>
      </c>
      <c r="W23" s="24" t="n">
        <f aca="false">Annahmen!$B$144</f>
        <v>50</v>
      </c>
      <c r="X23" s="17" t="n">
        <f aca="false">C23+F23*Annahmen!$B$96+H23+J23+L23/Annahmen!$B$47+(N23+P23)/(Annahmen!$B$24/Annahmen!$B$25)</f>
        <v>0.3</v>
      </c>
      <c r="Y23" s="36" t="n">
        <f aca="false">MAX(0,(X23-Annahmen!$B$149)/Annahmen!$B$150)</f>
        <v>0</v>
      </c>
      <c r="Z23" s="24" t="n">
        <f aca="false">Y23*Annahmen!$B$146</f>
        <v>0</v>
      </c>
      <c r="AA23" s="24" t="n">
        <f aca="false">T23-U23-V23-W23-Z23</f>
        <v>-2.78567925453444</v>
      </c>
      <c r="AB23" s="24" t="n">
        <f aca="false">AB22+AA23</f>
        <v>-3054.22297045346</v>
      </c>
      <c r="AC23" s="7" t="n">
        <f aca="false">IF(AA23&gt;0,1,0)</f>
        <v>0</v>
      </c>
      <c r="AD23" s="7" t="n">
        <f aca="false">IF(AB23&gt;=0,1,0)</f>
        <v>0</v>
      </c>
    </row>
    <row r="24" customFormat="false" ht="15" hidden="false" customHeight="false" outlineLevel="0" collapsed="false">
      <c r="A24" s="7" t="n">
        <v>7</v>
      </c>
      <c r="B24" s="7" t="s">
        <v>396</v>
      </c>
      <c r="C24" s="17" t="n">
        <f aca="false">IF($A24&gt;=Annahmen!$B$91,Annahmen!$B$92,0)</f>
        <v>0.3</v>
      </c>
      <c r="D24" s="17" t="n">
        <f aca="false">C24*Annahmen!$B$93</f>
        <v>0.09</v>
      </c>
      <c r="E24" s="24" t="n">
        <f aca="false">(C24-D24)*Annahmen!$B$105</f>
        <v>102.9</v>
      </c>
      <c r="F24" s="17" t="n">
        <f aca="false">IF($A24&gt;Annahmen!$B$95,INDEX($C$18:$C$41,$A24-Annahmen!$B$95)*Annahmen!$B$94,0)</f>
        <v>0</v>
      </c>
      <c r="G24" s="24" t="n">
        <f aca="false">F24*(Annahmen!$B$96*(Annahmen!$B$106+Annahmen!$B$107)-Annahmen!$B$105*(1-Annahmen!$B$93))</f>
        <v>0</v>
      </c>
      <c r="H24" s="17" t="n">
        <f aca="false">IF($A24&gt;=Annahmen!$B$91,Annahmen!$B$97,0)</f>
        <v>0</v>
      </c>
      <c r="I24" s="24" t="n">
        <f aca="false">H24*(Annahmen!$B$106+Annahmen!$B$98*Annahmen!$B$107)</f>
        <v>0</v>
      </c>
      <c r="J24" s="17" t="n">
        <f aca="false">IF($A24&gt;=Annahmen!$B$91,Annahmen!$B$99,0)</f>
        <v>0</v>
      </c>
      <c r="K24" s="24" t="n">
        <f aca="false">J24*(Annahmen!$B$108+Annahmen!$B$100*Annahmen!$B$111)</f>
        <v>0</v>
      </c>
      <c r="L24" s="17" t="n">
        <f aca="false">IF($A24&gt;=Annahmen!$B$91,Annahmen!$B$101,0)</f>
        <v>0</v>
      </c>
      <c r="M24" s="24" t="n">
        <f aca="false">L24*Annahmen!$B$112</f>
        <v>0</v>
      </c>
      <c r="N24" s="15" t="n">
        <f aca="false">IF($A24&gt;=Annahmen!$B$91,Annahmen!$B$102,0)</f>
        <v>0</v>
      </c>
      <c r="O24" s="24" t="n">
        <f aca="false">N24*Annahmen!$B$113</f>
        <v>0</v>
      </c>
      <c r="P24" s="15" t="n">
        <f aca="false">IF($A24&gt;=Annahmen!$B$91,Annahmen!$B$103,0)</f>
        <v>0</v>
      </c>
      <c r="Q24" s="24" t="n">
        <f aca="false">P24*Annahmen!$B$114</f>
        <v>0</v>
      </c>
      <c r="R24" s="17" t="n">
        <f aca="false">IF($A24&gt;=Annahmen!$B$91,Annahmen!$B$104,0)</f>
        <v>0</v>
      </c>
      <c r="S24" s="24" t="n">
        <f aca="false">R24*Annahmen!$B$115</f>
        <v>0</v>
      </c>
      <c r="T24" s="24" t="n">
        <f aca="false">E24+G24+I24+K24+M24+O24+Q24+S24</f>
        <v>102.9</v>
      </c>
      <c r="U24" s="24" t="n">
        <f aca="false">C24*Annahmen!$B$52+F24*Annahmen!$B$96*Annahmen!$B$48+H24*(Annahmen!$B$46+Annahmen!$B$98*(Annahmen!$B$48-Annahmen!$B$46))+J24*Annahmen!$B$49+L24*Annahmen!$B$50+(N24+P24)*Annahmen!$B$51</f>
        <v>4.85810845135387</v>
      </c>
      <c r="V24" s="24" t="n">
        <f aca="false">SUMPRODUCT((((Annahmen!$C$161:$C$174="monatlich")*(Annahmen!$D$161:$D$174&lt;=$A24))+((Annahmen!$C$161:$C$174="einmalig")*(Annahmen!$D$161:$D$174=$A24)))*Annahmen!$B$161:$B$174*Annahmen!$F$161:$F$174)</f>
        <v>50.8275708031806</v>
      </c>
      <c r="W24" s="24" t="n">
        <f aca="false">Annahmen!$B$144</f>
        <v>50</v>
      </c>
      <c r="X24" s="17" t="n">
        <f aca="false">C24+F24*Annahmen!$B$96+H24+J24+L24/Annahmen!$B$47+(N24+P24)/(Annahmen!$B$24/Annahmen!$B$25)</f>
        <v>0.3</v>
      </c>
      <c r="Y24" s="36" t="n">
        <f aca="false">MAX(0,(X24-Annahmen!$B$149)/Annahmen!$B$150)</f>
        <v>0</v>
      </c>
      <c r="Z24" s="24" t="n">
        <f aca="false">Y24*Annahmen!$B$146</f>
        <v>0</v>
      </c>
      <c r="AA24" s="24" t="n">
        <f aca="false">T24-U24-V24-W24-Z24</f>
        <v>-2.78567925453444</v>
      </c>
      <c r="AB24" s="24" t="n">
        <f aca="false">AB23+AA24</f>
        <v>-3057.00864970799</v>
      </c>
      <c r="AC24" s="7" t="n">
        <f aca="false">IF(AA24&gt;0,1,0)</f>
        <v>0</v>
      </c>
      <c r="AD24" s="7" t="n">
        <f aca="false">IF(AB24&gt;=0,1,0)</f>
        <v>0</v>
      </c>
    </row>
    <row r="25" customFormat="false" ht="15" hidden="false" customHeight="false" outlineLevel="0" collapsed="false">
      <c r="A25" s="7" t="n">
        <v>8</v>
      </c>
      <c r="B25" s="7" t="s">
        <v>397</v>
      </c>
      <c r="C25" s="17" t="n">
        <f aca="false">IF($A25&gt;=Annahmen!$B$91,Annahmen!$B$92,0)</f>
        <v>0.3</v>
      </c>
      <c r="D25" s="17" t="n">
        <f aca="false">C25*Annahmen!$B$93</f>
        <v>0.09</v>
      </c>
      <c r="E25" s="24" t="n">
        <f aca="false">(C25-D25)*Annahmen!$B$105</f>
        <v>102.9</v>
      </c>
      <c r="F25" s="17" t="n">
        <f aca="false">IF($A25&gt;Annahmen!$B$95,INDEX($C$18:$C$41,$A25-Annahmen!$B$95)*Annahmen!$B$94,0)</f>
        <v>0.09</v>
      </c>
      <c r="G25" s="24" t="n">
        <f aca="false">F25*(Annahmen!$B$96*(Annahmen!$B$106+Annahmen!$B$107)-Annahmen!$B$105*(1-Annahmen!$B$93))</f>
        <v>211.68</v>
      </c>
      <c r="H25" s="17" t="n">
        <f aca="false">IF($A25&gt;=Annahmen!$B$91,Annahmen!$B$97,0)</f>
        <v>0</v>
      </c>
      <c r="I25" s="24" t="n">
        <f aca="false">H25*(Annahmen!$B$106+Annahmen!$B$98*Annahmen!$B$107)</f>
        <v>0</v>
      </c>
      <c r="J25" s="17" t="n">
        <f aca="false">IF($A25&gt;=Annahmen!$B$91,Annahmen!$B$99,0)</f>
        <v>0</v>
      </c>
      <c r="K25" s="24" t="n">
        <f aca="false">J25*(Annahmen!$B$108+Annahmen!$B$100*Annahmen!$B$111)</f>
        <v>0</v>
      </c>
      <c r="L25" s="17" t="n">
        <f aca="false">IF($A25&gt;=Annahmen!$B$91,Annahmen!$B$101,0)</f>
        <v>0</v>
      </c>
      <c r="M25" s="24" t="n">
        <f aca="false">L25*Annahmen!$B$112</f>
        <v>0</v>
      </c>
      <c r="N25" s="15" t="n">
        <f aca="false">IF($A25&gt;=Annahmen!$B$91,Annahmen!$B$102,0)</f>
        <v>0</v>
      </c>
      <c r="O25" s="24" t="n">
        <f aca="false">N25*Annahmen!$B$113</f>
        <v>0</v>
      </c>
      <c r="P25" s="15" t="n">
        <f aca="false">IF($A25&gt;=Annahmen!$B$91,Annahmen!$B$103,0)</f>
        <v>0</v>
      </c>
      <c r="Q25" s="24" t="n">
        <f aca="false">P25*Annahmen!$B$114</f>
        <v>0</v>
      </c>
      <c r="R25" s="17" t="n">
        <f aca="false">IF($A25&gt;=Annahmen!$B$91,Annahmen!$B$104,0)</f>
        <v>0</v>
      </c>
      <c r="S25" s="24" t="n">
        <f aca="false">R25*Annahmen!$B$115</f>
        <v>0</v>
      </c>
      <c r="T25" s="24" t="n">
        <f aca="false">E25+G25+I25+K25+M25+O25+Q25+S25</f>
        <v>314.58</v>
      </c>
      <c r="U25" s="24" t="n">
        <f aca="false">C25*Annahmen!$B$52+F25*Annahmen!$B$96*Annahmen!$B$48+H25*(Annahmen!$B$46+Annahmen!$B$98*(Annahmen!$B$48-Annahmen!$B$46))+J25*Annahmen!$B$49+L25*Annahmen!$B$50+(N25+P25)*Annahmen!$B$51</f>
        <v>8.76039292347332</v>
      </c>
      <c r="V25" s="24" t="n">
        <f aca="false">SUMPRODUCT((((Annahmen!$C$161:$C$174="monatlich")*(Annahmen!$D$161:$D$174&lt;=$A25))+((Annahmen!$C$161:$C$174="einmalig")*(Annahmen!$D$161:$D$174=$A25)))*Annahmen!$B$161:$B$174*Annahmen!$F$161:$F$174)</f>
        <v>50.8275708031806</v>
      </c>
      <c r="W25" s="24" t="n">
        <f aca="false">Annahmen!$B$144</f>
        <v>50</v>
      </c>
      <c r="X25" s="17" t="n">
        <f aca="false">C25+F25*Annahmen!$B$96+H25+J25+L25/Annahmen!$B$47+(N25+P25)/(Annahmen!$B$24/Annahmen!$B$25)</f>
        <v>0.75</v>
      </c>
      <c r="Y25" s="36" t="n">
        <f aca="false">MAX(0,(X25-Annahmen!$B$149)/Annahmen!$B$150)</f>
        <v>0</v>
      </c>
      <c r="Z25" s="24" t="n">
        <f aca="false">Y25*Annahmen!$B$146</f>
        <v>0</v>
      </c>
      <c r="AA25" s="24" t="n">
        <f aca="false">T25-U25-V25-W25-Z25</f>
        <v>204.992036273346</v>
      </c>
      <c r="AB25" s="24" t="n">
        <f aca="false">AB24+AA25</f>
        <v>-2852.01661343464</v>
      </c>
      <c r="AC25" s="7" t="n">
        <f aca="false">IF(AA25&gt;0,1,0)</f>
        <v>1</v>
      </c>
      <c r="AD25" s="7" t="n">
        <f aca="false">IF(AB25&gt;=0,1,0)</f>
        <v>0</v>
      </c>
    </row>
    <row r="26" customFormat="false" ht="15" hidden="false" customHeight="false" outlineLevel="0" collapsed="false">
      <c r="A26" s="7" t="n">
        <v>9</v>
      </c>
      <c r="B26" s="7" t="s">
        <v>398</v>
      </c>
      <c r="C26" s="17" t="n">
        <f aca="false">IF($A26&gt;=Annahmen!$B$91,Annahmen!$B$92,0)</f>
        <v>0.3</v>
      </c>
      <c r="D26" s="17" t="n">
        <f aca="false">C26*Annahmen!$B$93</f>
        <v>0.09</v>
      </c>
      <c r="E26" s="24" t="n">
        <f aca="false">(C26-D26)*Annahmen!$B$105</f>
        <v>102.9</v>
      </c>
      <c r="F26" s="17" t="n">
        <f aca="false">IF($A26&gt;Annahmen!$B$95,INDEX($C$18:$C$41,$A26-Annahmen!$B$95)*Annahmen!$B$94,0)</f>
        <v>0.09</v>
      </c>
      <c r="G26" s="24" t="n">
        <f aca="false">F26*(Annahmen!$B$96*(Annahmen!$B$106+Annahmen!$B$107)-Annahmen!$B$105*(1-Annahmen!$B$93))</f>
        <v>211.68</v>
      </c>
      <c r="H26" s="17" t="n">
        <f aca="false">IF($A26&gt;=Annahmen!$B$91,Annahmen!$B$97,0)</f>
        <v>0</v>
      </c>
      <c r="I26" s="24" t="n">
        <f aca="false">H26*(Annahmen!$B$106+Annahmen!$B$98*Annahmen!$B$107)</f>
        <v>0</v>
      </c>
      <c r="J26" s="17" t="n">
        <f aca="false">IF($A26&gt;=Annahmen!$B$91,Annahmen!$B$99,0)</f>
        <v>0</v>
      </c>
      <c r="K26" s="24" t="n">
        <f aca="false">J26*(Annahmen!$B$108+Annahmen!$B$100*Annahmen!$B$111)</f>
        <v>0</v>
      </c>
      <c r="L26" s="17" t="n">
        <f aca="false">IF($A26&gt;=Annahmen!$B$91,Annahmen!$B$101,0)</f>
        <v>0</v>
      </c>
      <c r="M26" s="24" t="n">
        <f aca="false">L26*Annahmen!$B$112</f>
        <v>0</v>
      </c>
      <c r="N26" s="15" t="n">
        <f aca="false">IF($A26&gt;=Annahmen!$B$91,Annahmen!$B$102,0)</f>
        <v>0</v>
      </c>
      <c r="O26" s="24" t="n">
        <f aca="false">N26*Annahmen!$B$113</f>
        <v>0</v>
      </c>
      <c r="P26" s="15" t="n">
        <f aca="false">IF($A26&gt;=Annahmen!$B$91,Annahmen!$B$103,0)</f>
        <v>0</v>
      </c>
      <c r="Q26" s="24" t="n">
        <f aca="false">P26*Annahmen!$B$114</f>
        <v>0</v>
      </c>
      <c r="R26" s="17" t="n">
        <f aca="false">IF($A26&gt;=Annahmen!$B$91,Annahmen!$B$104,0)</f>
        <v>0</v>
      </c>
      <c r="S26" s="24" t="n">
        <f aca="false">R26*Annahmen!$B$115</f>
        <v>0</v>
      </c>
      <c r="T26" s="24" t="n">
        <f aca="false">E26+G26+I26+K26+M26+O26+Q26+S26</f>
        <v>314.58</v>
      </c>
      <c r="U26" s="24" t="n">
        <f aca="false">C26*Annahmen!$B$52+F26*Annahmen!$B$96*Annahmen!$B$48+H26*(Annahmen!$B$46+Annahmen!$B$98*(Annahmen!$B$48-Annahmen!$B$46))+J26*Annahmen!$B$49+L26*Annahmen!$B$50+(N26+P26)*Annahmen!$B$51</f>
        <v>8.76039292347332</v>
      </c>
      <c r="V26" s="24" t="n">
        <f aca="false">SUMPRODUCT((((Annahmen!$C$161:$C$174="monatlich")*(Annahmen!$D$161:$D$174&lt;=$A26))+((Annahmen!$C$161:$C$174="einmalig")*(Annahmen!$D$161:$D$174=$A26)))*Annahmen!$B$161:$B$174*Annahmen!$F$161:$F$174)</f>
        <v>50.8275708031806</v>
      </c>
      <c r="W26" s="24" t="n">
        <f aca="false">Annahmen!$B$144</f>
        <v>50</v>
      </c>
      <c r="X26" s="17" t="n">
        <f aca="false">C26+F26*Annahmen!$B$96+H26+J26+L26/Annahmen!$B$47+(N26+P26)/(Annahmen!$B$24/Annahmen!$B$25)</f>
        <v>0.75</v>
      </c>
      <c r="Y26" s="36" t="n">
        <f aca="false">MAX(0,(X26-Annahmen!$B$149)/Annahmen!$B$150)</f>
        <v>0</v>
      </c>
      <c r="Z26" s="24" t="n">
        <f aca="false">Y26*Annahmen!$B$146</f>
        <v>0</v>
      </c>
      <c r="AA26" s="24" t="n">
        <f aca="false">T26-U26-V26-W26-Z26</f>
        <v>204.992036273346</v>
      </c>
      <c r="AB26" s="24" t="n">
        <f aca="false">AB25+AA26</f>
        <v>-2647.0245771613</v>
      </c>
      <c r="AC26" s="7" t="n">
        <f aca="false">IF(AA26&gt;0,1,0)</f>
        <v>1</v>
      </c>
      <c r="AD26" s="7" t="n">
        <f aca="false">IF(AB26&gt;=0,1,0)</f>
        <v>0</v>
      </c>
    </row>
    <row r="27" customFormat="false" ht="15" hidden="false" customHeight="false" outlineLevel="0" collapsed="false">
      <c r="A27" s="7" t="n">
        <v>10</v>
      </c>
      <c r="B27" s="7" t="s">
        <v>399</v>
      </c>
      <c r="C27" s="17" t="n">
        <f aca="false">IF($A27&gt;=Annahmen!$B$91,Annahmen!$B$92,0)</f>
        <v>0.3</v>
      </c>
      <c r="D27" s="17" t="n">
        <f aca="false">C27*Annahmen!$B$93</f>
        <v>0.09</v>
      </c>
      <c r="E27" s="24" t="n">
        <f aca="false">(C27-D27)*Annahmen!$B$105</f>
        <v>102.9</v>
      </c>
      <c r="F27" s="17" t="n">
        <f aca="false">IF($A27&gt;Annahmen!$B$95,INDEX($C$18:$C$41,$A27-Annahmen!$B$95)*Annahmen!$B$94,0)</f>
        <v>0.09</v>
      </c>
      <c r="G27" s="24" t="n">
        <f aca="false">F27*(Annahmen!$B$96*(Annahmen!$B$106+Annahmen!$B$107)-Annahmen!$B$105*(1-Annahmen!$B$93))</f>
        <v>211.68</v>
      </c>
      <c r="H27" s="17" t="n">
        <f aca="false">IF($A27&gt;=Annahmen!$B$91,Annahmen!$B$97,0)</f>
        <v>0</v>
      </c>
      <c r="I27" s="24" t="n">
        <f aca="false">H27*(Annahmen!$B$106+Annahmen!$B$98*Annahmen!$B$107)</f>
        <v>0</v>
      </c>
      <c r="J27" s="17" t="n">
        <f aca="false">IF($A27&gt;=Annahmen!$B$91,Annahmen!$B$99,0)</f>
        <v>0</v>
      </c>
      <c r="K27" s="24" t="n">
        <f aca="false">J27*(Annahmen!$B$108+Annahmen!$B$100*Annahmen!$B$111)</f>
        <v>0</v>
      </c>
      <c r="L27" s="17" t="n">
        <f aca="false">IF($A27&gt;=Annahmen!$B$91,Annahmen!$B$101,0)</f>
        <v>0</v>
      </c>
      <c r="M27" s="24" t="n">
        <f aca="false">L27*Annahmen!$B$112</f>
        <v>0</v>
      </c>
      <c r="N27" s="15" t="n">
        <f aca="false">IF($A27&gt;=Annahmen!$B$91,Annahmen!$B$102,0)</f>
        <v>0</v>
      </c>
      <c r="O27" s="24" t="n">
        <f aca="false">N27*Annahmen!$B$113</f>
        <v>0</v>
      </c>
      <c r="P27" s="15" t="n">
        <f aca="false">IF($A27&gt;=Annahmen!$B$91,Annahmen!$B$103,0)</f>
        <v>0</v>
      </c>
      <c r="Q27" s="24" t="n">
        <f aca="false">P27*Annahmen!$B$114</f>
        <v>0</v>
      </c>
      <c r="R27" s="17" t="n">
        <f aca="false">IF($A27&gt;=Annahmen!$B$91,Annahmen!$B$104,0)</f>
        <v>0</v>
      </c>
      <c r="S27" s="24" t="n">
        <f aca="false">R27*Annahmen!$B$115</f>
        <v>0</v>
      </c>
      <c r="T27" s="24" t="n">
        <f aca="false">E27+G27+I27+K27+M27+O27+Q27+S27</f>
        <v>314.58</v>
      </c>
      <c r="U27" s="24" t="n">
        <f aca="false">C27*Annahmen!$B$52+F27*Annahmen!$B$96*Annahmen!$B$48+H27*(Annahmen!$B$46+Annahmen!$B$98*(Annahmen!$B$48-Annahmen!$B$46))+J27*Annahmen!$B$49+L27*Annahmen!$B$50+(N27+P27)*Annahmen!$B$51</f>
        <v>8.76039292347332</v>
      </c>
      <c r="V27" s="24" t="n">
        <f aca="false">SUMPRODUCT((((Annahmen!$C$161:$C$174="monatlich")*(Annahmen!$D$161:$D$174&lt;=$A27))+((Annahmen!$C$161:$C$174="einmalig")*(Annahmen!$D$161:$D$174=$A27)))*Annahmen!$B$161:$B$174*Annahmen!$F$161:$F$174)</f>
        <v>50.8275708031806</v>
      </c>
      <c r="W27" s="24" t="n">
        <f aca="false">Annahmen!$B$144</f>
        <v>50</v>
      </c>
      <c r="X27" s="17" t="n">
        <f aca="false">C27+F27*Annahmen!$B$96+H27+J27+L27/Annahmen!$B$47+(N27+P27)/(Annahmen!$B$24/Annahmen!$B$25)</f>
        <v>0.75</v>
      </c>
      <c r="Y27" s="36" t="n">
        <f aca="false">MAX(0,(X27-Annahmen!$B$149)/Annahmen!$B$150)</f>
        <v>0</v>
      </c>
      <c r="Z27" s="24" t="n">
        <f aca="false">Y27*Annahmen!$B$146</f>
        <v>0</v>
      </c>
      <c r="AA27" s="24" t="n">
        <f aca="false">T27-U27-V27-W27-Z27</f>
        <v>204.992036273346</v>
      </c>
      <c r="AB27" s="24" t="n">
        <f aca="false">AB26+AA27</f>
        <v>-2442.03254088795</v>
      </c>
      <c r="AC27" s="7" t="n">
        <f aca="false">IF(AA27&gt;0,1,0)</f>
        <v>1</v>
      </c>
      <c r="AD27" s="7" t="n">
        <f aca="false">IF(AB27&gt;=0,1,0)</f>
        <v>0</v>
      </c>
    </row>
    <row r="28" customFormat="false" ht="15" hidden="false" customHeight="false" outlineLevel="0" collapsed="false">
      <c r="A28" s="7" t="n">
        <v>11</v>
      </c>
      <c r="B28" s="7" t="s">
        <v>400</v>
      </c>
      <c r="C28" s="17" t="n">
        <f aca="false">IF($A28&gt;=Annahmen!$B$91,Annahmen!$B$92,0)</f>
        <v>0.3</v>
      </c>
      <c r="D28" s="17" t="n">
        <f aca="false">C28*Annahmen!$B$93</f>
        <v>0.09</v>
      </c>
      <c r="E28" s="24" t="n">
        <f aca="false">(C28-D28)*Annahmen!$B$105</f>
        <v>102.9</v>
      </c>
      <c r="F28" s="17" t="n">
        <f aca="false">IF($A28&gt;Annahmen!$B$95,INDEX($C$18:$C$41,$A28-Annahmen!$B$95)*Annahmen!$B$94,0)</f>
        <v>0.09</v>
      </c>
      <c r="G28" s="24" t="n">
        <f aca="false">F28*(Annahmen!$B$96*(Annahmen!$B$106+Annahmen!$B$107)-Annahmen!$B$105*(1-Annahmen!$B$93))</f>
        <v>211.68</v>
      </c>
      <c r="H28" s="17" t="n">
        <f aca="false">IF($A28&gt;=Annahmen!$B$91,Annahmen!$B$97,0)</f>
        <v>0</v>
      </c>
      <c r="I28" s="24" t="n">
        <f aca="false">H28*(Annahmen!$B$106+Annahmen!$B$98*Annahmen!$B$107)</f>
        <v>0</v>
      </c>
      <c r="J28" s="17" t="n">
        <f aca="false">IF($A28&gt;=Annahmen!$B$91,Annahmen!$B$99,0)</f>
        <v>0</v>
      </c>
      <c r="K28" s="24" t="n">
        <f aca="false">J28*(Annahmen!$B$108+Annahmen!$B$100*Annahmen!$B$111)</f>
        <v>0</v>
      </c>
      <c r="L28" s="17" t="n">
        <f aca="false">IF($A28&gt;=Annahmen!$B$91,Annahmen!$B$101,0)</f>
        <v>0</v>
      </c>
      <c r="M28" s="24" t="n">
        <f aca="false">L28*Annahmen!$B$112</f>
        <v>0</v>
      </c>
      <c r="N28" s="15" t="n">
        <f aca="false">IF($A28&gt;=Annahmen!$B$91,Annahmen!$B$102,0)</f>
        <v>0</v>
      </c>
      <c r="O28" s="24" t="n">
        <f aca="false">N28*Annahmen!$B$113</f>
        <v>0</v>
      </c>
      <c r="P28" s="15" t="n">
        <f aca="false">IF($A28&gt;=Annahmen!$B$91,Annahmen!$B$103,0)</f>
        <v>0</v>
      </c>
      <c r="Q28" s="24" t="n">
        <f aca="false">P28*Annahmen!$B$114</f>
        <v>0</v>
      </c>
      <c r="R28" s="17" t="n">
        <f aca="false">IF($A28&gt;=Annahmen!$B$91,Annahmen!$B$104,0)</f>
        <v>0</v>
      </c>
      <c r="S28" s="24" t="n">
        <f aca="false">R28*Annahmen!$B$115</f>
        <v>0</v>
      </c>
      <c r="T28" s="24" t="n">
        <f aca="false">E28+G28+I28+K28+M28+O28+Q28+S28</f>
        <v>314.58</v>
      </c>
      <c r="U28" s="24" t="n">
        <f aca="false">C28*Annahmen!$B$52+F28*Annahmen!$B$96*Annahmen!$B$48+H28*(Annahmen!$B$46+Annahmen!$B$98*(Annahmen!$B$48-Annahmen!$B$46))+J28*Annahmen!$B$49+L28*Annahmen!$B$50+(N28+P28)*Annahmen!$B$51</f>
        <v>8.76039292347332</v>
      </c>
      <c r="V28" s="24" t="n">
        <f aca="false">SUMPRODUCT((((Annahmen!$C$161:$C$174="monatlich")*(Annahmen!$D$161:$D$174&lt;=$A28))+((Annahmen!$C$161:$C$174="einmalig")*(Annahmen!$D$161:$D$174=$A28)))*Annahmen!$B$161:$B$174*Annahmen!$F$161:$F$174)</f>
        <v>50.8275708031806</v>
      </c>
      <c r="W28" s="24" t="n">
        <f aca="false">Annahmen!$B$144</f>
        <v>50</v>
      </c>
      <c r="X28" s="17" t="n">
        <f aca="false">C28+F28*Annahmen!$B$96+H28+J28+L28/Annahmen!$B$47+(N28+P28)/(Annahmen!$B$24/Annahmen!$B$25)</f>
        <v>0.75</v>
      </c>
      <c r="Y28" s="36" t="n">
        <f aca="false">MAX(0,(X28-Annahmen!$B$149)/Annahmen!$B$150)</f>
        <v>0</v>
      </c>
      <c r="Z28" s="24" t="n">
        <f aca="false">Y28*Annahmen!$B$146</f>
        <v>0</v>
      </c>
      <c r="AA28" s="24" t="n">
        <f aca="false">T28-U28-V28-W28-Z28</f>
        <v>204.992036273346</v>
      </c>
      <c r="AB28" s="24" t="n">
        <f aca="false">AB27+AA28</f>
        <v>-2237.04050461461</v>
      </c>
      <c r="AC28" s="7" t="n">
        <f aca="false">IF(AA28&gt;0,1,0)</f>
        <v>1</v>
      </c>
      <c r="AD28" s="7" t="n">
        <f aca="false">IF(AB28&gt;=0,1,0)</f>
        <v>0</v>
      </c>
    </row>
    <row r="29" customFormat="false" ht="15" hidden="false" customHeight="false" outlineLevel="0" collapsed="false">
      <c r="A29" s="7" t="n">
        <v>12</v>
      </c>
      <c r="B29" s="7" t="s">
        <v>401</v>
      </c>
      <c r="C29" s="17" t="n">
        <f aca="false">IF($A29&gt;=Annahmen!$B$91,Annahmen!$B$92,0)</f>
        <v>0.3</v>
      </c>
      <c r="D29" s="17" t="n">
        <f aca="false">C29*Annahmen!$B$93</f>
        <v>0.09</v>
      </c>
      <c r="E29" s="24" t="n">
        <f aca="false">(C29-D29)*Annahmen!$B$105</f>
        <v>102.9</v>
      </c>
      <c r="F29" s="17" t="n">
        <f aca="false">IF($A29&gt;Annahmen!$B$95,INDEX($C$18:$C$41,$A29-Annahmen!$B$95)*Annahmen!$B$94,0)</f>
        <v>0.09</v>
      </c>
      <c r="G29" s="24" t="n">
        <f aca="false">F29*(Annahmen!$B$96*(Annahmen!$B$106+Annahmen!$B$107)-Annahmen!$B$105*(1-Annahmen!$B$93))</f>
        <v>211.68</v>
      </c>
      <c r="H29" s="17" t="n">
        <f aca="false">IF($A29&gt;=Annahmen!$B$91,Annahmen!$B$97,0)</f>
        <v>0</v>
      </c>
      <c r="I29" s="24" t="n">
        <f aca="false">H29*(Annahmen!$B$106+Annahmen!$B$98*Annahmen!$B$107)</f>
        <v>0</v>
      </c>
      <c r="J29" s="17" t="n">
        <f aca="false">IF($A29&gt;=Annahmen!$B$91,Annahmen!$B$99,0)</f>
        <v>0</v>
      </c>
      <c r="K29" s="24" t="n">
        <f aca="false">J29*(Annahmen!$B$108+Annahmen!$B$100*Annahmen!$B$111)</f>
        <v>0</v>
      </c>
      <c r="L29" s="17" t="n">
        <f aca="false">IF($A29&gt;=Annahmen!$B$91,Annahmen!$B$101,0)</f>
        <v>0</v>
      </c>
      <c r="M29" s="24" t="n">
        <f aca="false">L29*Annahmen!$B$112</f>
        <v>0</v>
      </c>
      <c r="N29" s="15" t="n">
        <f aca="false">IF($A29&gt;=Annahmen!$B$91,Annahmen!$B$102,0)</f>
        <v>0</v>
      </c>
      <c r="O29" s="24" t="n">
        <f aca="false">N29*Annahmen!$B$113</f>
        <v>0</v>
      </c>
      <c r="P29" s="15" t="n">
        <f aca="false">IF($A29&gt;=Annahmen!$B$91,Annahmen!$B$103,0)</f>
        <v>0</v>
      </c>
      <c r="Q29" s="24" t="n">
        <f aca="false">P29*Annahmen!$B$114</f>
        <v>0</v>
      </c>
      <c r="R29" s="17" t="n">
        <f aca="false">IF($A29&gt;=Annahmen!$B$91,Annahmen!$B$104,0)</f>
        <v>0</v>
      </c>
      <c r="S29" s="24" t="n">
        <f aca="false">R29*Annahmen!$B$115</f>
        <v>0</v>
      </c>
      <c r="T29" s="24" t="n">
        <f aca="false">E29+G29+I29+K29+M29+O29+Q29+S29</f>
        <v>314.58</v>
      </c>
      <c r="U29" s="24" t="n">
        <f aca="false">C29*Annahmen!$B$52+F29*Annahmen!$B$96*Annahmen!$B$48+H29*(Annahmen!$B$46+Annahmen!$B$98*(Annahmen!$B$48-Annahmen!$B$46))+J29*Annahmen!$B$49+L29*Annahmen!$B$50+(N29+P29)*Annahmen!$B$51</f>
        <v>8.76039292347332</v>
      </c>
      <c r="V29" s="24" t="n">
        <f aca="false">SUMPRODUCT((((Annahmen!$C$161:$C$174="monatlich")*(Annahmen!$D$161:$D$174&lt;=$A29))+((Annahmen!$C$161:$C$174="einmalig")*(Annahmen!$D$161:$D$174=$A29)))*Annahmen!$B$161:$B$174*Annahmen!$F$161:$F$174)</f>
        <v>50.8275708031806</v>
      </c>
      <c r="W29" s="24" t="n">
        <f aca="false">Annahmen!$B$144</f>
        <v>50</v>
      </c>
      <c r="X29" s="17" t="n">
        <f aca="false">C29+F29*Annahmen!$B$96+H29+J29+L29/Annahmen!$B$47+(N29+P29)/(Annahmen!$B$24/Annahmen!$B$25)</f>
        <v>0.75</v>
      </c>
      <c r="Y29" s="36" t="n">
        <f aca="false">MAX(0,(X29-Annahmen!$B$149)/Annahmen!$B$150)</f>
        <v>0</v>
      </c>
      <c r="Z29" s="24" t="n">
        <f aca="false">Y29*Annahmen!$B$146</f>
        <v>0</v>
      </c>
      <c r="AA29" s="24" t="n">
        <f aca="false">T29-U29-V29-W29-Z29</f>
        <v>204.992036273346</v>
      </c>
      <c r="AB29" s="24" t="n">
        <f aca="false">AB28+AA29</f>
        <v>-2032.04846834126</v>
      </c>
      <c r="AC29" s="7" t="n">
        <f aca="false">IF(AA29&gt;0,1,0)</f>
        <v>1</v>
      </c>
      <c r="AD29" s="7" t="n">
        <f aca="false">IF(AB29&gt;=0,1,0)</f>
        <v>0</v>
      </c>
    </row>
    <row r="30" customFormat="false" ht="15" hidden="false" customHeight="false" outlineLevel="0" collapsed="false">
      <c r="A30" s="7" t="n">
        <v>13</v>
      </c>
      <c r="B30" s="7" t="s">
        <v>402</v>
      </c>
      <c r="C30" s="17" t="n">
        <f aca="false">IF($A30&gt;=Annahmen!$B$91,Annahmen!$B$92,0)</f>
        <v>0.3</v>
      </c>
      <c r="D30" s="17" t="n">
        <f aca="false">C30*Annahmen!$B$93</f>
        <v>0.09</v>
      </c>
      <c r="E30" s="24" t="n">
        <f aca="false">(C30-D30)*Annahmen!$B$105</f>
        <v>102.9</v>
      </c>
      <c r="F30" s="17" t="n">
        <f aca="false">IF($A30&gt;Annahmen!$B$95,INDEX($C$18:$C$41,$A30-Annahmen!$B$95)*Annahmen!$B$94,0)</f>
        <v>0.09</v>
      </c>
      <c r="G30" s="24" t="n">
        <f aca="false">F30*(Annahmen!$B$96*(Annahmen!$B$106+Annahmen!$B$107)-Annahmen!$B$105*(1-Annahmen!$B$93))</f>
        <v>211.68</v>
      </c>
      <c r="H30" s="17" t="n">
        <f aca="false">IF($A30&gt;=Annahmen!$B$91,Annahmen!$B$97,0)</f>
        <v>0</v>
      </c>
      <c r="I30" s="24" t="n">
        <f aca="false">H30*(Annahmen!$B$106+Annahmen!$B$98*Annahmen!$B$107)</f>
        <v>0</v>
      </c>
      <c r="J30" s="17" t="n">
        <f aca="false">IF($A30&gt;=Annahmen!$B$91,Annahmen!$B$99,0)</f>
        <v>0</v>
      </c>
      <c r="K30" s="24" t="n">
        <f aca="false">J30*(Annahmen!$B$108+Annahmen!$B$100*Annahmen!$B$111)</f>
        <v>0</v>
      </c>
      <c r="L30" s="17" t="n">
        <f aca="false">IF($A30&gt;=Annahmen!$B$91,Annahmen!$B$101,0)</f>
        <v>0</v>
      </c>
      <c r="M30" s="24" t="n">
        <f aca="false">L30*Annahmen!$B$112</f>
        <v>0</v>
      </c>
      <c r="N30" s="15" t="n">
        <f aca="false">IF($A30&gt;=Annahmen!$B$91,Annahmen!$B$102,0)</f>
        <v>0</v>
      </c>
      <c r="O30" s="24" t="n">
        <f aca="false">N30*Annahmen!$B$113</f>
        <v>0</v>
      </c>
      <c r="P30" s="15" t="n">
        <f aca="false">IF($A30&gt;=Annahmen!$B$91,Annahmen!$B$103,0)</f>
        <v>0</v>
      </c>
      <c r="Q30" s="24" t="n">
        <f aca="false">P30*Annahmen!$B$114</f>
        <v>0</v>
      </c>
      <c r="R30" s="17" t="n">
        <f aca="false">IF($A30&gt;=Annahmen!$B$91,Annahmen!$B$104,0)</f>
        <v>0</v>
      </c>
      <c r="S30" s="24" t="n">
        <f aca="false">R30*Annahmen!$B$115</f>
        <v>0</v>
      </c>
      <c r="T30" s="24" t="n">
        <f aca="false">E30+G30+I30+K30+M30+O30+Q30+S30</f>
        <v>314.58</v>
      </c>
      <c r="U30" s="24" t="n">
        <f aca="false">C30*Annahmen!$B$52+F30*Annahmen!$B$96*Annahmen!$B$48+H30*(Annahmen!$B$46+Annahmen!$B$98*(Annahmen!$B$48-Annahmen!$B$46))+J30*Annahmen!$B$49+L30*Annahmen!$B$50+(N30+P30)*Annahmen!$B$51</f>
        <v>8.76039292347332</v>
      </c>
      <c r="V30" s="24" t="n">
        <f aca="false">SUMPRODUCT((((Annahmen!$C$161:$C$174="monatlich")*(Annahmen!$D$161:$D$174&lt;=$A30))+((Annahmen!$C$161:$C$174="einmalig")*(Annahmen!$D$161:$D$174=$A30)))*Annahmen!$B$161:$B$174*Annahmen!$F$161:$F$174)</f>
        <v>50.8275708031806</v>
      </c>
      <c r="W30" s="24" t="n">
        <f aca="false">Annahmen!$B$144</f>
        <v>50</v>
      </c>
      <c r="X30" s="17" t="n">
        <f aca="false">C30+F30*Annahmen!$B$96+H30+J30+L30/Annahmen!$B$47+(N30+P30)/(Annahmen!$B$24/Annahmen!$B$25)</f>
        <v>0.75</v>
      </c>
      <c r="Y30" s="36" t="n">
        <f aca="false">MAX(0,(X30-Annahmen!$B$149)/Annahmen!$B$150)</f>
        <v>0</v>
      </c>
      <c r="Z30" s="24" t="n">
        <f aca="false">Y30*Annahmen!$B$146</f>
        <v>0</v>
      </c>
      <c r="AA30" s="24" t="n">
        <f aca="false">T30-U30-V30-W30-Z30</f>
        <v>204.992036273346</v>
      </c>
      <c r="AB30" s="24" t="n">
        <f aca="false">AB29+AA30</f>
        <v>-1827.05643206791</v>
      </c>
      <c r="AC30" s="7" t="n">
        <f aca="false">IF(AA30&gt;0,1,0)</f>
        <v>1</v>
      </c>
      <c r="AD30" s="7" t="n">
        <f aca="false">IF(AB30&gt;=0,1,0)</f>
        <v>0</v>
      </c>
    </row>
    <row r="31" customFormat="false" ht="15" hidden="false" customHeight="false" outlineLevel="0" collapsed="false">
      <c r="A31" s="7" t="n">
        <v>14</v>
      </c>
      <c r="B31" s="7" t="s">
        <v>403</v>
      </c>
      <c r="C31" s="17" t="n">
        <f aca="false">IF($A31&gt;=Annahmen!$B$91,Annahmen!$B$92,0)</f>
        <v>0.3</v>
      </c>
      <c r="D31" s="17" t="n">
        <f aca="false">C31*Annahmen!$B$93</f>
        <v>0.09</v>
      </c>
      <c r="E31" s="24" t="n">
        <f aca="false">(C31-D31)*Annahmen!$B$105</f>
        <v>102.9</v>
      </c>
      <c r="F31" s="17" t="n">
        <f aca="false">IF($A31&gt;Annahmen!$B$95,INDEX($C$18:$C$41,$A31-Annahmen!$B$95)*Annahmen!$B$94,0)</f>
        <v>0.09</v>
      </c>
      <c r="G31" s="24" t="n">
        <f aca="false">F31*(Annahmen!$B$96*(Annahmen!$B$106+Annahmen!$B$107)-Annahmen!$B$105*(1-Annahmen!$B$93))</f>
        <v>211.68</v>
      </c>
      <c r="H31" s="17" t="n">
        <f aca="false">IF($A31&gt;=Annahmen!$B$91,Annahmen!$B$97,0)</f>
        <v>0</v>
      </c>
      <c r="I31" s="24" t="n">
        <f aca="false">H31*(Annahmen!$B$106+Annahmen!$B$98*Annahmen!$B$107)</f>
        <v>0</v>
      </c>
      <c r="J31" s="17" t="n">
        <f aca="false">IF($A31&gt;=Annahmen!$B$91,Annahmen!$B$99,0)</f>
        <v>0</v>
      </c>
      <c r="K31" s="24" t="n">
        <f aca="false">J31*(Annahmen!$B$108+Annahmen!$B$100*Annahmen!$B$111)</f>
        <v>0</v>
      </c>
      <c r="L31" s="17" t="n">
        <f aca="false">IF($A31&gt;=Annahmen!$B$91,Annahmen!$B$101,0)</f>
        <v>0</v>
      </c>
      <c r="M31" s="24" t="n">
        <f aca="false">L31*Annahmen!$B$112</f>
        <v>0</v>
      </c>
      <c r="N31" s="15" t="n">
        <f aca="false">IF($A31&gt;=Annahmen!$B$91,Annahmen!$B$102,0)</f>
        <v>0</v>
      </c>
      <c r="O31" s="24" t="n">
        <f aca="false">N31*Annahmen!$B$113</f>
        <v>0</v>
      </c>
      <c r="P31" s="15" t="n">
        <f aca="false">IF($A31&gt;=Annahmen!$B$91,Annahmen!$B$103,0)</f>
        <v>0</v>
      </c>
      <c r="Q31" s="24" t="n">
        <f aca="false">P31*Annahmen!$B$114</f>
        <v>0</v>
      </c>
      <c r="R31" s="17" t="n">
        <f aca="false">IF($A31&gt;=Annahmen!$B$91,Annahmen!$B$104,0)</f>
        <v>0</v>
      </c>
      <c r="S31" s="24" t="n">
        <f aca="false">R31*Annahmen!$B$115</f>
        <v>0</v>
      </c>
      <c r="T31" s="24" t="n">
        <f aca="false">E31+G31+I31+K31+M31+O31+Q31+S31</f>
        <v>314.58</v>
      </c>
      <c r="U31" s="24" t="n">
        <f aca="false">C31*Annahmen!$B$52+F31*Annahmen!$B$96*Annahmen!$B$48+H31*(Annahmen!$B$46+Annahmen!$B$98*(Annahmen!$B$48-Annahmen!$B$46))+J31*Annahmen!$B$49+L31*Annahmen!$B$50+(N31+P31)*Annahmen!$B$51</f>
        <v>8.76039292347332</v>
      </c>
      <c r="V31" s="24" t="n">
        <f aca="false">SUMPRODUCT((((Annahmen!$C$161:$C$174="monatlich")*(Annahmen!$D$161:$D$174&lt;=$A31))+((Annahmen!$C$161:$C$174="einmalig")*(Annahmen!$D$161:$D$174=$A31)))*Annahmen!$B$161:$B$174*Annahmen!$F$161:$F$174)</f>
        <v>50.8275708031806</v>
      </c>
      <c r="W31" s="24" t="n">
        <f aca="false">Annahmen!$B$144</f>
        <v>50</v>
      </c>
      <c r="X31" s="17" t="n">
        <f aca="false">C31+F31*Annahmen!$B$96+H31+J31+L31/Annahmen!$B$47+(N31+P31)/(Annahmen!$B$24/Annahmen!$B$25)</f>
        <v>0.75</v>
      </c>
      <c r="Y31" s="36" t="n">
        <f aca="false">MAX(0,(X31-Annahmen!$B$149)/Annahmen!$B$150)</f>
        <v>0</v>
      </c>
      <c r="Z31" s="24" t="n">
        <f aca="false">Y31*Annahmen!$B$146</f>
        <v>0</v>
      </c>
      <c r="AA31" s="24" t="n">
        <f aca="false">T31-U31-V31-W31-Z31</f>
        <v>204.992036273346</v>
      </c>
      <c r="AB31" s="24" t="n">
        <f aca="false">AB30+AA31</f>
        <v>-1622.06439579457</v>
      </c>
      <c r="AC31" s="7" t="n">
        <f aca="false">IF(AA31&gt;0,1,0)</f>
        <v>1</v>
      </c>
      <c r="AD31" s="7" t="n">
        <f aca="false">IF(AB31&gt;=0,1,0)</f>
        <v>0</v>
      </c>
    </row>
    <row r="32" customFormat="false" ht="15" hidden="false" customHeight="false" outlineLevel="0" collapsed="false">
      <c r="A32" s="7" t="n">
        <v>15</v>
      </c>
      <c r="B32" s="7" t="s">
        <v>404</v>
      </c>
      <c r="C32" s="17" t="n">
        <f aca="false">IF($A32&gt;=Annahmen!$B$91,Annahmen!$B$92,0)</f>
        <v>0.3</v>
      </c>
      <c r="D32" s="17" t="n">
        <f aca="false">C32*Annahmen!$B$93</f>
        <v>0.09</v>
      </c>
      <c r="E32" s="24" t="n">
        <f aca="false">(C32-D32)*Annahmen!$B$105</f>
        <v>102.9</v>
      </c>
      <c r="F32" s="17" t="n">
        <f aca="false">IF($A32&gt;Annahmen!$B$95,INDEX($C$18:$C$41,$A32-Annahmen!$B$95)*Annahmen!$B$94,0)</f>
        <v>0.09</v>
      </c>
      <c r="G32" s="24" t="n">
        <f aca="false">F32*(Annahmen!$B$96*(Annahmen!$B$106+Annahmen!$B$107)-Annahmen!$B$105*(1-Annahmen!$B$93))</f>
        <v>211.68</v>
      </c>
      <c r="H32" s="17" t="n">
        <f aca="false">IF($A32&gt;=Annahmen!$B$91,Annahmen!$B$97,0)</f>
        <v>0</v>
      </c>
      <c r="I32" s="24" t="n">
        <f aca="false">H32*(Annahmen!$B$106+Annahmen!$B$98*Annahmen!$B$107)</f>
        <v>0</v>
      </c>
      <c r="J32" s="17" t="n">
        <f aca="false">IF($A32&gt;=Annahmen!$B$91,Annahmen!$B$99,0)</f>
        <v>0</v>
      </c>
      <c r="K32" s="24" t="n">
        <f aca="false">J32*(Annahmen!$B$108+Annahmen!$B$100*Annahmen!$B$111)</f>
        <v>0</v>
      </c>
      <c r="L32" s="17" t="n">
        <f aca="false">IF($A32&gt;=Annahmen!$B$91,Annahmen!$B$101,0)</f>
        <v>0</v>
      </c>
      <c r="M32" s="24" t="n">
        <f aca="false">L32*Annahmen!$B$112</f>
        <v>0</v>
      </c>
      <c r="N32" s="15" t="n">
        <f aca="false">IF($A32&gt;=Annahmen!$B$91,Annahmen!$B$102,0)</f>
        <v>0</v>
      </c>
      <c r="O32" s="24" t="n">
        <f aca="false">N32*Annahmen!$B$113</f>
        <v>0</v>
      </c>
      <c r="P32" s="15" t="n">
        <f aca="false">IF($A32&gt;=Annahmen!$B$91,Annahmen!$B$103,0)</f>
        <v>0</v>
      </c>
      <c r="Q32" s="24" t="n">
        <f aca="false">P32*Annahmen!$B$114</f>
        <v>0</v>
      </c>
      <c r="R32" s="17" t="n">
        <f aca="false">IF($A32&gt;=Annahmen!$B$91,Annahmen!$B$104,0)</f>
        <v>0</v>
      </c>
      <c r="S32" s="24" t="n">
        <f aca="false">R32*Annahmen!$B$115</f>
        <v>0</v>
      </c>
      <c r="T32" s="24" t="n">
        <f aca="false">E32+G32+I32+K32+M32+O32+Q32+S32</f>
        <v>314.58</v>
      </c>
      <c r="U32" s="24" t="n">
        <f aca="false">C32*Annahmen!$B$52+F32*Annahmen!$B$96*Annahmen!$B$48+H32*(Annahmen!$B$46+Annahmen!$B$98*(Annahmen!$B$48-Annahmen!$B$46))+J32*Annahmen!$B$49+L32*Annahmen!$B$50+(N32+P32)*Annahmen!$B$51</f>
        <v>8.76039292347332</v>
      </c>
      <c r="V32" s="24" t="n">
        <f aca="false">SUMPRODUCT((((Annahmen!$C$161:$C$174="monatlich")*(Annahmen!$D$161:$D$174&lt;=$A32))+((Annahmen!$C$161:$C$174="einmalig")*(Annahmen!$D$161:$D$174=$A32)))*Annahmen!$B$161:$B$174*Annahmen!$F$161:$F$174)</f>
        <v>50.8275708031806</v>
      </c>
      <c r="W32" s="24" t="n">
        <f aca="false">Annahmen!$B$144</f>
        <v>50</v>
      </c>
      <c r="X32" s="17" t="n">
        <f aca="false">C32+F32*Annahmen!$B$96+H32+J32+L32/Annahmen!$B$47+(N32+P32)/(Annahmen!$B$24/Annahmen!$B$25)</f>
        <v>0.75</v>
      </c>
      <c r="Y32" s="36" t="n">
        <f aca="false">MAX(0,(X32-Annahmen!$B$149)/Annahmen!$B$150)</f>
        <v>0</v>
      </c>
      <c r="Z32" s="24" t="n">
        <f aca="false">Y32*Annahmen!$B$146</f>
        <v>0</v>
      </c>
      <c r="AA32" s="24" t="n">
        <f aca="false">T32-U32-V32-W32-Z32</f>
        <v>204.992036273346</v>
      </c>
      <c r="AB32" s="24" t="n">
        <f aca="false">AB31+AA32</f>
        <v>-1417.07235952122</v>
      </c>
      <c r="AC32" s="7" t="n">
        <f aca="false">IF(AA32&gt;0,1,0)</f>
        <v>1</v>
      </c>
      <c r="AD32" s="7" t="n">
        <f aca="false">IF(AB32&gt;=0,1,0)</f>
        <v>0</v>
      </c>
    </row>
    <row r="33" customFormat="false" ht="15" hidden="false" customHeight="false" outlineLevel="0" collapsed="false">
      <c r="A33" s="7" t="n">
        <v>16</v>
      </c>
      <c r="B33" s="7" t="s">
        <v>405</v>
      </c>
      <c r="C33" s="17" t="n">
        <f aca="false">IF($A33&gt;=Annahmen!$B$91,Annahmen!$B$92,0)</f>
        <v>0.3</v>
      </c>
      <c r="D33" s="17" t="n">
        <f aca="false">C33*Annahmen!$B$93</f>
        <v>0.09</v>
      </c>
      <c r="E33" s="24" t="n">
        <f aca="false">(C33-D33)*Annahmen!$B$105</f>
        <v>102.9</v>
      </c>
      <c r="F33" s="17" t="n">
        <f aca="false">IF($A33&gt;Annahmen!$B$95,INDEX($C$18:$C$41,$A33-Annahmen!$B$95)*Annahmen!$B$94,0)</f>
        <v>0.09</v>
      </c>
      <c r="G33" s="24" t="n">
        <f aca="false">F33*(Annahmen!$B$96*(Annahmen!$B$106+Annahmen!$B$107)-Annahmen!$B$105*(1-Annahmen!$B$93))</f>
        <v>211.68</v>
      </c>
      <c r="H33" s="17" t="n">
        <f aca="false">IF($A33&gt;=Annahmen!$B$91,Annahmen!$B$97,0)</f>
        <v>0</v>
      </c>
      <c r="I33" s="24" t="n">
        <f aca="false">H33*(Annahmen!$B$106+Annahmen!$B$98*Annahmen!$B$107)</f>
        <v>0</v>
      </c>
      <c r="J33" s="17" t="n">
        <f aca="false">IF($A33&gt;=Annahmen!$B$91,Annahmen!$B$99,0)</f>
        <v>0</v>
      </c>
      <c r="K33" s="24" t="n">
        <f aca="false">J33*(Annahmen!$B$108+Annahmen!$B$100*Annahmen!$B$111)</f>
        <v>0</v>
      </c>
      <c r="L33" s="17" t="n">
        <f aca="false">IF($A33&gt;=Annahmen!$B$91,Annahmen!$B$101,0)</f>
        <v>0</v>
      </c>
      <c r="M33" s="24" t="n">
        <f aca="false">L33*Annahmen!$B$112</f>
        <v>0</v>
      </c>
      <c r="N33" s="15" t="n">
        <f aca="false">IF($A33&gt;=Annahmen!$B$91,Annahmen!$B$102,0)</f>
        <v>0</v>
      </c>
      <c r="O33" s="24" t="n">
        <f aca="false">N33*Annahmen!$B$113</f>
        <v>0</v>
      </c>
      <c r="P33" s="15" t="n">
        <f aca="false">IF($A33&gt;=Annahmen!$B$91,Annahmen!$B$103,0)</f>
        <v>0</v>
      </c>
      <c r="Q33" s="24" t="n">
        <f aca="false">P33*Annahmen!$B$114</f>
        <v>0</v>
      </c>
      <c r="R33" s="17" t="n">
        <f aca="false">IF($A33&gt;=Annahmen!$B$91,Annahmen!$B$104,0)</f>
        <v>0</v>
      </c>
      <c r="S33" s="24" t="n">
        <f aca="false">R33*Annahmen!$B$115</f>
        <v>0</v>
      </c>
      <c r="T33" s="24" t="n">
        <f aca="false">E33+G33+I33+K33+M33+O33+Q33+S33</f>
        <v>314.58</v>
      </c>
      <c r="U33" s="24" t="n">
        <f aca="false">C33*Annahmen!$B$52+F33*Annahmen!$B$96*Annahmen!$B$48+H33*(Annahmen!$B$46+Annahmen!$B$98*(Annahmen!$B$48-Annahmen!$B$46))+J33*Annahmen!$B$49+L33*Annahmen!$B$50+(N33+P33)*Annahmen!$B$51</f>
        <v>8.76039292347332</v>
      </c>
      <c r="V33" s="24" t="n">
        <f aca="false">SUMPRODUCT((((Annahmen!$C$161:$C$174="monatlich")*(Annahmen!$D$161:$D$174&lt;=$A33))+((Annahmen!$C$161:$C$174="einmalig")*(Annahmen!$D$161:$D$174=$A33)))*Annahmen!$B$161:$B$174*Annahmen!$F$161:$F$174)</f>
        <v>50.8275708031806</v>
      </c>
      <c r="W33" s="24" t="n">
        <f aca="false">Annahmen!$B$144</f>
        <v>50</v>
      </c>
      <c r="X33" s="17" t="n">
        <f aca="false">C33+F33*Annahmen!$B$96+H33+J33+L33/Annahmen!$B$47+(N33+P33)/(Annahmen!$B$24/Annahmen!$B$25)</f>
        <v>0.75</v>
      </c>
      <c r="Y33" s="36" t="n">
        <f aca="false">MAX(0,(X33-Annahmen!$B$149)/Annahmen!$B$150)</f>
        <v>0</v>
      </c>
      <c r="Z33" s="24" t="n">
        <f aca="false">Y33*Annahmen!$B$146</f>
        <v>0</v>
      </c>
      <c r="AA33" s="24" t="n">
        <f aca="false">T33-U33-V33-W33-Z33</f>
        <v>204.992036273346</v>
      </c>
      <c r="AB33" s="24" t="n">
        <f aca="false">AB32+AA33</f>
        <v>-1212.08032324788</v>
      </c>
      <c r="AC33" s="7" t="n">
        <f aca="false">IF(AA33&gt;0,1,0)</f>
        <v>1</v>
      </c>
      <c r="AD33" s="7" t="n">
        <f aca="false">IF(AB33&gt;=0,1,0)</f>
        <v>0</v>
      </c>
    </row>
    <row r="34" customFormat="false" ht="15" hidden="false" customHeight="false" outlineLevel="0" collapsed="false">
      <c r="A34" s="7" t="n">
        <v>17</v>
      </c>
      <c r="B34" s="7" t="s">
        <v>406</v>
      </c>
      <c r="C34" s="17" t="n">
        <f aca="false">IF($A34&gt;=Annahmen!$B$91,Annahmen!$B$92,0)</f>
        <v>0.3</v>
      </c>
      <c r="D34" s="17" t="n">
        <f aca="false">C34*Annahmen!$B$93</f>
        <v>0.09</v>
      </c>
      <c r="E34" s="24" t="n">
        <f aca="false">(C34-D34)*Annahmen!$B$105</f>
        <v>102.9</v>
      </c>
      <c r="F34" s="17" t="n">
        <f aca="false">IF($A34&gt;Annahmen!$B$95,INDEX($C$18:$C$41,$A34-Annahmen!$B$95)*Annahmen!$B$94,0)</f>
        <v>0.09</v>
      </c>
      <c r="G34" s="24" t="n">
        <f aca="false">F34*(Annahmen!$B$96*(Annahmen!$B$106+Annahmen!$B$107)-Annahmen!$B$105*(1-Annahmen!$B$93))</f>
        <v>211.68</v>
      </c>
      <c r="H34" s="17" t="n">
        <f aca="false">IF($A34&gt;=Annahmen!$B$91,Annahmen!$B$97,0)</f>
        <v>0</v>
      </c>
      <c r="I34" s="24" t="n">
        <f aca="false">H34*(Annahmen!$B$106+Annahmen!$B$98*Annahmen!$B$107)</f>
        <v>0</v>
      </c>
      <c r="J34" s="17" t="n">
        <f aca="false">IF($A34&gt;=Annahmen!$B$91,Annahmen!$B$99,0)</f>
        <v>0</v>
      </c>
      <c r="K34" s="24" t="n">
        <f aca="false">J34*(Annahmen!$B$108+Annahmen!$B$100*Annahmen!$B$111)</f>
        <v>0</v>
      </c>
      <c r="L34" s="17" t="n">
        <f aca="false">IF($A34&gt;=Annahmen!$B$91,Annahmen!$B$101,0)</f>
        <v>0</v>
      </c>
      <c r="M34" s="24" t="n">
        <f aca="false">L34*Annahmen!$B$112</f>
        <v>0</v>
      </c>
      <c r="N34" s="15" t="n">
        <f aca="false">IF($A34&gt;=Annahmen!$B$91,Annahmen!$B$102,0)</f>
        <v>0</v>
      </c>
      <c r="O34" s="24" t="n">
        <f aca="false">N34*Annahmen!$B$113</f>
        <v>0</v>
      </c>
      <c r="P34" s="15" t="n">
        <f aca="false">IF($A34&gt;=Annahmen!$B$91,Annahmen!$B$103,0)</f>
        <v>0</v>
      </c>
      <c r="Q34" s="24" t="n">
        <f aca="false">P34*Annahmen!$B$114</f>
        <v>0</v>
      </c>
      <c r="R34" s="17" t="n">
        <f aca="false">IF($A34&gt;=Annahmen!$B$91,Annahmen!$B$104,0)</f>
        <v>0</v>
      </c>
      <c r="S34" s="24" t="n">
        <f aca="false">R34*Annahmen!$B$115</f>
        <v>0</v>
      </c>
      <c r="T34" s="24" t="n">
        <f aca="false">E34+G34+I34+K34+M34+O34+Q34+S34</f>
        <v>314.58</v>
      </c>
      <c r="U34" s="24" t="n">
        <f aca="false">C34*Annahmen!$B$52+F34*Annahmen!$B$96*Annahmen!$B$48+H34*(Annahmen!$B$46+Annahmen!$B$98*(Annahmen!$B$48-Annahmen!$B$46))+J34*Annahmen!$B$49+L34*Annahmen!$B$50+(N34+P34)*Annahmen!$B$51</f>
        <v>8.76039292347332</v>
      </c>
      <c r="V34" s="24" t="n">
        <f aca="false">SUMPRODUCT((((Annahmen!$C$161:$C$174="monatlich")*(Annahmen!$D$161:$D$174&lt;=$A34))+((Annahmen!$C$161:$C$174="einmalig")*(Annahmen!$D$161:$D$174=$A34)))*Annahmen!$B$161:$B$174*Annahmen!$F$161:$F$174)</f>
        <v>50.8275708031806</v>
      </c>
      <c r="W34" s="24" t="n">
        <f aca="false">Annahmen!$B$144</f>
        <v>50</v>
      </c>
      <c r="X34" s="17" t="n">
        <f aca="false">C34+F34*Annahmen!$B$96+H34+J34+L34/Annahmen!$B$47+(N34+P34)/(Annahmen!$B$24/Annahmen!$B$25)</f>
        <v>0.75</v>
      </c>
      <c r="Y34" s="36" t="n">
        <f aca="false">MAX(0,(X34-Annahmen!$B$149)/Annahmen!$B$150)</f>
        <v>0</v>
      </c>
      <c r="Z34" s="24" t="n">
        <f aca="false">Y34*Annahmen!$B$146</f>
        <v>0</v>
      </c>
      <c r="AA34" s="24" t="n">
        <f aca="false">T34-U34-V34-W34-Z34</f>
        <v>204.992036273346</v>
      </c>
      <c r="AB34" s="24" t="n">
        <f aca="false">AB33+AA34</f>
        <v>-1007.08828697453</v>
      </c>
      <c r="AC34" s="7" t="n">
        <f aca="false">IF(AA34&gt;0,1,0)</f>
        <v>1</v>
      </c>
      <c r="AD34" s="7" t="n">
        <f aca="false">IF(AB34&gt;=0,1,0)</f>
        <v>0</v>
      </c>
    </row>
    <row r="35" customFormat="false" ht="15" hidden="false" customHeight="false" outlineLevel="0" collapsed="false">
      <c r="A35" s="7" t="n">
        <v>18</v>
      </c>
      <c r="B35" s="7" t="s">
        <v>407</v>
      </c>
      <c r="C35" s="17" t="n">
        <f aca="false">IF($A35&gt;=Annahmen!$B$91,Annahmen!$B$92,0)</f>
        <v>0.3</v>
      </c>
      <c r="D35" s="17" t="n">
        <f aca="false">C35*Annahmen!$B$93</f>
        <v>0.09</v>
      </c>
      <c r="E35" s="24" t="n">
        <f aca="false">(C35-D35)*Annahmen!$B$105</f>
        <v>102.9</v>
      </c>
      <c r="F35" s="17" t="n">
        <f aca="false">IF($A35&gt;Annahmen!$B$95,INDEX($C$18:$C$41,$A35-Annahmen!$B$95)*Annahmen!$B$94,0)</f>
        <v>0.09</v>
      </c>
      <c r="G35" s="24" t="n">
        <f aca="false">F35*(Annahmen!$B$96*(Annahmen!$B$106+Annahmen!$B$107)-Annahmen!$B$105*(1-Annahmen!$B$93))</f>
        <v>211.68</v>
      </c>
      <c r="H35" s="17" t="n">
        <f aca="false">IF($A35&gt;=Annahmen!$B$91,Annahmen!$B$97,0)</f>
        <v>0</v>
      </c>
      <c r="I35" s="24" t="n">
        <f aca="false">H35*(Annahmen!$B$106+Annahmen!$B$98*Annahmen!$B$107)</f>
        <v>0</v>
      </c>
      <c r="J35" s="17" t="n">
        <f aca="false">IF($A35&gt;=Annahmen!$B$91,Annahmen!$B$99,0)</f>
        <v>0</v>
      </c>
      <c r="K35" s="24" t="n">
        <f aca="false">J35*(Annahmen!$B$108+Annahmen!$B$100*Annahmen!$B$111)</f>
        <v>0</v>
      </c>
      <c r="L35" s="17" t="n">
        <f aca="false">IF($A35&gt;=Annahmen!$B$91,Annahmen!$B$101,0)</f>
        <v>0</v>
      </c>
      <c r="M35" s="24" t="n">
        <f aca="false">L35*Annahmen!$B$112</f>
        <v>0</v>
      </c>
      <c r="N35" s="15" t="n">
        <f aca="false">IF($A35&gt;=Annahmen!$B$91,Annahmen!$B$102,0)</f>
        <v>0</v>
      </c>
      <c r="O35" s="24" t="n">
        <f aca="false">N35*Annahmen!$B$113</f>
        <v>0</v>
      </c>
      <c r="P35" s="15" t="n">
        <f aca="false">IF($A35&gt;=Annahmen!$B$91,Annahmen!$B$103,0)</f>
        <v>0</v>
      </c>
      <c r="Q35" s="24" t="n">
        <f aca="false">P35*Annahmen!$B$114</f>
        <v>0</v>
      </c>
      <c r="R35" s="17" t="n">
        <f aca="false">IF($A35&gt;=Annahmen!$B$91,Annahmen!$B$104,0)</f>
        <v>0</v>
      </c>
      <c r="S35" s="24" t="n">
        <f aca="false">R35*Annahmen!$B$115</f>
        <v>0</v>
      </c>
      <c r="T35" s="24" t="n">
        <f aca="false">E35+G35+I35+K35+M35+O35+Q35+S35</f>
        <v>314.58</v>
      </c>
      <c r="U35" s="24" t="n">
        <f aca="false">C35*Annahmen!$B$52+F35*Annahmen!$B$96*Annahmen!$B$48+H35*(Annahmen!$B$46+Annahmen!$B$98*(Annahmen!$B$48-Annahmen!$B$46))+J35*Annahmen!$B$49+L35*Annahmen!$B$50+(N35+P35)*Annahmen!$B$51</f>
        <v>8.76039292347332</v>
      </c>
      <c r="V35" s="24" t="n">
        <f aca="false">SUMPRODUCT((((Annahmen!$C$161:$C$174="monatlich")*(Annahmen!$D$161:$D$174&lt;=$A35))+((Annahmen!$C$161:$C$174="einmalig")*(Annahmen!$D$161:$D$174=$A35)))*Annahmen!$B$161:$B$174*Annahmen!$F$161:$F$174)</f>
        <v>50.8275708031806</v>
      </c>
      <c r="W35" s="24" t="n">
        <f aca="false">Annahmen!$B$144</f>
        <v>50</v>
      </c>
      <c r="X35" s="17" t="n">
        <f aca="false">C35+F35*Annahmen!$B$96+H35+J35+L35/Annahmen!$B$47+(N35+P35)/(Annahmen!$B$24/Annahmen!$B$25)</f>
        <v>0.75</v>
      </c>
      <c r="Y35" s="36" t="n">
        <f aca="false">MAX(0,(X35-Annahmen!$B$149)/Annahmen!$B$150)</f>
        <v>0</v>
      </c>
      <c r="Z35" s="24" t="n">
        <f aca="false">Y35*Annahmen!$B$146</f>
        <v>0</v>
      </c>
      <c r="AA35" s="24" t="n">
        <f aca="false">T35-U35-V35-W35-Z35</f>
        <v>204.992036273346</v>
      </c>
      <c r="AB35" s="24" t="n">
        <f aca="false">AB34+AA35</f>
        <v>-802.096250701184</v>
      </c>
      <c r="AC35" s="7" t="n">
        <f aca="false">IF(AA35&gt;0,1,0)</f>
        <v>1</v>
      </c>
      <c r="AD35" s="7" t="n">
        <f aca="false">IF(AB35&gt;=0,1,0)</f>
        <v>0</v>
      </c>
    </row>
    <row r="36" customFormat="false" ht="15" hidden="false" customHeight="false" outlineLevel="0" collapsed="false">
      <c r="A36" s="7" t="n">
        <v>19</v>
      </c>
      <c r="B36" s="7" t="s">
        <v>408</v>
      </c>
      <c r="C36" s="17" t="n">
        <f aca="false">IF($A36&gt;=Annahmen!$B$91,Annahmen!$B$92,0)</f>
        <v>0.3</v>
      </c>
      <c r="D36" s="17" t="n">
        <f aca="false">C36*Annahmen!$B$93</f>
        <v>0.09</v>
      </c>
      <c r="E36" s="24" t="n">
        <f aca="false">(C36-D36)*Annahmen!$B$105</f>
        <v>102.9</v>
      </c>
      <c r="F36" s="17" t="n">
        <f aca="false">IF($A36&gt;Annahmen!$B$95,INDEX($C$18:$C$41,$A36-Annahmen!$B$95)*Annahmen!$B$94,0)</f>
        <v>0.09</v>
      </c>
      <c r="G36" s="24" t="n">
        <f aca="false">F36*(Annahmen!$B$96*(Annahmen!$B$106+Annahmen!$B$107)-Annahmen!$B$105*(1-Annahmen!$B$93))</f>
        <v>211.68</v>
      </c>
      <c r="H36" s="17" t="n">
        <f aca="false">IF($A36&gt;=Annahmen!$B$91,Annahmen!$B$97,0)</f>
        <v>0</v>
      </c>
      <c r="I36" s="24" t="n">
        <f aca="false">H36*(Annahmen!$B$106+Annahmen!$B$98*Annahmen!$B$107)</f>
        <v>0</v>
      </c>
      <c r="J36" s="17" t="n">
        <f aca="false">IF($A36&gt;=Annahmen!$B$91,Annahmen!$B$99,0)</f>
        <v>0</v>
      </c>
      <c r="K36" s="24" t="n">
        <f aca="false">J36*(Annahmen!$B$108+Annahmen!$B$100*Annahmen!$B$111)</f>
        <v>0</v>
      </c>
      <c r="L36" s="17" t="n">
        <f aca="false">IF($A36&gt;=Annahmen!$B$91,Annahmen!$B$101,0)</f>
        <v>0</v>
      </c>
      <c r="M36" s="24" t="n">
        <f aca="false">L36*Annahmen!$B$112</f>
        <v>0</v>
      </c>
      <c r="N36" s="15" t="n">
        <f aca="false">IF($A36&gt;=Annahmen!$B$91,Annahmen!$B$102,0)</f>
        <v>0</v>
      </c>
      <c r="O36" s="24" t="n">
        <f aca="false">N36*Annahmen!$B$113</f>
        <v>0</v>
      </c>
      <c r="P36" s="15" t="n">
        <f aca="false">IF($A36&gt;=Annahmen!$B$91,Annahmen!$B$103,0)</f>
        <v>0</v>
      </c>
      <c r="Q36" s="24" t="n">
        <f aca="false">P36*Annahmen!$B$114</f>
        <v>0</v>
      </c>
      <c r="R36" s="17" t="n">
        <f aca="false">IF($A36&gt;=Annahmen!$B$91,Annahmen!$B$104,0)</f>
        <v>0</v>
      </c>
      <c r="S36" s="24" t="n">
        <f aca="false">R36*Annahmen!$B$115</f>
        <v>0</v>
      </c>
      <c r="T36" s="24" t="n">
        <f aca="false">E36+G36+I36+K36+M36+O36+Q36+S36</f>
        <v>314.58</v>
      </c>
      <c r="U36" s="24" t="n">
        <f aca="false">C36*Annahmen!$B$52+F36*Annahmen!$B$96*Annahmen!$B$48+H36*(Annahmen!$B$46+Annahmen!$B$98*(Annahmen!$B$48-Annahmen!$B$46))+J36*Annahmen!$B$49+L36*Annahmen!$B$50+(N36+P36)*Annahmen!$B$51</f>
        <v>8.76039292347332</v>
      </c>
      <c r="V36" s="24" t="n">
        <f aca="false">SUMPRODUCT((((Annahmen!$C$161:$C$174="monatlich")*(Annahmen!$D$161:$D$174&lt;=$A36))+((Annahmen!$C$161:$C$174="einmalig")*(Annahmen!$D$161:$D$174=$A36)))*Annahmen!$B$161:$B$174*Annahmen!$F$161:$F$174)</f>
        <v>50.8275708031806</v>
      </c>
      <c r="W36" s="24" t="n">
        <f aca="false">Annahmen!$B$144</f>
        <v>50</v>
      </c>
      <c r="X36" s="17" t="n">
        <f aca="false">C36+F36*Annahmen!$B$96+H36+J36+L36/Annahmen!$B$47+(N36+P36)/(Annahmen!$B$24/Annahmen!$B$25)</f>
        <v>0.75</v>
      </c>
      <c r="Y36" s="36" t="n">
        <f aca="false">MAX(0,(X36-Annahmen!$B$149)/Annahmen!$B$150)</f>
        <v>0</v>
      </c>
      <c r="Z36" s="24" t="n">
        <f aca="false">Y36*Annahmen!$B$146</f>
        <v>0</v>
      </c>
      <c r="AA36" s="24" t="n">
        <f aca="false">T36-U36-V36-W36-Z36</f>
        <v>204.992036273346</v>
      </c>
      <c r="AB36" s="24" t="n">
        <f aca="false">AB35+AA36</f>
        <v>-597.104214427838</v>
      </c>
      <c r="AC36" s="7" t="n">
        <f aca="false">IF(AA36&gt;0,1,0)</f>
        <v>1</v>
      </c>
      <c r="AD36" s="7" t="n">
        <f aca="false">IF(AB36&gt;=0,1,0)</f>
        <v>0</v>
      </c>
    </row>
    <row r="37" customFormat="false" ht="15" hidden="false" customHeight="false" outlineLevel="0" collapsed="false">
      <c r="A37" s="7" t="n">
        <v>20</v>
      </c>
      <c r="B37" s="7" t="s">
        <v>409</v>
      </c>
      <c r="C37" s="17" t="n">
        <f aca="false">IF($A37&gt;=Annahmen!$B$91,Annahmen!$B$92,0)</f>
        <v>0.3</v>
      </c>
      <c r="D37" s="17" t="n">
        <f aca="false">C37*Annahmen!$B$93</f>
        <v>0.09</v>
      </c>
      <c r="E37" s="24" t="n">
        <f aca="false">(C37-D37)*Annahmen!$B$105</f>
        <v>102.9</v>
      </c>
      <c r="F37" s="17" t="n">
        <f aca="false">IF($A37&gt;Annahmen!$B$95,INDEX($C$18:$C$41,$A37-Annahmen!$B$95)*Annahmen!$B$94,0)</f>
        <v>0.09</v>
      </c>
      <c r="G37" s="24" t="n">
        <f aca="false">F37*(Annahmen!$B$96*(Annahmen!$B$106+Annahmen!$B$107)-Annahmen!$B$105*(1-Annahmen!$B$93))</f>
        <v>211.68</v>
      </c>
      <c r="H37" s="17" t="n">
        <f aca="false">IF($A37&gt;=Annahmen!$B$91,Annahmen!$B$97,0)</f>
        <v>0</v>
      </c>
      <c r="I37" s="24" t="n">
        <f aca="false">H37*(Annahmen!$B$106+Annahmen!$B$98*Annahmen!$B$107)</f>
        <v>0</v>
      </c>
      <c r="J37" s="17" t="n">
        <f aca="false">IF($A37&gt;=Annahmen!$B$91,Annahmen!$B$99,0)</f>
        <v>0</v>
      </c>
      <c r="K37" s="24" t="n">
        <f aca="false">J37*(Annahmen!$B$108+Annahmen!$B$100*Annahmen!$B$111)</f>
        <v>0</v>
      </c>
      <c r="L37" s="17" t="n">
        <f aca="false">IF($A37&gt;=Annahmen!$B$91,Annahmen!$B$101,0)</f>
        <v>0</v>
      </c>
      <c r="M37" s="24" t="n">
        <f aca="false">L37*Annahmen!$B$112</f>
        <v>0</v>
      </c>
      <c r="N37" s="15" t="n">
        <f aca="false">IF($A37&gt;=Annahmen!$B$91,Annahmen!$B$102,0)</f>
        <v>0</v>
      </c>
      <c r="O37" s="24" t="n">
        <f aca="false">N37*Annahmen!$B$113</f>
        <v>0</v>
      </c>
      <c r="P37" s="15" t="n">
        <f aca="false">IF($A37&gt;=Annahmen!$B$91,Annahmen!$B$103,0)</f>
        <v>0</v>
      </c>
      <c r="Q37" s="24" t="n">
        <f aca="false">P37*Annahmen!$B$114</f>
        <v>0</v>
      </c>
      <c r="R37" s="17" t="n">
        <f aca="false">IF($A37&gt;=Annahmen!$B$91,Annahmen!$B$104,0)</f>
        <v>0</v>
      </c>
      <c r="S37" s="24" t="n">
        <f aca="false">R37*Annahmen!$B$115</f>
        <v>0</v>
      </c>
      <c r="T37" s="24" t="n">
        <f aca="false">E37+G37+I37+K37+M37+O37+Q37+S37</f>
        <v>314.58</v>
      </c>
      <c r="U37" s="24" t="n">
        <f aca="false">C37*Annahmen!$B$52+F37*Annahmen!$B$96*Annahmen!$B$48+H37*(Annahmen!$B$46+Annahmen!$B$98*(Annahmen!$B$48-Annahmen!$B$46))+J37*Annahmen!$B$49+L37*Annahmen!$B$50+(N37+P37)*Annahmen!$B$51</f>
        <v>8.76039292347332</v>
      </c>
      <c r="V37" s="24" t="n">
        <f aca="false">SUMPRODUCT((((Annahmen!$C$161:$C$174="monatlich")*(Annahmen!$D$161:$D$174&lt;=$A37))+((Annahmen!$C$161:$C$174="einmalig")*(Annahmen!$D$161:$D$174=$A37)))*Annahmen!$B$161:$B$174*Annahmen!$F$161:$F$174)</f>
        <v>50.8275708031806</v>
      </c>
      <c r="W37" s="24" t="n">
        <f aca="false">Annahmen!$B$144</f>
        <v>50</v>
      </c>
      <c r="X37" s="17" t="n">
        <f aca="false">C37+F37*Annahmen!$B$96+H37+J37+L37/Annahmen!$B$47+(N37+P37)/(Annahmen!$B$24/Annahmen!$B$25)</f>
        <v>0.75</v>
      </c>
      <c r="Y37" s="36" t="n">
        <f aca="false">MAX(0,(X37-Annahmen!$B$149)/Annahmen!$B$150)</f>
        <v>0</v>
      </c>
      <c r="Z37" s="24" t="n">
        <f aca="false">Y37*Annahmen!$B$146</f>
        <v>0</v>
      </c>
      <c r="AA37" s="24" t="n">
        <f aca="false">T37-U37-V37-W37-Z37</f>
        <v>204.992036273346</v>
      </c>
      <c r="AB37" s="24" t="n">
        <f aca="false">AB36+AA37</f>
        <v>-392.112178154492</v>
      </c>
      <c r="AC37" s="7" t="n">
        <f aca="false">IF(AA37&gt;0,1,0)</f>
        <v>1</v>
      </c>
      <c r="AD37" s="7" t="n">
        <f aca="false">IF(AB37&gt;=0,1,0)</f>
        <v>0</v>
      </c>
    </row>
    <row r="38" customFormat="false" ht="15" hidden="false" customHeight="false" outlineLevel="0" collapsed="false">
      <c r="A38" s="7" t="n">
        <v>21</v>
      </c>
      <c r="B38" s="7" t="s">
        <v>410</v>
      </c>
      <c r="C38" s="17" t="n">
        <f aca="false">IF($A38&gt;=Annahmen!$B$91,Annahmen!$B$92,0)</f>
        <v>0.3</v>
      </c>
      <c r="D38" s="17" t="n">
        <f aca="false">C38*Annahmen!$B$93</f>
        <v>0.09</v>
      </c>
      <c r="E38" s="24" t="n">
        <f aca="false">(C38-D38)*Annahmen!$B$105</f>
        <v>102.9</v>
      </c>
      <c r="F38" s="17" t="n">
        <f aca="false">IF($A38&gt;Annahmen!$B$95,INDEX($C$18:$C$41,$A38-Annahmen!$B$95)*Annahmen!$B$94,0)</f>
        <v>0.09</v>
      </c>
      <c r="G38" s="24" t="n">
        <f aca="false">F38*(Annahmen!$B$96*(Annahmen!$B$106+Annahmen!$B$107)-Annahmen!$B$105*(1-Annahmen!$B$93))</f>
        <v>211.68</v>
      </c>
      <c r="H38" s="17" t="n">
        <f aca="false">IF($A38&gt;=Annahmen!$B$91,Annahmen!$B$97,0)</f>
        <v>0</v>
      </c>
      <c r="I38" s="24" t="n">
        <f aca="false">H38*(Annahmen!$B$106+Annahmen!$B$98*Annahmen!$B$107)</f>
        <v>0</v>
      </c>
      <c r="J38" s="17" t="n">
        <f aca="false">IF($A38&gt;=Annahmen!$B$91,Annahmen!$B$99,0)</f>
        <v>0</v>
      </c>
      <c r="K38" s="24" t="n">
        <f aca="false">J38*(Annahmen!$B$108+Annahmen!$B$100*Annahmen!$B$111)</f>
        <v>0</v>
      </c>
      <c r="L38" s="17" t="n">
        <f aca="false">IF($A38&gt;=Annahmen!$B$91,Annahmen!$B$101,0)</f>
        <v>0</v>
      </c>
      <c r="M38" s="24" t="n">
        <f aca="false">L38*Annahmen!$B$112</f>
        <v>0</v>
      </c>
      <c r="N38" s="15" t="n">
        <f aca="false">IF($A38&gt;=Annahmen!$B$91,Annahmen!$B$102,0)</f>
        <v>0</v>
      </c>
      <c r="O38" s="24" t="n">
        <f aca="false">N38*Annahmen!$B$113</f>
        <v>0</v>
      </c>
      <c r="P38" s="15" t="n">
        <f aca="false">IF($A38&gt;=Annahmen!$B$91,Annahmen!$B$103,0)</f>
        <v>0</v>
      </c>
      <c r="Q38" s="24" t="n">
        <f aca="false">P38*Annahmen!$B$114</f>
        <v>0</v>
      </c>
      <c r="R38" s="17" t="n">
        <f aca="false">IF($A38&gt;=Annahmen!$B$91,Annahmen!$B$104,0)</f>
        <v>0</v>
      </c>
      <c r="S38" s="24" t="n">
        <f aca="false">R38*Annahmen!$B$115</f>
        <v>0</v>
      </c>
      <c r="T38" s="24" t="n">
        <f aca="false">E38+G38+I38+K38+M38+O38+Q38+S38</f>
        <v>314.58</v>
      </c>
      <c r="U38" s="24" t="n">
        <f aca="false">C38*Annahmen!$B$52+F38*Annahmen!$B$96*Annahmen!$B$48+H38*(Annahmen!$B$46+Annahmen!$B$98*(Annahmen!$B$48-Annahmen!$B$46))+J38*Annahmen!$B$49+L38*Annahmen!$B$50+(N38+P38)*Annahmen!$B$51</f>
        <v>8.76039292347332</v>
      </c>
      <c r="V38" s="24" t="n">
        <f aca="false">SUMPRODUCT((((Annahmen!$C$161:$C$174="monatlich")*(Annahmen!$D$161:$D$174&lt;=$A38))+((Annahmen!$C$161:$C$174="einmalig")*(Annahmen!$D$161:$D$174=$A38)))*Annahmen!$B$161:$B$174*Annahmen!$F$161:$F$174)</f>
        <v>50.8275708031806</v>
      </c>
      <c r="W38" s="24" t="n">
        <f aca="false">Annahmen!$B$144</f>
        <v>50</v>
      </c>
      <c r="X38" s="17" t="n">
        <f aca="false">C38+F38*Annahmen!$B$96+H38+J38+L38/Annahmen!$B$47+(N38+P38)/(Annahmen!$B$24/Annahmen!$B$25)</f>
        <v>0.75</v>
      </c>
      <c r="Y38" s="36" t="n">
        <f aca="false">MAX(0,(X38-Annahmen!$B$149)/Annahmen!$B$150)</f>
        <v>0</v>
      </c>
      <c r="Z38" s="24" t="n">
        <f aca="false">Y38*Annahmen!$B$146</f>
        <v>0</v>
      </c>
      <c r="AA38" s="24" t="n">
        <f aca="false">T38-U38-V38-W38-Z38</f>
        <v>204.992036273346</v>
      </c>
      <c r="AB38" s="24" t="n">
        <f aca="false">AB37+AA38</f>
        <v>-187.120141881146</v>
      </c>
      <c r="AC38" s="7" t="n">
        <f aca="false">IF(AA38&gt;0,1,0)</f>
        <v>1</v>
      </c>
      <c r="AD38" s="7" t="n">
        <f aca="false">IF(AB38&gt;=0,1,0)</f>
        <v>0</v>
      </c>
    </row>
    <row r="39" customFormat="false" ht="15" hidden="false" customHeight="false" outlineLevel="0" collapsed="false">
      <c r="A39" s="7" t="n">
        <v>22</v>
      </c>
      <c r="B39" s="7" t="s">
        <v>411</v>
      </c>
      <c r="C39" s="17" t="n">
        <f aca="false">IF($A39&gt;=Annahmen!$B$91,Annahmen!$B$92,0)</f>
        <v>0.3</v>
      </c>
      <c r="D39" s="17" t="n">
        <f aca="false">C39*Annahmen!$B$93</f>
        <v>0.09</v>
      </c>
      <c r="E39" s="24" t="n">
        <f aca="false">(C39-D39)*Annahmen!$B$105</f>
        <v>102.9</v>
      </c>
      <c r="F39" s="17" t="n">
        <f aca="false">IF($A39&gt;Annahmen!$B$95,INDEX($C$18:$C$41,$A39-Annahmen!$B$95)*Annahmen!$B$94,0)</f>
        <v>0.09</v>
      </c>
      <c r="G39" s="24" t="n">
        <f aca="false">F39*(Annahmen!$B$96*(Annahmen!$B$106+Annahmen!$B$107)-Annahmen!$B$105*(1-Annahmen!$B$93))</f>
        <v>211.68</v>
      </c>
      <c r="H39" s="17" t="n">
        <f aca="false">IF($A39&gt;=Annahmen!$B$91,Annahmen!$B$97,0)</f>
        <v>0</v>
      </c>
      <c r="I39" s="24" t="n">
        <f aca="false">H39*(Annahmen!$B$106+Annahmen!$B$98*Annahmen!$B$107)</f>
        <v>0</v>
      </c>
      <c r="J39" s="17" t="n">
        <f aca="false">IF($A39&gt;=Annahmen!$B$91,Annahmen!$B$99,0)</f>
        <v>0</v>
      </c>
      <c r="K39" s="24" t="n">
        <f aca="false">J39*(Annahmen!$B$108+Annahmen!$B$100*Annahmen!$B$111)</f>
        <v>0</v>
      </c>
      <c r="L39" s="17" t="n">
        <f aca="false">IF($A39&gt;=Annahmen!$B$91,Annahmen!$B$101,0)</f>
        <v>0</v>
      </c>
      <c r="M39" s="24" t="n">
        <f aca="false">L39*Annahmen!$B$112</f>
        <v>0</v>
      </c>
      <c r="N39" s="15" t="n">
        <f aca="false">IF($A39&gt;=Annahmen!$B$91,Annahmen!$B$102,0)</f>
        <v>0</v>
      </c>
      <c r="O39" s="24" t="n">
        <f aca="false">N39*Annahmen!$B$113</f>
        <v>0</v>
      </c>
      <c r="P39" s="15" t="n">
        <f aca="false">IF($A39&gt;=Annahmen!$B$91,Annahmen!$B$103,0)</f>
        <v>0</v>
      </c>
      <c r="Q39" s="24" t="n">
        <f aca="false">P39*Annahmen!$B$114</f>
        <v>0</v>
      </c>
      <c r="R39" s="17" t="n">
        <f aca="false">IF($A39&gt;=Annahmen!$B$91,Annahmen!$B$104,0)</f>
        <v>0</v>
      </c>
      <c r="S39" s="24" t="n">
        <f aca="false">R39*Annahmen!$B$115</f>
        <v>0</v>
      </c>
      <c r="T39" s="24" t="n">
        <f aca="false">E39+G39+I39+K39+M39+O39+Q39+S39</f>
        <v>314.58</v>
      </c>
      <c r="U39" s="24" t="n">
        <f aca="false">C39*Annahmen!$B$52+F39*Annahmen!$B$96*Annahmen!$B$48+H39*(Annahmen!$B$46+Annahmen!$B$98*(Annahmen!$B$48-Annahmen!$B$46))+J39*Annahmen!$B$49+L39*Annahmen!$B$50+(N39+P39)*Annahmen!$B$51</f>
        <v>8.76039292347332</v>
      </c>
      <c r="V39" s="24" t="n">
        <f aca="false">SUMPRODUCT((((Annahmen!$C$161:$C$174="monatlich")*(Annahmen!$D$161:$D$174&lt;=$A39))+((Annahmen!$C$161:$C$174="einmalig")*(Annahmen!$D$161:$D$174=$A39)))*Annahmen!$B$161:$B$174*Annahmen!$F$161:$F$174)</f>
        <v>50.8275708031806</v>
      </c>
      <c r="W39" s="24" t="n">
        <f aca="false">Annahmen!$B$144</f>
        <v>50</v>
      </c>
      <c r="X39" s="17" t="n">
        <f aca="false">C39+F39*Annahmen!$B$96+H39+J39+L39/Annahmen!$B$47+(N39+P39)/(Annahmen!$B$24/Annahmen!$B$25)</f>
        <v>0.75</v>
      </c>
      <c r="Y39" s="36" t="n">
        <f aca="false">MAX(0,(X39-Annahmen!$B$149)/Annahmen!$B$150)</f>
        <v>0</v>
      </c>
      <c r="Z39" s="24" t="n">
        <f aca="false">Y39*Annahmen!$B$146</f>
        <v>0</v>
      </c>
      <c r="AA39" s="24" t="n">
        <f aca="false">T39-U39-V39-W39-Z39</f>
        <v>204.992036273346</v>
      </c>
      <c r="AB39" s="24" t="n">
        <f aca="false">AB38+AA39</f>
        <v>17.8718943922001</v>
      </c>
      <c r="AC39" s="7" t="n">
        <f aca="false">IF(AA39&gt;0,1,0)</f>
        <v>1</v>
      </c>
      <c r="AD39" s="7" t="n">
        <f aca="false">IF(AB39&gt;=0,1,0)</f>
        <v>1</v>
      </c>
    </row>
    <row r="40" customFormat="false" ht="15" hidden="false" customHeight="false" outlineLevel="0" collapsed="false">
      <c r="A40" s="7" t="n">
        <v>23</v>
      </c>
      <c r="B40" s="7" t="s">
        <v>412</v>
      </c>
      <c r="C40" s="17" t="n">
        <f aca="false">IF($A40&gt;=Annahmen!$B$91,Annahmen!$B$92,0)</f>
        <v>0.3</v>
      </c>
      <c r="D40" s="17" t="n">
        <f aca="false">C40*Annahmen!$B$93</f>
        <v>0.09</v>
      </c>
      <c r="E40" s="24" t="n">
        <f aca="false">(C40-D40)*Annahmen!$B$105</f>
        <v>102.9</v>
      </c>
      <c r="F40" s="17" t="n">
        <f aca="false">IF($A40&gt;Annahmen!$B$95,INDEX($C$18:$C$41,$A40-Annahmen!$B$95)*Annahmen!$B$94,0)</f>
        <v>0.09</v>
      </c>
      <c r="G40" s="24" t="n">
        <f aca="false">F40*(Annahmen!$B$96*(Annahmen!$B$106+Annahmen!$B$107)-Annahmen!$B$105*(1-Annahmen!$B$93))</f>
        <v>211.68</v>
      </c>
      <c r="H40" s="17" t="n">
        <f aca="false">IF($A40&gt;=Annahmen!$B$91,Annahmen!$B$97,0)</f>
        <v>0</v>
      </c>
      <c r="I40" s="24" t="n">
        <f aca="false">H40*(Annahmen!$B$106+Annahmen!$B$98*Annahmen!$B$107)</f>
        <v>0</v>
      </c>
      <c r="J40" s="17" t="n">
        <f aca="false">IF($A40&gt;=Annahmen!$B$91,Annahmen!$B$99,0)</f>
        <v>0</v>
      </c>
      <c r="K40" s="24" t="n">
        <f aca="false">J40*(Annahmen!$B$108+Annahmen!$B$100*Annahmen!$B$111)</f>
        <v>0</v>
      </c>
      <c r="L40" s="17" t="n">
        <f aca="false">IF($A40&gt;=Annahmen!$B$91,Annahmen!$B$101,0)</f>
        <v>0</v>
      </c>
      <c r="M40" s="24" t="n">
        <f aca="false">L40*Annahmen!$B$112</f>
        <v>0</v>
      </c>
      <c r="N40" s="15" t="n">
        <f aca="false">IF($A40&gt;=Annahmen!$B$91,Annahmen!$B$102,0)</f>
        <v>0</v>
      </c>
      <c r="O40" s="24" t="n">
        <f aca="false">N40*Annahmen!$B$113</f>
        <v>0</v>
      </c>
      <c r="P40" s="15" t="n">
        <f aca="false">IF($A40&gt;=Annahmen!$B$91,Annahmen!$B$103,0)</f>
        <v>0</v>
      </c>
      <c r="Q40" s="24" t="n">
        <f aca="false">P40*Annahmen!$B$114</f>
        <v>0</v>
      </c>
      <c r="R40" s="17" t="n">
        <f aca="false">IF($A40&gt;=Annahmen!$B$91,Annahmen!$B$104,0)</f>
        <v>0</v>
      </c>
      <c r="S40" s="24" t="n">
        <f aca="false">R40*Annahmen!$B$115</f>
        <v>0</v>
      </c>
      <c r="T40" s="24" t="n">
        <f aca="false">E40+G40+I40+K40+M40+O40+Q40+S40</f>
        <v>314.58</v>
      </c>
      <c r="U40" s="24" t="n">
        <f aca="false">C40*Annahmen!$B$52+F40*Annahmen!$B$96*Annahmen!$B$48+H40*(Annahmen!$B$46+Annahmen!$B$98*(Annahmen!$B$48-Annahmen!$B$46))+J40*Annahmen!$B$49+L40*Annahmen!$B$50+(N40+P40)*Annahmen!$B$51</f>
        <v>8.76039292347332</v>
      </c>
      <c r="V40" s="24" t="n">
        <f aca="false">SUMPRODUCT((((Annahmen!$C$161:$C$174="monatlich")*(Annahmen!$D$161:$D$174&lt;=$A40))+((Annahmen!$C$161:$C$174="einmalig")*(Annahmen!$D$161:$D$174=$A40)))*Annahmen!$B$161:$B$174*Annahmen!$F$161:$F$174)</f>
        <v>50.8275708031806</v>
      </c>
      <c r="W40" s="24" t="n">
        <f aca="false">Annahmen!$B$144</f>
        <v>50</v>
      </c>
      <c r="X40" s="17" t="n">
        <f aca="false">C40+F40*Annahmen!$B$96+H40+J40+L40/Annahmen!$B$47+(N40+P40)/(Annahmen!$B$24/Annahmen!$B$25)</f>
        <v>0.75</v>
      </c>
      <c r="Y40" s="36" t="n">
        <f aca="false">MAX(0,(X40-Annahmen!$B$149)/Annahmen!$B$150)</f>
        <v>0</v>
      </c>
      <c r="Z40" s="24" t="n">
        <f aca="false">Y40*Annahmen!$B$146</f>
        <v>0</v>
      </c>
      <c r="AA40" s="24" t="n">
        <f aca="false">T40-U40-V40-W40-Z40</f>
        <v>204.992036273346</v>
      </c>
      <c r="AB40" s="24" t="n">
        <f aca="false">AB39+AA40</f>
        <v>222.863930665546</v>
      </c>
      <c r="AC40" s="7" t="n">
        <f aca="false">IF(AA40&gt;0,1,0)</f>
        <v>1</v>
      </c>
      <c r="AD40" s="7" t="n">
        <f aca="false">IF(AB40&gt;=0,1,0)</f>
        <v>1</v>
      </c>
    </row>
    <row r="41" customFormat="false" ht="15" hidden="false" customHeight="false" outlineLevel="0" collapsed="false">
      <c r="A41" s="7" t="n">
        <v>24</v>
      </c>
      <c r="B41" s="7" t="s">
        <v>413</v>
      </c>
      <c r="C41" s="17" t="n">
        <f aca="false">IF($A41&gt;=Annahmen!$B$91,Annahmen!$B$92,0)</f>
        <v>0.3</v>
      </c>
      <c r="D41" s="17" t="n">
        <f aca="false">C41*Annahmen!$B$93</f>
        <v>0.09</v>
      </c>
      <c r="E41" s="24" t="n">
        <f aca="false">(C41-D41)*Annahmen!$B$105</f>
        <v>102.9</v>
      </c>
      <c r="F41" s="17" t="n">
        <f aca="false">IF($A41&gt;Annahmen!$B$95,INDEX($C$18:$C$41,$A41-Annahmen!$B$95)*Annahmen!$B$94,0)</f>
        <v>0.09</v>
      </c>
      <c r="G41" s="24" t="n">
        <f aca="false">F41*(Annahmen!$B$96*(Annahmen!$B$106+Annahmen!$B$107)-Annahmen!$B$105*(1-Annahmen!$B$93))</f>
        <v>211.68</v>
      </c>
      <c r="H41" s="17" t="n">
        <f aca="false">IF($A41&gt;=Annahmen!$B$91,Annahmen!$B$97,0)</f>
        <v>0</v>
      </c>
      <c r="I41" s="24" t="n">
        <f aca="false">H41*(Annahmen!$B$106+Annahmen!$B$98*Annahmen!$B$107)</f>
        <v>0</v>
      </c>
      <c r="J41" s="17" t="n">
        <f aca="false">IF($A41&gt;=Annahmen!$B$91,Annahmen!$B$99,0)</f>
        <v>0</v>
      </c>
      <c r="K41" s="24" t="n">
        <f aca="false">J41*(Annahmen!$B$108+Annahmen!$B$100*Annahmen!$B$111)</f>
        <v>0</v>
      </c>
      <c r="L41" s="17" t="n">
        <f aca="false">IF($A41&gt;=Annahmen!$B$91,Annahmen!$B$101,0)</f>
        <v>0</v>
      </c>
      <c r="M41" s="24" t="n">
        <f aca="false">L41*Annahmen!$B$112</f>
        <v>0</v>
      </c>
      <c r="N41" s="15" t="n">
        <f aca="false">IF($A41&gt;=Annahmen!$B$91,Annahmen!$B$102,0)</f>
        <v>0</v>
      </c>
      <c r="O41" s="24" t="n">
        <f aca="false">N41*Annahmen!$B$113</f>
        <v>0</v>
      </c>
      <c r="P41" s="15" t="n">
        <f aca="false">IF($A41&gt;=Annahmen!$B$91,Annahmen!$B$103,0)</f>
        <v>0</v>
      </c>
      <c r="Q41" s="24" t="n">
        <f aca="false">P41*Annahmen!$B$114</f>
        <v>0</v>
      </c>
      <c r="R41" s="17" t="n">
        <f aca="false">IF($A41&gt;=Annahmen!$B$91,Annahmen!$B$104,0)</f>
        <v>0</v>
      </c>
      <c r="S41" s="24" t="n">
        <f aca="false">R41*Annahmen!$B$115</f>
        <v>0</v>
      </c>
      <c r="T41" s="24" t="n">
        <f aca="false">E41+G41+I41+K41+M41+O41+Q41+S41</f>
        <v>314.58</v>
      </c>
      <c r="U41" s="24" t="n">
        <f aca="false">C41*Annahmen!$B$52+F41*Annahmen!$B$96*Annahmen!$B$48+H41*(Annahmen!$B$46+Annahmen!$B$98*(Annahmen!$B$48-Annahmen!$B$46))+J41*Annahmen!$B$49+L41*Annahmen!$B$50+(N41+P41)*Annahmen!$B$51</f>
        <v>8.76039292347332</v>
      </c>
      <c r="V41" s="24" t="n">
        <f aca="false">SUMPRODUCT((((Annahmen!$C$161:$C$174="monatlich")*(Annahmen!$D$161:$D$174&lt;=$A41))+((Annahmen!$C$161:$C$174="einmalig")*(Annahmen!$D$161:$D$174=$A41)))*Annahmen!$B$161:$B$174*Annahmen!$F$161:$F$174)</f>
        <v>50.8275708031806</v>
      </c>
      <c r="W41" s="24" t="n">
        <f aca="false">Annahmen!$B$144</f>
        <v>50</v>
      </c>
      <c r="X41" s="17" t="n">
        <f aca="false">C41+F41*Annahmen!$B$96+H41+J41+L41/Annahmen!$B$47+(N41+P41)/(Annahmen!$B$24/Annahmen!$B$25)</f>
        <v>0.75</v>
      </c>
      <c r="Y41" s="36" t="n">
        <f aca="false">MAX(0,(X41-Annahmen!$B$149)/Annahmen!$B$150)</f>
        <v>0</v>
      </c>
      <c r="Z41" s="24" t="n">
        <f aca="false">Y41*Annahmen!$B$146</f>
        <v>0</v>
      </c>
      <c r="AA41" s="24" t="n">
        <f aca="false">T41-U41-V41-W41-Z41</f>
        <v>204.992036273346</v>
      </c>
      <c r="AB41" s="24" t="n">
        <f aca="false">AB40+AA41</f>
        <v>427.855966938892</v>
      </c>
      <c r="AC41" s="7" t="n">
        <f aca="false">IF(AA41&gt;0,1,0)</f>
        <v>1</v>
      </c>
      <c r="AD41" s="7" t="n">
        <f aca="false">IF(AB41&gt;=0,1,0)</f>
        <v>1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5" hidden="false" customHeight="false" outlineLevel="0" collapsed="false">
      <c r="A45" s="5" t="str">
        <f aca="false">"Szenario mittel – "&amp;Annahmen!$C$142</f>
        <v>Szenario mittel – profitabler Nebenerwerb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2"/>
      <c r="AD45" s="2"/>
    </row>
    <row r="46" customFormat="false" ht="42" hidden="false" customHeight="true" outlineLevel="0" collapsed="false">
      <c r="A46" s="35" t="s">
        <v>99</v>
      </c>
      <c r="B46" s="35" t="s">
        <v>359</v>
      </c>
      <c r="C46" s="35" t="s">
        <v>424</v>
      </c>
      <c r="D46" s="35" t="s">
        <v>425</v>
      </c>
      <c r="E46" s="35" t="s">
        <v>426</v>
      </c>
      <c r="F46" s="35" t="s">
        <v>427</v>
      </c>
      <c r="G46" s="35" t="s">
        <v>428</v>
      </c>
      <c r="H46" s="35" t="s">
        <v>429</v>
      </c>
      <c r="I46" s="35" t="s">
        <v>430</v>
      </c>
      <c r="J46" s="35" t="s">
        <v>431</v>
      </c>
      <c r="K46" s="35" t="s">
        <v>432</v>
      </c>
      <c r="L46" s="35" t="s">
        <v>433</v>
      </c>
      <c r="M46" s="35" t="s">
        <v>434</v>
      </c>
      <c r="N46" s="35" t="s">
        <v>435</v>
      </c>
      <c r="O46" s="35" t="s">
        <v>436</v>
      </c>
      <c r="P46" s="35" t="s">
        <v>437</v>
      </c>
      <c r="Q46" s="35" t="s">
        <v>438</v>
      </c>
      <c r="R46" s="35" t="s">
        <v>439</v>
      </c>
      <c r="S46" s="35" t="s">
        <v>440</v>
      </c>
      <c r="T46" s="35" t="s">
        <v>441</v>
      </c>
      <c r="U46" s="35" t="s">
        <v>442</v>
      </c>
      <c r="V46" s="35" t="s">
        <v>378</v>
      </c>
      <c r="W46" s="35" t="s">
        <v>379</v>
      </c>
      <c r="X46" s="35" t="s">
        <v>443</v>
      </c>
      <c r="Y46" s="35" t="s">
        <v>380</v>
      </c>
      <c r="Z46" s="35" t="s">
        <v>381</v>
      </c>
      <c r="AA46" s="35" t="s">
        <v>382</v>
      </c>
      <c r="AB46" s="35" t="s">
        <v>383</v>
      </c>
      <c r="AC46" s="35" t="s">
        <v>388</v>
      </c>
      <c r="AD46" s="35" t="s">
        <v>389</v>
      </c>
    </row>
    <row r="47" customFormat="false" ht="15" hidden="false" customHeight="false" outlineLevel="0" collapsed="false">
      <c r="A47" s="7" t="n">
        <v>1</v>
      </c>
      <c r="B47" s="7" t="s">
        <v>390</v>
      </c>
      <c r="C47" s="17" t="n">
        <f aca="false">IF($A47&gt;=Annahmen!$C$91,Annahmen!$C$92,0)</f>
        <v>0</v>
      </c>
      <c r="D47" s="17" t="n">
        <f aca="false">C47*Annahmen!$C$93</f>
        <v>0</v>
      </c>
      <c r="E47" s="24" t="n">
        <f aca="false">(C47-D47)*Annahmen!$B$105</f>
        <v>0</v>
      </c>
      <c r="F47" s="17" t="n">
        <f aca="false">IF($A47&gt;Annahmen!$B$95,INDEX($C$47:$C$70,$A47-Annahmen!$B$95)*Annahmen!$C$94,0)</f>
        <v>0</v>
      </c>
      <c r="G47" s="24" t="n">
        <f aca="false">F47*(Annahmen!$C$96*(Annahmen!$B$106+Annahmen!$B$107)-Annahmen!$B$105*(1-Annahmen!$C$93))</f>
        <v>0</v>
      </c>
      <c r="H47" s="17" t="n">
        <f aca="false">IF($A47&gt;=Annahmen!$C$91,Annahmen!$C$97,0)</f>
        <v>0</v>
      </c>
      <c r="I47" s="24" t="n">
        <f aca="false">H47*(Annahmen!$B$106+Annahmen!$C$98*Annahmen!$B$107)</f>
        <v>0</v>
      </c>
      <c r="J47" s="17" t="n">
        <f aca="false">IF($A47&gt;=Annahmen!$C$91,Annahmen!$C$99,0)</f>
        <v>0</v>
      </c>
      <c r="K47" s="24" t="n">
        <f aca="false">J47*(Annahmen!$B$108+Annahmen!$B$100*Annahmen!$B$111)</f>
        <v>0</v>
      </c>
      <c r="L47" s="17" t="n">
        <f aca="false">IF($A47&gt;=Annahmen!$C$91,Annahmen!$C$101,0)</f>
        <v>0</v>
      </c>
      <c r="M47" s="24" t="n">
        <f aca="false">L47*Annahmen!$B$112</f>
        <v>0</v>
      </c>
      <c r="N47" s="15" t="n">
        <f aca="false">IF($A47&gt;=Annahmen!$C$91,Annahmen!$C$102,0)</f>
        <v>0</v>
      </c>
      <c r="O47" s="24" t="n">
        <f aca="false">N47*Annahmen!$B$113</f>
        <v>0</v>
      </c>
      <c r="P47" s="15" t="n">
        <f aca="false">IF($A47&gt;=Annahmen!$C$91,Annahmen!$C$103,0)</f>
        <v>0</v>
      </c>
      <c r="Q47" s="24" t="n">
        <f aca="false">P47*Annahmen!$B$114</f>
        <v>0</v>
      </c>
      <c r="R47" s="17" t="n">
        <f aca="false">IF($A47&gt;=Annahmen!$C$91,Annahmen!$C$104,0)</f>
        <v>0</v>
      </c>
      <c r="S47" s="24" t="n">
        <f aca="false">R47*Annahmen!$B$115</f>
        <v>0</v>
      </c>
      <c r="T47" s="24" t="n">
        <f aca="false">E47+G47+I47+K47+M47+O47+Q47+S47</f>
        <v>0</v>
      </c>
      <c r="U47" s="24" t="n">
        <f aca="false">C47*Annahmen!$B$52+F47*Annahmen!$C$96*Annahmen!$B$48+H47*(Annahmen!$B$46+Annahmen!$C$98*(Annahmen!$B$48-Annahmen!$B$46))+J47*Annahmen!$B$49+L47*Annahmen!$B$50+(N47+P47)*Annahmen!$B$51</f>
        <v>0</v>
      </c>
      <c r="V47" s="24" t="n">
        <f aca="false">SUMPRODUCT((((Annahmen!$C$161:$C$174="monatlich")*(Annahmen!$D$161:$D$174&lt;=$A47))+((Annahmen!$C$161:$C$174="einmalig")*(Annahmen!$D$161:$D$174=$A47)))*Annahmen!$B$161:$B$174*Annahmen!$F$161:$F$174)</f>
        <v>1856.16889953485</v>
      </c>
      <c r="W47" s="24" t="n">
        <f aca="false">Annahmen!$C$144</f>
        <v>150</v>
      </c>
      <c r="X47" s="17" t="n">
        <f aca="false">C47+F47*Annahmen!$C$96+H47+J47+L47/Annahmen!$B$47+(N47+P47)/(Annahmen!$B$24/Annahmen!$B$25)</f>
        <v>0</v>
      </c>
      <c r="Y47" s="36" t="n">
        <f aca="false">MAX(0,(X47-Annahmen!$B$149)/Annahmen!$B$150)</f>
        <v>0</v>
      </c>
      <c r="Z47" s="24" t="n">
        <f aca="false">Y47*Annahmen!$B$146</f>
        <v>0</v>
      </c>
      <c r="AA47" s="24" t="n">
        <f aca="false">T47-U47-V47-W47-Z47</f>
        <v>-2006.16889953485</v>
      </c>
      <c r="AB47" s="24" t="n">
        <f aca="false">AA47</f>
        <v>-2006.16889953485</v>
      </c>
      <c r="AC47" s="7" t="n">
        <f aca="false">IF(AA47&gt;0,1,0)</f>
        <v>0</v>
      </c>
      <c r="AD47" s="7" t="n">
        <f aca="false">IF(AB47&gt;=0,1,0)</f>
        <v>0</v>
      </c>
    </row>
    <row r="48" customFormat="false" ht="15" hidden="false" customHeight="false" outlineLevel="0" collapsed="false">
      <c r="A48" s="7" t="n">
        <v>2</v>
      </c>
      <c r="B48" s="7" t="s">
        <v>391</v>
      </c>
      <c r="C48" s="17" t="n">
        <f aca="false">IF($A48&gt;=Annahmen!$C$91,Annahmen!$C$92,0)</f>
        <v>0</v>
      </c>
      <c r="D48" s="17" t="n">
        <f aca="false">C48*Annahmen!$C$93</f>
        <v>0</v>
      </c>
      <c r="E48" s="24" t="n">
        <f aca="false">(C48-D48)*Annahmen!$B$105</f>
        <v>0</v>
      </c>
      <c r="F48" s="17" t="n">
        <f aca="false">IF($A48&gt;Annahmen!$B$95,INDEX($C$47:$C$70,$A48-Annahmen!$B$95)*Annahmen!$C$94,0)</f>
        <v>0</v>
      </c>
      <c r="G48" s="24" t="n">
        <f aca="false">F48*(Annahmen!$C$96*(Annahmen!$B$106+Annahmen!$B$107)-Annahmen!$B$105*(1-Annahmen!$C$93))</f>
        <v>0</v>
      </c>
      <c r="H48" s="17" t="n">
        <f aca="false">IF($A48&gt;=Annahmen!$C$91,Annahmen!$C$97,0)</f>
        <v>0</v>
      </c>
      <c r="I48" s="24" t="n">
        <f aca="false">H48*(Annahmen!$B$106+Annahmen!$C$98*Annahmen!$B$107)</f>
        <v>0</v>
      </c>
      <c r="J48" s="17" t="n">
        <f aca="false">IF($A48&gt;=Annahmen!$C$91,Annahmen!$C$99,0)</f>
        <v>0</v>
      </c>
      <c r="K48" s="24" t="n">
        <f aca="false">J48*(Annahmen!$B$108+Annahmen!$B$100*Annahmen!$B$111)</f>
        <v>0</v>
      </c>
      <c r="L48" s="17" t="n">
        <f aca="false">IF($A48&gt;=Annahmen!$C$91,Annahmen!$C$101,0)</f>
        <v>0</v>
      </c>
      <c r="M48" s="24" t="n">
        <f aca="false">L48*Annahmen!$B$112</f>
        <v>0</v>
      </c>
      <c r="N48" s="15" t="n">
        <f aca="false">IF($A48&gt;=Annahmen!$C$91,Annahmen!$C$102,0)</f>
        <v>0</v>
      </c>
      <c r="O48" s="24" t="n">
        <f aca="false">N48*Annahmen!$B$113</f>
        <v>0</v>
      </c>
      <c r="P48" s="15" t="n">
        <f aca="false">IF($A48&gt;=Annahmen!$C$91,Annahmen!$C$103,0)</f>
        <v>0</v>
      </c>
      <c r="Q48" s="24" t="n">
        <f aca="false">P48*Annahmen!$B$114</f>
        <v>0</v>
      </c>
      <c r="R48" s="17" t="n">
        <f aca="false">IF($A48&gt;=Annahmen!$C$91,Annahmen!$C$104,0)</f>
        <v>0</v>
      </c>
      <c r="S48" s="24" t="n">
        <f aca="false">R48*Annahmen!$B$115</f>
        <v>0</v>
      </c>
      <c r="T48" s="24" t="n">
        <f aca="false">E48+G48+I48+K48+M48+O48+Q48+S48</f>
        <v>0</v>
      </c>
      <c r="U48" s="24" t="n">
        <f aca="false">C48*Annahmen!$B$52+F48*Annahmen!$C$96*Annahmen!$B$48+H48*(Annahmen!$B$46+Annahmen!$C$98*(Annahmen!$B$48-Annahmen!$B$46))+J48*Annahmen!$B$49+L48*Annahmen!$B$50+(N48+P48)*Annahmen!$B$51</f>
        <v>0</v>
      </c>
      <c r="V48" s="24" t="n">
        <f aca="false">SUMPRODUCT((((Annahmen!$C$161:$C$174="monatlich")*(Annahmen!$D$161:$D$174&lt;=$A48))+((Annahmen!$C$161:$C$174="einmalig")*(Annahmen!$D$161:$D$174=$A48)))*Annahmen!$B$161:$B$174*Annahmen!$F$161:$F$174)</f>
        <v>50.8275708031806</v>
      </c>
      <c r="W48" s="24" t="n">
        <f aca="false">Annahmen!$C$144</f>
        <v>150</v>
      </c>
      <c r="X48" s="17" t="n">
        <f aca="false">C48+F48*Annahmen!$C$96+H48+J48+L48/Annahmen!$B$47+(N48+P48)/(Annahmen!$B$24/Annahmen!$B$25)</f>
        <v>0</v>
      </c>
      <c r="Y48" s="36" t="n">
        <f aca="false">MAX(0,(X48-Annahmen!$B$149)/Annahmen!$B$150)</f>
        <v>0</v>
      </c>
      <c r="Z48" s="24" t="n">
        <f aca="false">Y48*Annahmen!$B$146</f>
        <v>0</v>
      </c>
      <c r="AA48" s="24" t="n">
        <f aca="false">T48-U48-V48-W48-Z48</f>
        <v>-200.827570803181</v>
      </c>
      <c r="AB48" s="24" t="n">
        <f aca="false">AB47+AA48</f>
        <v>-2206.99647033803</v>
      </c>
      <c r="AC48" s="7" t="n">
        <f aca="false">IF(AA48&gt;0,1,0)</f>
        <v>0</v>
      </c>
      <c r="AD48" s="7" t="n">
        <f aca="false">IF(AB48&gt;=0,1,0)</f>
        <v>0</v>
      </c>
    </row>
    <row r="49" customFormat="false" ht="15" hidden="false" customHeight="false" outlineLevel="0" collapsed="false">
      <c r="A49" s="7" t="n">
        <v>3</v>
      </c>
      <c r="B49" s="7" t="s">
        <v>392</v>
      </c>
      <c r="C49" s="17" t="n">
        <f aca="false">IF($A49&gt;=Annahmen!$C$91,Annahmen!$C$92,0)</f>
        <v>0</v>
      </c>
      <c r="D49" s="17" t="n">
        <f aca="false">C49*Annahmen!$C$93</f>
        <v>0</v>
      </c>
      <c r="E49" s="24" t="n">
        <f aca="false">(C49-D49)*Annahmen!$B$105</f>
        <v>0</v>
      </c>
      <c r="F49" s="17" t="n">
        <f aca="false">IF($A49&gt;Annahmen!$B$95,INDEX($C$47:$C$70,$A49-Annahmen!$B$95)*Annahmen!$C$94,0)</f>
        <v>0</v>
      </c>
      <c r="G49" s="24" t="n">
        <f aca="false">F49*(Annahmen!$C$96*(Annahmen!$B$106+Annahmen!$B$107)-Annahmen!$B$105*(1-Annahmen!$C$93))</f>
        <v>0</v>
      </c>
      <c r="H49" s="17" t="n">
        <f aca="false">IF($A49&gt;=Annahmen!$C$91,Annahmen!$C$97,0)</f>
        <v>0</v>
      </c>
      <c r="I49" s="24" t="n">
        <f aca="false">H49*(Annahmen!$B$106+Annahmen!$C$98*Annahmen!$B$107)</f>
        <v>0</v>
      </c>
      <c r="J49" s="17" t="n">
        <f aca="false">IF($A49&gt;=Annahmen!$C$91,Annahmen!$C$99,0)</f>
        <v>0</v>
      </c>
      <c r="K49" s="24" t="n">
        <f aca="false">J49*(Annahmen!$B$108+Annahmen!$B$100*Annahmen!$B$111)</f>
        <v>0</v>
      </c>
      <c r="L49" s="17" t="n">
        <f aca="false">IF($A49&gt;=Annahmen!$C$91,Annahmen!$C$101,0)</f>
        <v>0</v>
      </c>
      <c r="M49" s="24" t="n">
        <f aca="false">L49*Annahmen!$B$112</f>
        <v>0</v>
      </c>
      <c r="N49" s="15" t="n">
        <f aca="false">IF($A49&gt;=Annahmen!$C$91,Annahmen!$C$102,0)</f>
        <v>0</v>
      </c>
      <c r="O49" s="24" t="n">
        <f aca="false">N49*Annahmen!$B$113</f>
        <v>0</v>
      </c>
      <c r="P49" s="15" t="n">
        <f aca="false">IF($A49&gt;=Annahmen!$C$91,Annahmen!$C$103,0)</f>
        <v>0</v>
      </c>
      <c r="Q49" s="24" t="n">
        <f aca="false">P49*Annahmen!$B$114</f>
        <v>0</v>
      </c>
      <c r="R49" s="17" t="n">
        <f aca="false">IF($A49&gt;=Annahmen!$C$91,Annahmen!$C$104,0)</f>
        <v>0</v>
      </c>
      <c r="S49" s="24" t="n">
        <f aca="false">R49*Annahmen!$B$115</f>
        <v>0</v>
      </c>
      <c r="T49" s="24" t="n">
        <f aca="false">E49+G49+I49+K49+M49+O49+Q49+S49</f>
        <v>0</v>
      </c>
      <c r="U49" s="24" t="n">
        <f aca="false">C49*Annahmen!$B$52+F49*Annahmen!$C$96*Annahmen!$B$48+H49*(Annahmen!$B$46+Annahmen!$C$98*(Annahmen!$B$48-Annahmen!$B$46))+J49*Annahmen!$B$49+L49*Annahmen!$B$50+(N49+P49)*Annahmen!$B$51</f>
        <v>0</v>
      </c>
      <c r="V49" s="24" t="n">
        <f aca="false">SUMPRODUCT((((Annahmen!$C$161:$C$174="monatlich")*(Annahmen!$D$161:$D$174&lt;=$A49))+((Annahmen!$C$161:$C$174="einmalig")*(Annahmen!$D$161:$D$174=$A49)))*Annahmen!$B$161:$B$174*Annahmen!$F$161:$F$174)</f>
        <v>330.827570803181</v>
      </c>
      <c r="W49" s="24" t="n">
        <f aca="false">Annahmen!$C$144</f>
        <v>150</v>
      </c>
      <c r="X49" s="17" t="n">
        <f aca="false">C49+F49*Annahmen!$C$96+H49+J49+L49/Annahmen!$B$47+(N49+P49)/(Annahmen!$B$24/Annahmen!$B$25)</f>
        <v>0</v>
      </c>
      <c r="Y49" s="36" t="n">
        <f aca="false">MAX(0,(X49-Annahmen!$B$149)/Annahmen!$B$150)</f>
        <v>0</v>
      </c>
      <c r="Z49" s="24" t="n">
        <f aca="false">Y49*Annahmen!$B$146</f>
        <v>0</v>
      </c>
      <c r="AA49" s="24" t="n">
        <f aca="false">T49-U49-V49-W49-Z49</f>
        <v>-480.827570803181</v>
      </c>
      <c r="AB49" s="24" t="n">
        <f aca="false">AB48+AA49</f>
        <v>-2687.82404114121</v>
      </c>
      <c r="AC49" s="7" t="n">
        <f aca="false">IF(AA49&gt;0,1,0)</f>
        <v>0</v>
      </c>
      <c r="AD49" s="7" t="n">
        <f aca="false">IF(AB49&gt;=0,1,0)</f>
        <v>0</v>
      </c>
    </row>
    <row r="50" customFormat="false" ht="15" hidden="false" customHeight="false" outlineLevel="0" collapsed="false">
      <c r="A50" s="7" t="n">
        <v>4</v>
      </c>
      <c r="B50" s="7" t="s">
        <v>393</v>
      </c>
      <c r="C50" s="17" t="n">
        <f aca="false">IF($A50&gt;=Annahmen!$C$91,Annahmen!$C$92,0)</f>
        <v>0.7</v>
      </c>
      <c r="D50" s="17" t="n">
        <f aca="false">C50*Annahmen!$C$93</f>
        <v>0.21</v>
      </c>
      <c r="E50" s="24" t="n">
        <f aca="false">(C50-D50)*Annahmen!$B$105</f>
        <v>240.1</v>
      </c>
      <c r="F50" s="17" t="n">
        <f aca="false">IF($A50&gt;Annahmen!$B$95,INDEX($C$47:$C$70,$A50-Annahmen!$B$95)*Annahmen!$C$94,0)</f>
        <v>0</v>
      </c>
      <c r="G50" s="24" t="n">
        <f aca="false">F50*(Annahmen!$C$96*(Annahmen!$B$106+Annahmen!$B$107)-Annahmen!$B$105*(1-Annahmen!$C$93))</f>
        <v>0</v>
      </c>
      <c r="H50" s="17" t="n">
        <f aca="false">IF($A50&gt;=Annahmen!$C$91,Annahmen!$C$97,0)</f>
        <v>1</v>
      </c>
      <c r="I50" s="24" t="n">
        <f aca="false">H50*(Annahmen!$B$106+Annahmen!$C$98*Annahmen!$B$107)</f>
        <v>344</v>
      </c>
      <c r="J50" s="17" t="n">
        <f aca="false">IF($A50&gt;=Annahmen!$C$91,Annahmen!$C$99,0)</f>
        <v>0.5</v>
      </c>
      <c r="K50" s="24" t="n">
        <f aca="false">J50*(Annahmen!$B$108+Annahmen!$B$100*Annahmen!$B$111)</f>
        <v>127.258064516129</v>
      </c>
      <c r="L50" s="17" t="n">
        <f aca="false">IF($A50&gt;=Annahmen!$C$91,Annahmen!$C$101,0)</f>
        <v>5</v>
      </c>
      <c r="M50" s="24" t="n">
        <f aca="false">L50*Annahmen!$B$112</f>
        <v>445</v>
      </c>
      <c r="N50" s="15" t="n">
        <f aca="false">IF($A50&gt;=Annahmen!$C$91,Annahmen!$C$102,0)</f>
        <v>50</v>
      </c>
      <c r="O50" s="24" t="n">
        <f aca="false">N50*Annahmen!$B$113</f>
        <v>300</v>
      </c>
      <c r="P50" s="15" t="n">
        <f aca="false">IF($A50&gt;=Annahmen!$C$91,Annahmen!$C$103,0)</f>
        <v>0</v>
      </c>
      <c r="Q50" s="24" t="n">
        <f aca="false">P50*Annahmen!$B$114</f>
        <v>0</v>
      </c>
      <c r="R50" s="17" t="n">
        <f aca="false">IF($A50&gt;=Annahmen!$C$91,Annahmen!$C$104,0)</f>
        <v>1</v>
      </c>
      <c r="S50" s="24" t="n">
        <f aca="false">R50*Annahmen!$B$115</f>
        <v>49</v>
      </c>
      <c r="T50" s="24" t="n">
        <f aca="false">E50+G50+I50+K50+M50+O50+Q50+S50</f>
        <v>1505.35806451613</v>
      </c>
      <c r="U50" s="24" t="n">
        <f aca="false">C50*Annahmen!$B$52+F50*Annahmen!$C$96*Annahmen!$B$48+H50*(Annahmen!$B$46+Annahmen!$C$98*(Annahmen!$B$48-Annahmen!$B$46))+J50*Annahmen!$B$49+L50*Annahmen!$B$50+(N50+P50)*Annahmen!$B$51</f>
        <v>25.4558448754047</v>
      </c>
      <c r="V50" s="24" t="n">
        <f aca="false">SUMPRODUCT((((Annahmen!$C$161:$C$174="monatlich")*(Annahmen!$D$161:$D$174&lt;=$A50))+((Annahmen!$C$161:$C$174="einmalig")*(Annahmen!$D$161:$D$174=$A50)))*Annahmen!$B$161:$B$174*Annahmen!$F$161:$F$174)</f>
        <v>50.8275708031806</v>
      </c>
      <c r="W50" s="24" t="n">
        <f aca="false">Annahmen!$C$144</f>
        <v>150</v>
      </c>
      <c r="X50" s="17" t="n">
        <f aca="false">C50+F50*Annahmen!$C$96+H50+J50+L50/Annahmen!$B$47+(N50+P50)/(Annahmen!$B$24/Annahmen!$B$25)</f>
        <v>2.9375</v>
      </c>
      <c r="Y50" s="36" t="n">
        <f aca="false">MAX(0,(X50-Annahmen!$B$149)/Annahmen!$B$150)</f>
        <v>0</v>
      </c>
      <c r="Z50" s="24" t="n">
        <f aca="false">Y50*Annahmen!$B$146</f>
        <v>0</v>
      </c>
      <c r="AA50" s="24" t="n">
        <f aca="false">T50-U50-V50-W50-Z50</f>
        <v>1279.07464883754</v>
      </c>
      <c r="AB50" s="24" t="n">
        <f aca="false">AB49+AA50</f>
        <v>-1408.74939230366</v>
      </c>
      <c r="AC50" s="7" t="n">
        <f aca="false">IF(AA50&gt;0,1,0)</f>
        <v>1</v>
      </c>
      <c r="AD50" s="7" t="n">
        <f aca="false">IF(AB50&gt;=0,1,0)</f>
        <v>0</v>
      </c>
    </row>
    <row r="51" customFormat="false" ht="15" hidden="false" customHeight="false" outlineLevel="0" collapsed="false">
      <c r="A51" s="7" t="n">
        <v>5</v>
      </c>
      <c r="B51" s="7" t="s">
        <v>394</v>
      </c>
      <c r="C51" s="17" t="n">
        <f aca="false">IF($A51&gt;=Annahmen!$C$91,Annahmen!$C$92,0)</f>
        <v>0.7</v>
      </c>
      <c r="D51" s="17" t="n">
        <f aca="false">C51*Annahmen!$C$93</f>
        <v>0.21</v>
      </c>
      <c r="E51" s="24" t="n">
        <f aca="false">(C51-D51)*Annahmen!$B$105</f>
        <v>240.1</v>
      </c>
      <c r="F51" s="17" t="n">
        <f aca="false">IF($A51&gt;Annahmen!$B$95,INDEX($C$47:$C$70,$A51-Annahmen!$B$95)*Annahmen!$C$94,0)</f>
        <v>0</v>
      </c>
      <c r="G51" s="24" t="n">
        <f aca="false">F51*(Annahmen!$C$96*(Annahmen!$B$106+Annahmen!$B$107)-Annahmen!$B$105*(1-Annahmen!$C$93))</f>
        <v>0</v>
      </c>
      <c r="H51" s="17" t="n">
        <f aca="false">IF($A51&gt;=Annahmen!$C$91,Annahmen!$C$97,0)</f>
        <v>1</v>
      </c>
      <c r="I51" s="24" t="n">
        <f aca="false">H51*(Annahmen!$B$106+Annahmen!$C$98*Annahmen!$B$107)</f>
        <v>344</v>
      </c>
      <c r="J51" s="17" t="n">
        <f aca="false">IF($A51&gt;=Annahmen!$C$91,Annahmen!$C$99,0)</f>
        <v>0.5</v>
      </c>
      <c r="K51" s="24" t="n">
        <f aca="false">J51*(Annahmen!$B$108+Annahmen!$B$100*Annahmen!$B$111)</f>
        <v>127.258064516129</v>
      </c>
      <c r="L51" s="17" t="n">
        <f aca="false">IF($A51&gt;=Annahmen!$C$91,Annahmen!$C$101,0)</f>
        <v>5</v>
      </c>
      <c r="M51" s="24" t="n">
        <f aca="false">L51*Annahmen!$B$112</f>
        <v>445</v>
      </c>
      <c r="N51" s="15" t="n">
        <f aca="false">IF($A51&gt;=Annahmen!$C$91,Annahmen!$C$102,0)</f>
        <v>50</v>
      </c>
      <c r="O51" s="24" t="n">
        <f aca="false">N51*Annahmen!$B$113</f>
        <v>300</v>
      </c>
      <c r="P51" s="15" t="n">
        <f aca="false">IF($A51&gt;=Annahmen!$C$91,Annahmen!$C$103,0)</f>
        <v>0</v>
      </c>
      <c r="Q51" s="24" t="n">
        <f aca="false">P51*Annahmen!$B$114</f>
        <v>0</v>
      </c>
      <c r="R51" s="17" t="n">
        <f aca="false">IF($A51&gt;=Annahmen!$C$91,Annahmen!$C$104,0)</f>
        <v>1</v>
      </c>
      <c r="S51" s="24" t="n">
        <f aca="false">R51*Annahmen!$B$115</f>
        <v>49</v>
      </c>
      <c r="T51" s="24" t="n">
        <f aca="false">E51+G51+I51+K51+M51+O51+Q51+S51</f>
        <v>1505.35806451613</v>
      </c>
      <c r="U51" s="24" t="n">
        <f aca="false">C51*Annahmen!$B$52+F51*Annahmen!$C$96*Annahmen!$B$48+H51*(Annahmen!$B$46+Annahmen!$C$98*(Annahmen!$B$48-Annahmen!$B$46))+J51*Annahmen!$B$49+L51*Annahmen!$B$50+(N51+P51)*Annahmen!$B$51</f>
        <v>25.4558448754047</v>
      </c>
      <c r="V51" s="24" t="n">
        <f aca="false">SUMPRODUCT((((Annahmen!$C$161:$C$174="monatlich")*(Annahmen!$D$161:$D$174&lt;=$A51))+((Annahmen!$C$161:$C$174="einmalig")*(Annahmen!$D$161:$D$174=$A51)))*Annahmen!$B$161:$B$174*Annahmen!$F$161:$F$174)</f>
        <v>610.827570803181</v>
      </c>
      <c r="W51" s="24" t="n">
        <f aca="false">Annahmen!$C$144</f>
        <v>150</v>
      </c>
      <c r="X51" s="17" t="n">
        <f aca="false">C51+F51*Annahmen!$C$96+H51+J51+L51/Annahmen!$B$47+(N51+P51)/(Annahmen!$B$24/Annahmen!$B$25)</f>
        <v>2.9375</v>
      </c>
      <c r="Y51" s="36" t="n">
        <f aca="false">MAX(0,(X51-Annahmen!$B$149)/Annahmen!$B$150)</f>
        <v>0</v>
      </c>
      <c r="Z51" s="24" t="n">
        <f aca="false">Y51*Annahmen!$B$146</f>
        <v>0</v>
      </c>
      <c r="AA51" s="24" t="n">
        <f aca="false">T51-U51-V51-W51-Z51</f>
        <v>719.074648837544</v>
      </c>
      <c r="AB51" s="24" t="n">
        <f aca="false">AB50+AA51</f>
        <v>-689.674743466119</v>
      </c>
      <c r="AC51" s="7" t="n">
        <f aca="false">IF(AA51&gt;0,1,0)</f>
        <v>1</v>
      </c>
      <c r="AD51" s="7" t="n">
        <f aca="false">IF(AB51&gt;=0,1,0)</f>
        <v>0</v>
      </c>
    </row>
    <row r="52" customFormat="false" ht="15" hidden="false" customHeight="false" outlineLevel="0" collapsed="false">
      <c r="A52" s="7" t="n">
        <v>6</v>
      </c>
      <c r="B52" s="7" t="s">
        <v>395</v>
      </c>
      <c r="C52" s="17" t="n">
        <f aca="false">IF($A52&gt;=Annahmen!$C$91,Annahmen!$C$92,0)</f>
        <v>0.7</v>
      </c>
      <c r="D52" s="17" t="n">
        <f aca="false">C52*Annahmen!$C$93</f>
        <v>0.21</v>
      </c>
      <c r="E52" s="24" t="n">
        <f aca="false">(C52-D52)*Annahmen!$B$105</f>
        <v>240.1</v>
      </c>
      <c r="F52" s="17" t="n">
        <f aca="false">IF($A52&gt;Annahmen!$B$95,INDEX($C$47:$C$70,$A52-Annahmen!$B$95)*Annahmen!$C$94,0)</f>
        <v>0</v>
      </c>
      <c r="G52" s="24" t="n">
        <f aca="false">F52*(Annahmen!$C$96*(Annahmen!$B$106+Annahmen!$B$107)-Annahmen!$B$105*(1-Annahmen!$C$93))</f>
        <v>0</v>
      </c>
      <c r="H52" s="17" t="n">
        <f aca="false">IF($A52&gt;=Annahmen!$C$91,Annahmen!$C$97,0)</f>
        <v>1</v>
      </c>
      <c r="I52" s="24" t="n">
        <f aca="false">H52*(Annahmen!$B$106+Annahmen!$C$98*Annahmen!$B$107)</f>
        <v>344</v>
      </c>
      <c r="J52" s="17" t="n">
        <f aca="false">IF($A52&gt;=Annahmen!$C$91,Annahmen!$C$99,0)</f>
        <v>0.5</v>
      </c>
      <c r="K52" s="24" t="n">
        <f aca="false">J52*(Annahmen!$B$108+Annahmen!$B$100*Annahmen!$B$111)</f>
        <v>127.258064516129</v>
      </c>
      <c r="L52" s="17" t="n">
        <f aca="false">IF($A52&gt;=Annahmen!$C$91,Annahmen!$C$101,0)</f>
        <v>5</v>
      </c>
      <c r="M52" s="24" t="n">
        <f aca="false">L52*Annahmen!$B$112</f>
        <v>445</v>
      </c>
      <c r="N52" s="15" t="n">
        <f aca="false">IF($A52&gt;=Annahmen!$C$91,Annahmen!$C$102,0)</f>
        <v>50</v>
      </c>
      <c r="O52" s="24" t="n">
        <f aca="false">N52*Annahmen!$B$113</f>
        <v>300</v>
      </c>
      <c r="P52" s="15" t="n">
        <f aca="false">IF($A52&gt;=Annahmen!$C$91,Annahmen!$C$103,0)</f>
        <v>0</v>
      </c>
      <c r="Q52" s="24" t="n">
        <f aca="false">P52*Annahmen!$B$114</f>
        <v>0</v>
      </c>
      <c r="R52" s="17" t="n">
        <f aca="false">IF($A52&gt;=Annahmen!$C$91,Annahmen!$C$104,0)</f>
        <v>1</v>
      </c>
      <c r="S52" s="24" t="n">
        <f aca="false">R52*Annahmen!$B$115</f>
        <v>49</v>
      </c>
      <c r="T52" s="24" t="n">
        <f aca="false">E52+G52+I52+K52+M52+O52+Q52+S52</f>
        <v>1505.35806451613</v>
      </c>
      <c r="U52" s="24" t="n">
        <f aca="false">C52*Annahmen!$B$52+F52*Annahmen!$C$96*Annahmen!$B$48+H52*(Annahmen!$B$46+Annahmen!$C$98*(Annahmen!$B$48-Annahmen!$B$46))+J52*Annahmen!$B$49+L52*Annahmen!$B$50+(N52+P52)*Annahmen!$B$51</f>
        <v>25.4558448754047</v>
      </c>
      <c r="V52" s="24" t="n">
        <f aca="false">SUMPRODUCT((((Annahmen!$C$161:$C$174="monatlich")*(Annahmen!$D$161:$D$174&lt;=$A52))+((Annahmen!$C$161:$C$174="einmalig")*(Annahmen!$D$161:$D$174=$A52)))*Annahmen!$B$161:$B$174*Annahmen!$F$161:$F$174)</f>
        <v>50.8275708031806</v>
      </c>
      <c r="W52" s="24" t="n">
        <f aca="false">Annahmen!$C$144</f>
        <v>150</v>
      </c>
      <c r="X52" s="17" t="n">
        <f aca="false">C52+F52*Annahmen!$C$96+H52+J52+L52/Annahmen!$B$47+(N52+P52)/(Annahmen!$B$24/Annahmen!$B$25)</f>
        <v>2.9375</v>
      </c>
      <c r="Y52" s="36" t="n">
        <f aca="false">MAX(0,(X52-Annahmen!$B$149)/Annahmen!$B$150)</f>
        <v>0</v>
      </c>
      <c r="Z52" s="24" t="n">
        <f aca="false">Y52*Annahmen!$B$146</f>
        <v>0</v>
      </c>
      <c r="AA52" s="24" t="n">
        <f aca="false">T52-U52-V52-W52-Z52</f>
        <v>1279.07464883754</v>
      </c>
      <c r="AB52" s="24" t="n">
        <f aca="false">AB51+AA52</f>
        <v>589.399905371425</v>
      </c>
      <c r="AC52" s="7" t="n">
        <f aca="false">IF(AA52&gt;0,1,0)</f>
        <v>1</v>
      </c>
      <c r="AD52" s="7" t="n">
        <f aca="false">IF(AB52&gt;=0,1,0)</f>
        <v>1</v>
      </c>
    </row>
    <row r="53" customFormat="false" ht="15" hidden="false" customHeight="false" outlineLevel="0" collapsed="false">
      <c r="A53" s="7" t="n">
        <v>7</v>
      </c>
      <c r="B53" s="7" t="s">
        <v>396</v>
      </c>
      <c r="C53" s="17" t="n">
        <f aca="false">IF($A53&gt;=Annahmen!$C$91,Annahmen!$C$92,0)</f>
        <v>0.7</v>
      </c>
      <c r="D53" s="17" t="n">
        <f aca="false">C53*Annahmen!$C$93</f>
        <v>0.21</v>
      </c>
      <c r="E53" s="24" t="n">
        <f aca="false">(C53-D53)*Annahmen!$B$105</f>
        <v>240.1</v>
      </c>
      <c r="F53" s="17" t="n">
        <f aca="false">IF($A53&gt;Annahmen!$B$95,INDEX($C$47:$C$70,$A53-Annahmen!$B$95)*Annahmen!$C$94,0)</f>
        <v>0.28</v>
      </c>
      <c r="G53" s="24" t="n">
        <f aca="false">F53*(Annahmen!$C$96*(Annahmen!$B$106+Annahmen!$B$107)-Annahmen!$B$105*(1-Annahmen!$C$93))</f>
        <v>658.56</v>
      </c>
      <c r="H53" s="17" t="n">
        <f aca="false">IF($A53&gt;=Annahmen!$C$91,Annahmen!$C$97,0)</f>
        <v>1</v>
      </c>
      <c r="I53" s="24" t="n">
        <f aca="false">H53*(Annahmen!$B$106+Annahmen!$C$98*Annahmen!$B$107)</f>
        <v>344</v>
      </c>
      <c r="J53" s="17" t="n">
        <f aca="false">IF($A53&gt;=Annahmen!$C$91,Annahmen!$C$99,0)</f>
        <v>0.5</v>
      </c>
      <c r="K53" s="24" t="n">
        <f aca="false">J53*(Annahmen!$B$108+Annahmen!$B$100*Annahmen!$B$111)</f>
        <v>127.258064516129</v>
      </c>
      <c r="L53" s="17" t="n">
        <f aca="false">IF($A53&gt;=Annahmen!$C$91,Annahmen!$C$101,0)</f>
        <v>5</v>
      </c>
      <c r="M53" s="24" t="n">
        <f aca="false">L53*Annahmen!$B$112</f>
        <v>445</v>
      </c>
      <c r="N53" s="15" t="n">
        <f aca="false">IF($A53&gt;=Annahmen!$C$91,Annahmen!$C$102,0)</f>
        <v>50</v>
      </c>
      <c r="O53" s="24" t="n">
        <f aca="false">N53*Annahmen!$B$113</f>
        <v>300</v>
      </c>
      <c r="P53" s="15" t="n">
        <f aca="false">IF($A53&gt;=Annahmen!$C$91,Annahmen!$C$103,0)</f>
        <v>0</v>
      </c>
      <c r="Q53" s="24" t="n">
        <f aca="false">P53*Annahmen!$B$114</f>
        <v>0</v>
      </c>
      <c r="R53" s="17" t="n">
        <f aca="false">IF($A53&gt;=Annahmen!$C$91,Annahmen!$C$104,0)</f>
        <v>1</v>
      </c>
      <c r="S53" s="24" t="n">
        <f aca="false">R53*Annahmen!$B$115</f>
        <v>49</v>
      </c>
      <c r="T53" s="24" t="n">
        <f aca="false">E53+G53+I53+K53+M53+O53+Q53+S53</f>
        <v>2163.91806451613</v>
      </c>
      <c r="U53" s="24" t="n">
        <f aca="false">C53*Annahmen!$B$52+F53*Annahmen!$C$96*Annahmen!$B$48+H53*(Annahmen!$B$46+Annahmen!$C$98*(Annahmen!$B$48-Annahmen!$B$46))+J53*Annahmen!$B$49+L53*Annahmen!$B$50+(N53+P53)*Annahmen!$B$51</f>
        <v>37.5962854553319</v>
      </c>
      <c r="V53" s="24" t="n">
        <f aca="false">SUMPRODUCT((((Annahmen!$C$161:$C$174="monatlich")*(Annahmen!$D$161:$D$174&lt;=$A53))+((Annahmen!$C$161:$C$174="einmalig")*(Annahmen!$D$161:$D$174=$A53)))*Annahmen!$B$161:$B$174*Annahmen!$F$161:$F$174)</f>
        <v>50.8275708031806</v>
      </c>
      <c r="W53" s="24" t="n">
        <f aca="false">Annahmen!$C$144</f>
        <v>150</v>
      </c>
      <c r="X53" s="17" t="n">
        <f aca="false">C53+F53*Annahmen!$C$96+H53+J53+L53/Annahmen!$B$47+(N53+P53)/(Annahmen!$B$24/Annahmen!$B$25)</f>
        <v>4.3375</v>
      </c>
      <c r="Y53" s="36" t="n">
        <f aca="false">MAX(0,(X53-Annahmen!$B$149)/Annahmen!$B$150)</f>
        <v>0</v>
      </c>
      <c r="Z53" s="24" t="n">
        <f aca="false">Y53*Annahmen!$B$146</f>
        <v>0</v>
      </c>
      <c r="AA53" s="24" t="n">
        <f aca="false">T53-U53-V53-W53-Z53</f>
        <v>1925.49420825762</v>
      </c>
      <c r="AB53" s="24" t="n">
        <f aca="false">AB52+AA53</f>
        <v>2514.89411362904</v>
      </c>
      <c r="AC53" s="7" t="n">
        <f aca="false">IF(AA53&gt;0,1,0)</f>
        <v>1</v>
      </c>
      <c r="AD53" s="7" t="n">
        <f aca="false">IF(AB53&gt;=0,1,0)</f>
        <v>1</v>
      </c>
    </row>
    <row r="54" customFormat="false" ht="15" hidden="false" customHeight="false" outlineLevel="0" collapsed="false">
      <c r="A54" s="7" t="n">
        <v>8</v>
      </c>
      <c r="B54" s="7" t="s">
        <v>397</v>
      </c>
      <c r="C54" s="17" t="n">
        <f aca="false">IF($A54&gt;=Annahmen!$C$91,Annahmen!$C$92,0)</f>
        <v>0.7</v>
      </c>
      <c r="D54" s="17" t="n">
        <f aca="false">C54*Annahmen!$C$93</f>
        <v>0.21</v>
      </c>
      <c r="E54" s="24" t="n">
        <f aca="false">(C54-D54)*Annahmen!$B$105</f>
        <v>240.1</v>
      </c>
      <c r="F54" s="17" t="n">
        <f aca="false">IF($A54&gt;Annahmen!$B$95,INDEX($C$47:$C$70,$A54-Annahmen!$B$95)*Annahmen!$C$94,0)</f>
        <v>0.28</v>
      </c>
      <c r="G54" s="24" t="n">
        <f aca="false">F54*(Annahmen!$C$96*(Annahmen!$B$106+Annahmen!$B$107)-Annahmen!$B$105*(1-Annahmen!$C$93))</f>
        <v>658.56</v>
      </c>
      <c r="H54" s="17" t="n">
        <f aca="false">IF($A54&gt;=Annahmen!$C$91,Annahmen!$C$97,0)</f>
        <v>1</v>
      </c>
      <c r="I54" s="24" t="n">
        <f aca="false">H54*(Annahmen!$B$106+Annahmen!$C$98*Annahmen!$B$107)</f>
        <v>344</v>
      </c>
      <c r="J54" s="17" t="n">
        <f aca="false">IF($A54&gt;=Annahmen!$C$91,Annahmen!$C$99,0)</f>
        <v>0.5</v>
      </c>
      <c r="K54" s="24" t="n">
        <f aca="false">J54*(Annahmen!$B$108+Annahmen!$B$100*Annahmen!$B$111)</f>
        <v>127.258064516129</v>
      </c>
      <c r="L54" s="17" t="n">
        <f aca="false">IF($A54&gt;=Annahmen!$C$91,Annahmen!$C$101,0)</f>
        <v>5</v>
      </c>
      <c r="M54" s="24" t="n">
        <f aca="false">L54*Annahmen!$B$112</f>
        <v>445</v>
      </c>
      <c r="N54" s="15" t="n">
        <f aca="false">IF($A54&gt;=Annahmen!$C$91,Annahmen!$C$102,0)</f>
        <v>50</v>
      </c>
      <c r="O54" s="24" t="n">
        <f aca="false">N54*Annahmen!$B$113</f>
        <v>300</v>
      </c>
      <c r="P54" s="15" t="n">
        <f aca="false">IF($A54&gt;=Annahmen!$C$91,Annahmen!$C$103,0)</f>
        <v>0</v>
      </c>
      <c r="Q54" s="24" t="n">
        <f aca="false">P54*Annahmen!$B$114</f>
        <v>0</v>
      </c>
      <c r="R54" s="17" t="n">
        <f aca="false">IF($A54&gt;=Annahmen!$C$91,Annahmen!$C$104,0)</f>
        <v>1</v>
      </c>
      <c r="S54" s="24" t="n">
        <f aca="false">R54*Annahmen!$B$115</f>
        <v>49</v>
      </c>
      <c r="T54" s="24" t="n">
        <f aca="false">E54+G54+I54+K54+M54+O54+Q54+S54</f>
        <v>2163.91806451613</v>
      </c>
      <c r="U54" s="24" t="n">
        <f aca="false">C54*Annahmen!$B$52+F54*Annahmen!$C$96*Annahmen!$B$48+H54*(Annahmen!$B$46+Annahmen!$C$98*(Annahmen!$B$48-Annahmen!$B$46))+J54*Annahmen!$B$49+L54*Annahmen!$B$50+(N54+P54)*Annahmen!$B$51</f>
        <v>37.5962854553319</v>
      </c>
      <c r="V54" s="24" t="n">
        <f aca="false">SUMPRODUCT((((Annahmen!$C$161:$C$174="monatlich")*(Annahmen!$D$161:$D$174&lt;=$A54))+((Annahmen!$C$161:$C$174="einmalig")*(Annahmen!$D$161:$D$174=$A54)))*Annahmen!$B$161:$B$174*Annahmen!$F$161:$F$174)</f>
        <v>50.8275708031806</v>
      </c>
      <c r="W54" s="24" t="n">
        <f aca="false">Annahmen!$C$144</f>
        <v>150</v>
      </c>
      <c r="X54" s="17" t="n">
        <f aca="false">C54+F54*Annahmen!$C$96+H54+J54+L54/Annahmen!$B$47+(N54+P54)/(Annahmen!$B$24/Annahmen!$B$25)</f>
        <v>4.3375</v>
      </c>
      <c r="Y54" s="36" t="n">
        <f aca="false">MAX(0,(X54-Annahmen!$B$149)/Annahmen!$B$150)</f>
        <v>0</v>
      </c>
      <c r="Z54" s="24" t="n">
        <f aca="false">Y54*Annahmen!$B$146</f>
        <v>0</v>
      </c>
      <c r="AA54" s="24" t="n">
        <f aca="false">T54-U54-V54-W54-Z54</f>
        <v>1925.49420825762</v>
      </c>
      <c r="AB54" s="24" t="n">
        <f aca="false">AB53+AA54</f>
        <v>4440.38832188666</v>
      </c>
      <c r="AC54" s="7" t="n">
        <f aca="false">IF(AA54&gt;0,1,0)</f>
        <v>1</v>
      </c>
      <c r="AD54" s="7" t="n">
        <f aca="false">IF(AB54&gt;=0,1,0)</f>
        <v>1</v>
      </c>
    </row>
    <row r="55" customFormat="false" ht="15" hidden="false" customHeight="false" outlineLevel="0" collapsed="false">
      <c r="A55" s="7" t="n">
        <v>9</v>
      </c>
      <c r="B55" s="7" t="s">
        <v>398</v>
      </c>
      <c r="C55" s="17" t="n">
        <f aca="false">IF($A55&gt;=Annahmen!$C$91,Annahmen!$C$92,0)</f>
        <v>0.7</v>
      </c>
      <c r="D55" s="17" t="n">
        <f aca="false">C55*Annahmen!$C$93</f>
        <v>0.21</v>
      </c>
      <c r="E55" s="24" t="n">
        <f aca="false">(C55-D55)*Annahmen!$B$105</f>
        <v>240.1</v>
      </c>
      <c r="F55" s="17" t="n">
        <f aca="false">IF($A55&gt;Annahmen!$B$95,INDEX($C$47:$C$70,$A55-Annahmen!$B$95)*Annahmen!$C$94,0)</f>
        <v>0.28</v>
      </c>
      <c r="G55" s="24" t="n">
        <f aca="false">F55*(Annahmen!$C$96*(Annahmen!$B$106+Annahmen!$B$107)-Annahmen!$B$105*(1-Annahmen!$C$93))</f>
        <v>658.56</v>
      </c>
      <c r="H55" s="17" t="n">
        <f aca="false">IF($A55&gt;=Annahmen!$C$91,Annahmen!$C$97,0)</f>
        <v>1</v>
      </c>
      <c r="I55" s="24" t="n">
        <f aca="false">H55*(Annahmen!$B$106+Annahmen!$C$98*Annahmen!$B$107)</f>
        <v>344</v>
      </c>
      <c r="J55" s="17" t="n">
        <f aca="false">IF($A55&gt;=Annahmen!$C$91,Annahmen!$C$99,0)</f>
        <v>0.5</v>
      </c>
      <c r="K55" s="24" t="n">
        <f aca="false">J55*(Annahmen!$B$108+Annahmen!$B$100*Annahmen!$B$111)</f>
        <v>127.258064516129</v>
      </c>
      <c r="L55" s="17" t="n">
        <f aca="false">IF($A55&gt;=Annahmen!$C$91,Annahmen!$C$101,0)</f>
        <v>5</v>
      </c>
      <c r="M55" s="24" t="n">
        <f aca="false">L55*Annahmen!$B$112</f>
        <v>445</v>
      </c>
      <c r="N55" s="15" t="n">
        <f aca="false">IF($A55&gt;=Annahmen!$C$91,Annahmen!$C$102,0)</f>
        <v>50</v>
      </c>
      <c r="O55" s="24" t="n">
        <f aca="false">N55*Annahmen!$B$113</f>
        <v>300</v>
      </c>
      <c r="P55" s="15" t="n">
        <f aca="false">IF($A55&gt;=Annahmen!$C$91,Annahmen!$C$103,0)</f>
        <v>0</v>
      </c>
      <c r="Q55" s="24" t="n">
        <f aca="false">P55*Annahmen!$B$114</f>
        <v>0</v>
      </c>
      <c r="R55" s="17" t="n">
        <f aca="false">IF($A55&gt;=Annahmen!$C$91,Annahmen!$C$104,0)</f>
        <v>1</v>
      </c>
      <c r="S55" s="24" t="n">
        <f aca="false">R55*Annahmen!$B$115</f>
        <v>49</v>
      </c>
      <c r="T55" s="24" t="n">
        <f aca="false">E55+G55+I55+K55+M55+O55+Q55+S55</f>
        <v>2163.91806451613</v>
      </c>
      <c r="U55" s="24" t="n">
        <f aca="false">C55*Annahmen!$B$52+F55*Annahmen!$C$96*Annahmen!$B$48+H55*(Annahmen!$B$46+Annahmen!$C$98*(Annahmen!$B$48-Annahmen!$B$46))+J55*Annahmen!$B$49+L55*Annahmen!$B$50+(N55+P55)*Annahmen!$B$51</f>
        <v>37.5962854553319</v>
      </c>
      <c r="V55" s="24" t="n">
        <f aca="false">SUMPRODUCT((((Annahmen!$C$161:$C$174="monatlich")*(Annahmen!$D$161:$D$174&lt;=$A55))+((Annahmen!$C$161:$C$174="einmalig")*(Annahmen!$D$161:$D$174=$A55)))*Annahmen!$B$161:$B$174*Annahmen!$F$161:$F$174)</f>
        <v>50.8275708031806</v>
      </c>
      <c r="W55" s="24" t="n">
        <f aca="false">Annahmen!$C$144</f>
        <v>150</v>
      </c>
      <c r="X55" s="17" t="n">
        <f aca="false">C55+F55*Annahmen!$C$96+H55+J55+L55/Annahmen!$B$47+(N55+P55)/(Annahmen!$B$24/Annahmen!$B$25)</f>
        <v>4.3375</v>
      </c>
      <c r="Y55" s="36" t="n">
        <f aca="false">MAX(0,(X55-Annahmen!$B$149)/Annahmen!$B$150)</f>
        <v>0</v>
      </c>
      <c r="Z55" s="24" t="n">
        <f aca="false">Y55*Annahmen!$B$146</f>
        <v>0</v>
      </c>
      <c r="AA55" s="24" t="n">
        <f aca="false">T55-U55-V55-W55-Z55</f>
        <v>1925.49420825762</v>
      </c>
      <c r="AB55" s="24" t="n">
        <f aca="false">AB54+AA55</f>
        <v>6365.88253014427</v>
      </c>
      <c r="AC55" s="7" t="n">
        <f aca="false">IF(AA55&gt;0,1,0)</f>
        <v>1</v>
      </c>
      <c r="AD55" s="7" t="n">
        <f aca="false">IF(AB55&gt;=0,1,0)</f>
        <v>1</v>
      </c>
    </row>
    <row r="56" customFormat="false" ht="15" hidden="false" customHeight="false" outlineLevel="0" collapsed="false">
      <c r="A56" s="7" t="n">
        <v>10</v>
      </c>
      <c r="B56" s="7" t="s">
        <v>399</v>
      </c>
      <c r="C56" s="17" t="n">
        <f aca="false">IF($A56&gt;=Annahmen!$C$91,Annahmen!$C$92,0)</f>
        <v>0.7</v>
      </c>
      <c r="D56" s="17" t="n">
        <f aca="false">C56*Annahmen!$C$93</f>
        <v>0.21</v>
      </c>
      <c r="E56" s="24" t="n">
        <f aca="false">(C56-D56)*Annahmen!$B$105</f>
        <v>240.1</v>
      </c>
      <c r="F56" s="17" t="n">
        <f aca="false">IF($A56&gt;Annahmen!$B$95,INDEX($C$47:$C$70,$A56-Annahmen!$B$95)*Annahmen!$C$94,0)</f>
        <v>0.28</v>
      </c>
      <c r="G56" s="24" t="n">
        <f aca="false">F56*(Annahmen!$C$96*(Annahmen!$B$106+Annahmen!$B$107)-Annahmen!$B$105*(1-Annahmen!$C$93))</f>
        <v>658.56</v>
      </c>
      <c r="H56" s="17" t="n">
        <f aca="false">IF($A56&gt;=Annahmen!$C$91,Annahmen!$C$97,0)</f>
        <v>1</v>
      </c>
      <c r="I56" s="24" t="n">
        <f aca="false">H56*(Annahmen!$B$106+Annahmen!$C$98*Annahmen!$B$107)</f>
        <v>344</v>
      </c>
      <c r="J56" s="17" t="n">
        <f aca="false">IF($A56&gt;=Annahmen!$C$91,Annahmen!$C$99,0)</f>
        <v>0.5</v>
      </c>
      <c r="K56" s="24" t="n">
        <f aca="false">J56*(Annahmen!$B$108+Annahmen!$B$100*Annahmen!$B$111)</f>
        <v>127.258064516129</v>
      </c>
      <c r="L56" s="17" t="n">
        <f aca="false">IF($A56&gt;=Annahmen!$C$91,Annahmen!$C$101,0)</f>
        <v>5</v>
      </c>
      <c r="M56" s="24" t="n">
        <f aca="false">L56*Annahmen!$B$112</f>
        <v>445</v>
      </c>
      <c r="N56" s="15" t="n">
        <f aca="false">IF($A56&gt;=Annahmen!$C$91,Annahmen!$C$102,0)</f>
        <v>50</v>
      </c>
      <c r="O56" s="24" t="n">
        <f aca="false">N56*Annahmen!$B$113</f>
        <v>300</v>
      </c>
      <c r="P56" s="15" t="n">
        <f aca="false">IF($A56&gt;=Annahmen!$C$91,Annahmen!$C$103,0)</f>
        <v>0</v>
      </c>
      <c r="Q56" s="24" t="n">
        <f aca="false">P56*Annahmen!$B$114</f>
        <v>0</v>
      </c>
      <c r="R56" s="17" t="n">
        <f aca="false">IF($A56&gt;=Annahmen!$C$91,Annahmen!$C$104,0)</f>
        <v>1</v>
      </c>
      <c r="S56" s="24" t="n">
        <f aca="false">R56*Annahmen!$B$115</f>
        <v>49</v>
      </c>
      <c r="T56" s="24" t="n">
        <f aca="false">E56+G56+I56+K56+M56+O56+Q56+S56</f>
        <v>2163.91806451613</v>
      </c>
      <c r="U56" s="24" t="n">
        <f aca="false">C56*Annahmen!$B$52+F56*Annahmen!$C$96*Annahmen!$B$48+H56*(Annahmen!$B$46+Annahmen!$C$98*(Annahmen!$B$48-Annahmen!$B$46))+J56*Annahmen!$B$49+L56*Annahmen!$B$50+(N56+P56)*Annahmen!$B$51</f>
        <v>37.5962854553319</v>
      </c>
      <c r="V56" s="24" t="n">
        <f aca="false">SUMPRODUCT((((Annahmen!$C$161:$C$174="monatlich")*(Annahmen!$D$161:$D$174&lt;=$A56))+((Annahmen!$C$161:$C$174="einmalig")*(Annahmen!$D$161:$D$174=$A56)))*Annahmen!$B$161:$B$174*Annahmen!$F$161:$F$174)</f>
        <v>50.8275708031806</v>
      </c>
      <c r="W56" s="24" t="n">
        <f aca="false">Annahmen!$C$144</f>
        <v>150</v>
      </c>
      <c r="X56" s="17" t="n">
        <f aca="false">C56+F56*Annahmen!$C$96+H56+J56+L56/Annahmen!$B$47+(N56+P56)/(Annahmen!$B$24/Annahmen!$B$25)</f>
        <v>4.3375</v>
      </c>
      <c r="Y56" s="36" t="n">
        <f aca="false">MAX(0,(X56-Annahmen!$B$149)/Annahmen!$B$150)</f>
        <v>0</v>
      </c>
      <c r="Z56" s="24" t="n">
        <f aca="false">Y56*Annahmen!$B$146</f>
        <v>0</v>
      </c>
      <c r="AA56" s="24" t="n">
        <f aca="false">T56-U56-V56-W56-Z56</f>
        <v>1925.49420825762</v>
      </c>
      <c r="AB56" s="24" t="n">
        <f aca="false">AB55+AA56</f>
        <v>8291.37673840189</v>
      </c>
      <c r="AC56" s="7" t="n">
        <f aca="false">IF(AA56&gt;0,1,0)</f>
        <v>1</v>
      </c>
      <c r="AD56" s="7" t="n">
        <f aca="false">IF(AB56&gt;=0,1,0)</f>
        <v>1</v>
      </c>
    </row>
    <row r="57" customFormat="false" ht="15" hidden="false" customHeight="false" outlineLevel="0" collapsed="false">
      <c r="A57" s="7" t="n">
        <v>11</v>
      </c>
      <c r="B57" s="7" t="s">
        <v>400</v>
      </c>
      <c r="C57" s="17" t="n">
        <f aca="false">IF($A57&gt;=Annahmen!$C$91,Annahmen!$C$92,0)</f>
        <v>0.7</v>
      </c>
      <c r="D57" s="17" t="n">
        <f aca="false">C57*Annahmen!$C$93</f>
        <v>0.21</v>
      </c>
      <c r="E57" s="24" t="n">
        <f aca="false">(C57-D57)*Annahmen!$B$105</f>
        <v>240.1</v>
      </c>
      <c r="F57" s="17" t="n">
        <f aca="false">IF($A57&gt;Annahmen!$B$95,INDEX($C$47:$C$70,$A57-Annahmen!$B$95)*Annahmen!$C$94,0)</f>
        <v>0.28</v>
      </c>
      <c r="G57" s="24" t="n">
        <f aca="false">F57*(Annahmen!$C$96*(Annahmen!$B$106+Annahmen!$B$107)-Annahmen!$B$105*(1-Annahmen!$C$93))</f>
        <v>658.56</v>
      </c>
      <c r="H57" s="17" t="n">
        <f aca="false">IF($A57&gt;=Annahmen!$C$91,Annahmen!$C$97,0)</f>
        <v>1</v>
      </c>
      <c r="I57" s="24" t="n">
        <f aca="false">H57*(Annahmen!$B$106+Annahmen!$C$98*Annahmen!$B$107)</f>
        <v>344</v>
      </c>
      <c r="J57" s="17" t="n">
        <f aca="false">IF($A57&gt;=Annahmen!$C$91,Annahmen!$C$99,0)</f>
        <v>0.5</v>
      </c>
      <c r="K57" s="24" t="n">
        <f aca="false">J57*(Annahmen!$B$108+Annahmen!$B$100*Annahmen!$B$111)</f>
        <v>127.258064516129</v>
      </c>
      <c r="L57" s="17" t="n">
        <f aca="false">IF($A57&gt;=Annahmen!$C$91,Annahmen!$C$101,0)</f>
        <v>5</v>
      </c>
      <c r="M57" s="24" t="n">
        <f aca="false">L57*Annahmen!$B$112</f>
        <v>445</v>
      </c>
      <c r="N57" s="15" t="n">
        <f aca="false">IF($A57&gt;=Annahmen!$C$91,Annahmen!$C$102,0)</f>
        <v>50</v>
      </c>
      <c r="O57" s="24" t="n">
        <f aca="false">N57*Annahmen!$B$113</f>
        <v>300</v>
      </c>
      <c r="P57" s="15" t="n">
        <f aca="false">IF($A57&gt;=Annahmen!$C$91,Annahmen!$C$103,0)</f>
        <v>0</v>
      </c>
      <c r="Q57" s="24" t="n">
        <f aca="false">P57*Annahmen!$B$114</f>
        <v>0</v>
      </c>
      <c r="R57" s="17" t="n">
        <f aca="false">IF($A57&gt;=Annahmen!$C$91,Annahmen!$C$104,0)</f>
        <v>1</v>
      </c>
      <c r="S57" s="24" t="n">
        <f aca="false">R57*Annahmen!$B$115</f>
        <v>49</v>
      </c>
      <c r="T57" s="24" t="n">
        <f aca="false">E57+G57+I57+K57+M57+O57+Q57+S57</f>
        <v>2163.91806451613</v>
      </c>
      <c r="U57" s="24" t="n">
        <f aca="false">C57*Annahmen!$B$52+F57*Annahmen!$C$96*Annahmen!$B$48+H57*(Annahmen!$B$46+Annahmen!$C$98*(Annahmen!$B$48-Annahmen!$B$46))+J57*Annahmen!$B$49+L57*Annahmen!$B$50+(N57+P57)*Annahmen!$B$51</f>
        <v>37.5962854553319</v>
      </c>
      <c r="V57" s="24" t="n">
        <f aca="false">SUMPRODUCT((((Annahmen!$C$161:$C$174="monatlich")*(Annahmen!$D$161:$D$174&lt;=$A57))+((Annahmen!$C$161:$C$174="einmalig")*(Annahmen!$D$161:$D$174=$A57)))*Annahmen!$B$161:$B$174*Annahmen!$F$161:$F$174)</f>
        <v>50.8275708031806</v>
      </c>
      <c r="W57" s="24" t="n">
        <f aca="false">Annahmen!$C$144</f>
        <v>150</v>
      </c>
      <c r="X57" s="17" t="n">
        <f aca="false">C57+F57*Annahmen!$C$96+H57+J57+L57/Annahmen!$B$47+(N57+P57)/(Annahmen!$B$24/Annahmen!$B$25)</f>
        <v>4.3375</v>
      </c>
      <c r="Y57" s="36" t="n">
        <f aca="false">MAX(0,(X57-Annahmen!$B$149)/Annahmen!$B$150)</f>
        <v>0</v>
      </c>
      <c r="Z57" s="24" t="n">
        <f aca="false">Y57*Annahmen!$B$146</f>
        <v>0</v>
      </c>
      <c r="AA57" s="24" t="n">
        <f aca="false">T57-U57-V57-W57-Z57</f>
        <v>1925.49420825762</v>
      </c>
      <c r="AB57" s="24" t="n">
        <f aca="false">AB56+AA57</f>
        <v>10216.8709466595</v>
      </c>
      <c r="AC57" s="7" t="n">
        <f aca="false">IF(AA57&gt;0,1,0)</f>
        <v>1</v>
      </c>
      <c r="AD57" s="7" t="n">
        <f aca="false">IF(AB57&gt;=0,1,0)</f>
        <v>1</v>
      </c>
    </row>
    <row r="58" customFormat="false" ht="15" hidden="false" customHeight="false" outlineLevel="0" collapsed="false">
      <c r="A58" s="7" t="n">
        <v>12</v>
      </c>
      <c r="B58" s="7" t="s">
        <v>401</v>
      </c>
      <c r="C58" s="17" t="n">
        <f aca="false">IF($A58&gt;=Annahmen!$C$91,Annahmen!$C$92,0)</f>
        <v>0.7</v>
      </c>
      <c r="D58" s="17" t="n">
        <f aca="false">C58*Annahmen!$C$93</f>
        <v>0.21</v>
      </c>
      <c r="E58" s="24" t="n">
        <f aca="false">(C58-D58)*Annahmen!$B$105</f>
        <v>240.1</v>
      </c>
      <c r="F58" s="17" t="n">
        <f aca="false">IF($A58&gt;Annahmen!$B$95,INDEX($C$47:$C$70,$A58-Annahmen!$B$95)*Annahmen!$C$94,0)</f>
        <v>0.28</v>
      </c>
      <c r="G58" s="24" t="n">
        <f aca="false">F58*(Annahmen!$C$96*(Annahmen!$B$106+Annahmen!$B$107)-Annahmen!$B$105*(1-Annahmen!$C$93))</f>
        <v>658.56</v>
      </c>
      <c r="H58" s="17" t="n">
        <f aca="false">IF($A58&gt;=Annahmen!$C$91,Annahmen!$C$97,0)</f>
        <v>1</v>
      </c>
      <c r="I58" s="24" t="n">
        <f aca="false">H58*(Annahmen!$B$106+Annahmen!$C$98*Annahmen!$B$107)</f>
        <v>344</v>
      </c>
      <c r="J58" s="17" t="n">
        <f aca="false">IF($A58&gt;=Annahmen!$C$91,Annahmen!$C$99,0)</f>
        <v>0.5</v>
      </c>
      <c r="K58" s="24" t="n">
        <f aca="false">J58*(Annahmen!$B$108+Annahmen!$B$100*Annahmen!$B$111)</f>
        <v>127.258064516129</v>
      </c>
      <c r="L58" s="17" t="n">
        <f aca="false">IF($A58&gt;=Annahmen!$C$91,Annahmen!$C$101,0)</f>
        <v>5</v>
      </c>
      <c r="M58" s="24" t="n">
        <f aca="false">L58*Annahmen!$B$112</f>
        <v>445</v>
      </c>
      <c r="N58" s="15" t="n">
        <f aca="false">IF($A58&gt;=Annahmen!$C$91,Annahmen!$C$102,0)</f>
        <v>50</v>
      </c>
      <c r="O58" s="24" t="n">
        <f aca="false">N58*Annahmen!$B$113</f>
        <v>300</v>
      </c>
      <c r="P58" s="15" t="n">
        <f aca="false">IF($A58&gt;=Annahmen!$C$91,Annahmen!$C$103,0)</f>
        <v>0</v>
      </c>
      <c r="Q58" s="24" t="n">
        <f aca="false">P58*Annahmen!$B$114</f>
        <v>0</v>
      </c>
      <c r="R58" s="17" t="n">
        <f aca="false">IF($A58&gt;=Annahmen!$C$91,Annahmen!$C$104,0)</f>
        <v>1</v>
      </c>
      <c r="S58" s="24" t="n">
        <f aca="false">R58*Annahmen!$B$115</f>
        <v>49</v>
      </c>
      <c r="T58" s="24" t="n">
        <f aca="false">E58+G58+I58+K58+M58+O58+Q58+S58</f>
        <v>2163.91806451613</v>
      </c>
      <c r="U58" s="24" t="n">
        <f aca="false">C58*Annahmen!$B$52+F58*Annahmen!$C$96*Annahmen!$B$48+H58*(Annahmen!$B$46+Annahmen!$C$98*(Annahmen!$B$48-Annahmen!$B$46))+J58*Annahmen!$B$49+L58*Annahmen!$B$50+(N58+P58)*Annahmen!$B$51</f>
        <v>37.5962854553319</v>
      </c>
      <c r="V58" s="24" t="n">
        <f aca="false">SUMPRODUCT((((Annahmen!$C$161:$C$174="monatlich")*(Annahmen!$D$161:$D$174&lt;=$A58))+((Annahmen!$C$161:$C$174="einmalig")*(Annahmen!$D$161:$D$174=$A58)))*Annahmen!$B$161:$B$174*Annahmen!$F$161:$F$174)</f>
        <v>50.8275708031806</v>
      </c>
      <c r="W58" s="24" t="n">
        <f aca="false">Annahmen!$C$144</f>
        <v>150</v>
      </c>
      <c r="X58" s="17" t="n">
        <f aca="false">C58+F58*Annahmen!$C$96+H58+J58+L58/Annahmen!$B$47+(N58+P58)/(Annahmen!$B$24/Annahmen!$B$25)</f>
        <v>4.3375</v>
      </c>
      <c r="Y58" s="36" t="n">
        <f aca="false">MAX(0,(X58-Annahmen!$B$149)/Annahmen!$B$150)</f>
        <v>0</v>
      </c>
      <c r="Z58" s="24" t="n">
        <f aca="false">Y58*Annahmen!$B$146</f>
        <v>0</v>
      </c>
      <c r="AA58" s="24" t="n">
        <f aca="false">T58-U58-V58-W58-Z58</f>
        <v>1925.49420825762</v>
      </c>
      <c r="AB58" s="24" t="n">
        <f aca="false">AB57+AA58</f>
        <v>12142.3651549171</v>
      </c>
      <c r="AC58" s="7" t="n">
        <f aca="false">IF(AA58&gt;0,1,0)</f>
        <v>1</v>
      </c>
      <c r="AD58" s="7" t="n">
        <f aca="false">IF(AB58&gt;=0,1,0)</f>
        <v>1</v>
      </c>
    </row>
    <row r="59" customFormat="false" ht="15" hidden="false" customHeight="false" outlineLevel="0" collapsed="false">
      <c r="A59" s="7" t="n">
        <v>13</v>
      </c>
      <c r="B59" s="7" t="s">
        <v>402</v>
      </c>
      <c r="C59" s="17" t="n">
        <f aca="false">IF($A59&gt;=Annahmen!$C$91,Annahmen!$C$92,0)</f>
        <v>0.7</v>
      </c>
      <c r="D59" s="17" t="n">
        <f aca="false">C59*Annahmen!$C$93</f>
        <v>0.21</v>
      </c>
      <c r="E59" s="24" t="n">
        <f aca="false">(C59-D59)*Annahmen!$B$105</f>
        <v>240.1</v>
      </c>
      <c r="F59" s="17" t="n">
        <f aca="false">IF($A59&gt;Annahmen!$B$95,INDEX($C$47:$C$70,$A59-Annahmen!$B$95)*Annahmen!$C$94,0)</f>
        <v>0.28</v>
      </c>
      <c r="G59" s="24" t="n">
        <f aca="false">F59*(Annahmen!$C$96*(Annahmen!$B$106+Annahmen!$B$107)-Annahmen!$B$105*(1-Annahmen!$C$93))</f>
        <v>658.56</v>
      </c>
      <c r="H59" s="17" t="n">
        <f aca="false">IF($A59&gt;=Annahmen!$C$91,Annahmen!$C$97,0)</f>
        <v>1</v>
      </c>
      <c r="I59" s="24" t="n">
        <f aca="false">H59*(Annahmen!$B$106+Annahmen!$C$98*Annahmen!$B$107)</f>
        <v>344</v>
      </c>
      <c r="J59" s="17" t="n">
        <f aca="false">IF($A59&gt;=Annahmen!$C$91,Annahmen!$C$99,0)</f>
        <v>0.5</v>
      </c>
      <c r="K59" s="24" t="n">
        <f aca="false">J59*(Annahmen!$B$108+Annahmen!$B$100*Annahmen!$B$111)</f>
        <v>127.258064516129</v>
      </c>
      <c r="L59" s="17" t="n">
        <f aca="false">IF($A59&gt;=Annahmen!$C$91,Annahmen!$C$101,0)</f>
        <v>5</v>
      </c>
      <c r="M59" s="24" t="n">
        <f aca="false">L59*Annahmen!$B$112</f>
        <v>445</v>
      </c>
      <c r="N59" s="15" t="n">
        <f aca="false">IF($A59&gt;=Annahmen!$C$91,Annahmen!$C$102,0)</f>
        <v>50</v>
      </c>
      <c r="O59" s="24" t="n">
        <f aca="false">N59*Annahmen!$B$113</f>
        <v>300</v>
      </c>
      <c r="P59" s="15" t="n">
        <f aca="false">IF($A59&gt;=Annahmen!$C$91,Annahmen!$C$103,0)</f>
        <v>0</v>
      </c>
      <c r="Q59" s="24" t="n">
        <f aca="false">P59*Annahmen!$B$114</f>
        <v>0</v>
      </c>
      <c r="R59" s="17" t="n">
        <f aca="false">IF($A59&gt;=Annahmen!$C$91,Annahmen!$C$104,0)</f>
        <v>1</v>
      </c>
      <c r="S59" s="24" t="n">
        <f aca="false">R59*Annahmen!$B$115</f>
        <v>49</v>
      </c>
      <c r="T59" s="24" t="n">
        <f aca="false">E59+G59+I59+K59+M59+O59+Q59+S59</f>
        <v>2163.91806451613</v>
      </c>
      <c r="U59" s="24" t="n">
        <f aca="false">C59*Annahmen!$B$52+F59*Annahmen!$C$96*Annahmen!$B$48+H59*(Annahmen!$B$46+Annahmen!$C$98*(Annahmen!$B$48-Annahmen!$B$46))+J59*Annahmen!$B$49+L59*Annahmen!$B$50+(N59+P59)*Annahmen!$B$51</f>
        <v>37.5962854553319</v>
      </c>
      <c r="V59" s="24" t="n">
        <f aca="false">SUMPRODUCT((((Annahmen!$C$161:$C$174="monatlich")*(Annahmen!$D$161:$D$174&lt;=$A59))+((Annahmen!$C$161:$C$174="einmalig")*(Annahmen!$D$161:$D$174=$A59)))*Annahmen!$B$161:$B$174*Annahmen!$F$161:$F$174)</f>
        <v>50.8275708031806</v>
      </c>
      <c r="W59" s="24" t="n">
        <f aca="false">Annahmen!$C$144</f>
        <v>150</v>
      </c>
      <c r="X59" s="17" t="n">
        <f aca="false">C59+F59*Annahmen!$C$96+H59+J59+L59/Annahmen!$B$47+(N59+P59)/(Annahmen!$B$24/Annahmen!$B$25)</f>
        <v>4.3375</v>
      </c>
      <c r="Y59" s="36" t="n">
        <f aca="false">MAX(0,(X59-Annahmen!$B$149)/Annahmen!$B$150)</f>
        <v>0</v>
      </c>
      <c r="Z59" s="24" t="n">
        <f aca="false">Y59*Annahmen!$B$146</f>
        <v>0</v>
      </c>
      <c r="AA59" s="24" t="n">
        <f aca="false">T59-U59-V59-W59-Z59</f>
        <v>1925.49420825762</v>
      </c>
      <c r="AB59" s="24" t="n">
        <f aca="false">AB58+AA59</f>
        <v>14067.8593631747</v>
      </c>
      <c r="AC59" s="7" t="n">
        <f aca="false">IF(AA59&gt;0,1,0)</f>
        <v>1</v>
      </c>
      <c r="AD59" s="7" t="n">
        <f aca="false">IF(AB59&gt;=0,1,0)</f>
        <v>1</v>
      </c>
    </row>
    <row r="60" customFormat="false" ht="15" hidden="false" customHeight="false" outlineLevel="0" collapsed="false">
      <c r="A60" s="7" t="n">
        <v>14</v>
      </c>
      <c r="B60" s="7" t="s">
        <v>403</v>
      </c>
      <c r="C60" s="17" t="n">
        <f aca="false">IF($A60&gt;=Annahmen!$C$91,Annahmen!$C$92,0)</f>
        <v>0.7</v>
      </c>
      <c r="D60" s="17" t="n">
        <f aca="false">C60*Annahmen!$C$93</f>
        <v>0.21</v>
      </c>
      <c r="E60" s="24" t="n">
        <f aca="false">(C60-D60)*Annahmen!$B$105</f>
        <v>240.1</v>
      </c>
      <c r="F60" s="17" t="n">
        <f aca="false">IF($A60&gt;Annahmen!$B$95,INDEX($C$47:$C$70,$A60-Annahmen!$B$95)*Annahmen!$C$94,0)</f>
        <v>0.28</v>
      </c>
      <c r="G60" s="24" t="n">
        <f aca="false">F60*(Annahmen!$C$96*(Annahmen!$B$106+Annahmen!$B$107)-Annahmen!$B$105*(1-Annahmen!$C$93))</f>
        <v>658.56</v>
      </c>
      <c r="H60" s="17" t="n">
        <f aca="false">IF($A60&gt;=Annahmen!$C$91,Annahmen!$C$97,0)</f>
        <v>1</v>
      </c>
      <c r="I60" s="24" t="n">
        <f aca="false">H60*(Annahmen!$B$106+Annahmen!$C$98*Annahmen!$B$107)</f>
        <v>344</v>
      </c>
      <c r="J60" s="17" t="n">
        <f aca="false">IF($A60&gt;=Annahmen!$C$91,Annahmen!$C$99,0)</f>
        <v>0.5</v>
      </c>
      <c r="K60" s="24" t="n">
        <f aca="false">J60*(Annahmen!$B$108+Annahmen!$B$100*Annahmen!$B$111)</f>
        <v>127.258064516129</v>
      </c>
      <c r="L60" s="17" t="n">
        <f aca="false">IF($A60&gt;=Annahmen!$C$91,Annahmen!$C$101,0)</f>
        <v>5</v>
      </c>
      <c r="M60" s="24" t="n">
        <f aca="false">L60*Annahmen!$B$112</f>
        <v>445</v>
      </c>
      <c r="N60" s="15" t="n">
        <f aca="false">IF($A60&gt;=Annahmen!$C$91,Annahmen!$C$102,0)</f>
        <v>50</v>
      </c>
      <c r="O60" s="24" t="n">
        <f aca="false">N60*Annahmen!$B$113</f>
        <v>300</v>
      </c>
      <c r="P60" s="15" t="n">
        <f aca="false">IF($A60&gt;=Annahmen!$C$91,Annahmen!$C$103,0)</f>
        <v>0</v>
      </c>
      <c r="Q60" s="24" t="n">
        <f aca="false">P60*Annahmen!$B$114</f>
        <v>0</v>
      </c>
      <c r="R60" s="17" t="n">
        <f aca="false">IF($A60&gt;=Annahmen!$C$91,Annahmen!$C$104,0)</f>
        <v>1</v>
      </c>
      <c r="S60" s="24" t="n">
        <f aca="false">R60*Annahmen!$B$115</f>
        <v>49</v>
      </c>
      <c r="T60" s="24" t="n">
        <f aca="false">E60+G60+I60+K60+M60+O60+Q60+S60</f>
        <v>2163.91806451613</v>
      </c>
      <c r="U60" s="24" t="n">
        <f aca="false">C60*Annahmen!$B$52+F60*Annahmen!$C$96*Annahmen!$B$48+H60*(Annahmen!$B$46+Annahmen!$C$98*(Annahmen!$B$48-Annahmen!$B$46))+J60*Annahmen!$B$49+L60*Annahmen!$B$50+(N60+P60)*Annahmen!$B$51</f>
        <v>37.5962854553319</v>
      </c>
      <c r="V60" s="24" t="n">
        <f aca="false">SUMPRODUCT((((Annahmen!$C$161:$C$174="monatlich")*(Annahmen!$D$161:$D$174&lt;=$A60))+((Annahmen!$C$161:$C$174="einmalig")*(Annahmen!$D$161:$D$174=$A60)))*Annahmen!$B$161:$B$174*Annahmen!$F$161:$F$174)</f>
        <v>50.8275708031806</v>
      </c>
      <c r="W60" s="24" t="n">
        <f aca="false">Annahmen!$C$144</f>
        <v>150</v>
      </c>
      <c r="X60" s="17" t="n">
        <f aca="false">C60+F60*Annahmen!$C$96+H60+J60+L60/Annahmen!$B$47+(N60+P60)/(Annahmen!$B$24/Annahmen!$B$25)</f>
        <v>4.3375</v>
      </c>
      <c r="Y60" s="36" t="n">
        <f aca="false">MAX(0,(X60-Annahmen!$B$149)/Annahmen!$B$150)</f>
        <v>0</v>
      </c>
      <c r="Z60" s="24" t="n">
        <f aca="false">Y60*Annahmen!$B$146</f>
        <v>0</v>
      </c>
      <c r="AA60" s="24" t="n">
        <f aca="false">T60-U60-V60-W60-Z60</f>
        <v>1925.49420825762</v>
      </c>
      <c r="AB60" s="24" t="n">
        <f aca="false">AB59+AA60</f>
        <v>15993.3535714324</v>
      </c>
      <c r="AC60" s="7" t="n">
        <f aca="false">IF(AA60&gt;0,1,0)</f>
        <v>1</v>
      </c>
      <c r="AD60" s="7" t="n">
        <f aca="false">IF(AB60&gt;=0,1,0)</f>
        <v>1</v>
      </c>
    </row>
    <row r="61" customFormat="false" ht="15" hidden="false" customHeight="false" outlineLevel="0" collapsed="false">
      <c r="A61" s="7" t="n">
        <v>15</v>
      </c>
      <c r="B61" s="7" t="s">
        <v>404</v>
      </c>
      <c r="C61" s="17" t="n">
        <f aca="false">IF($A61&gt;=Annahmen!$C$91,Annahmen!$C$92,0)</f>
        <v>0.7</v>
      </c>
      <c r="D61" s="17" t="n">
        <f aca="false">C61*Annahmen!$C$93</f>
        <v>0.21</v>
      </c>
      <c r="E61" s="24" t="n">
        <f aca="false">(C61-D61)*Annahmen!$B$105</f>
        <v>240.1</v>
      </c>
      <c r="F61" s="17" t="n">
        <f aca="false">IF($A61&gt;Annahmen!$B$95,INDEX($C$47:$C$70,$A61-Annahmen!$B$95)*Annahmen!$C$94,0)</f>
        <v>0.28</v>
      </c>
      <c r="G61" s="24" t="n">
        <f aca="false">F61*(Annahmen!$C$96*(Annahmen!$B$106+Annahmen!$B$107)-Annahmen!$B$105*(1-Annahmen!$C$93))</f>
        <v>658.56</v>
      </c>
      <c r="H61" s="17" t="n">
        <f aca="false">IF($A61&gt;=Annahmen!$C$91,Annahmen!$C$97,0)</f>
        <v>1</v>
      </c>
      <c r="I61" s="24" t="n">
        <f aca="false">H61*(Annahmen!$B$106+Annahmen!$C$98*Annahmen!$B$107)</f>
        <v>344</v>
      </c>
      <c r="J61" s="17" t="n">
        <f aca="false">IF($A61&gt;=Annahmen!$C$91,Annahmen!$C$99,0)</f>
        <v>0.5</v>
      </c>
      <c r="K61" s="24" t="n">
        <f aca="false">J61*(Annahmen!$B$108+Annahmen!$B$100*Annahmen!$B$111)</f>
        <v>127.258064516129</v>
      </c>
      <c r="L61" s="17" t="n">
        <f aca="false">IF($A61&gt;=Annahmen!$C$91,Annahmen!$C$101,0)</f>
        <v>5</v>
      </c>
      <c r="M61" s="24" t="n">
        <f aca="false">L61*Annahmen!$B$112</f>
        <v>445</v>
      </c>
      <c r="N61" s="15" t="n">
        <f aca="false">IF($A61&gt;=Annahmen!$C$91,Annahmen!$C$102,0)</f>
        <v>50</v>
      </c>
      <c r="O61" s="24" t="n">
        <f aca="false">N61*Annahmen!$B$113</f>
        <v>300</v>
      </c>
      <c r="P61" s="15" t="n">
        <f aca="false">IF($A61&gt;=Annahmen!$C$91,Annahmen!$C$103,0)</f>
        <v>0</v>
      </c>
      <c r="Q61" s="24" t="n">
        <f aca="false">P61*Annahmen!$B$114</f>
        <v>0</v>
      </c>
      <c r="R61" s="17" t="n">
        <f aca="false">IF($A61&gt;=Annahmen!$C$91,Annahmen!$C$104,0)</f>
        <v>1</v>
      </c>
      <c r="S61" s="24" t="n">
        <f aca="false">R61*Annahmen!$B$115</f>
        <v>49</v>
      </c>
      <c r="T61" s="24" t="n">
        <f aca="false">E61+G61+I61+K61+M61+O61+Q61+S61</f>
        <v>2163.91806451613</v>
      </c>
      <c r="U61" s="24" t="n">
        <f aca="false">C61*Annahmen!$B$52+F61*Annahmen!$C$96*Annahmen!$B$48+H61*(Annahmen!$B$46+Annahmen!$C$98*(Annahmen!$B$48-Annahmen!$B$46))+J61*Annahmen!$B$49+L61*Annahmen!$B$50+(N61+P61)*Annahmen!$B$51</f>
        <v>37.5962854553319</v>
      </c>
      <c r="V61" s="24" t="n">
        <f aca="false">SUMPRODUCT((((Annahmen!$C$161:$C$174="monatlich")*(Annahmen!$D$161:$D$174&lt;=$A61))+((Annahmen!$C$161:$C$174="einmalig")*(Annahmen!$D$161:$D$174=$A61)))*Annahmen!$B$161:$B$174*Annahmen!$F$161:$F$174)</f>
        <v>50.8275708031806</v>
      </c>
      <c r="W61" s="24" t="n">
        <f aca="false">Annahmen!$C$144</f>
        <v>150</v>
      </c>
      <c r="X61" s="17" t="n">
        <f aca="false">C61+F61*Annahmen!$C$96+H61+J61+L61/Annahmen!$B$47+(N61+P61)/(Annahmen!$B$24/Annahmen!$B$25)</f>
        <v>4.3375</v>
      </c>
      <c r="Y61" s="36" t="n">
        <f aca="false">MAX(0,(X61-Annahmen!$B$149)/Annahmen!$B$150)</f>
        <v>0</v>
      </c>
      <c r="Z61" s="24" t="n">
        <f aca="false">Y61*Annahmen!$B$146</f>
        <v>0</v>
      </c>
      <c r="AA61" s="24" t="n">
        <f aca="false">T61-U61-V61-W61-Z61</f>
        <v>1925.49420825762</v>
      </c>
      <c r="AB61" s="24" t="n">
        <f aca="false">AB60+AA61</f>
        <v>17918.84777969</v>
      </c>
      <c r="AC61" s="7" t="n">
        <f aca="false">IF(AA61&gt;0,1,0)</f>
        <v>1</v>
      </c>
      <c r="AD61" s="7" t="n">
        <f aca="false">IF(AB61&gt;=0,1,0)</f>
        <v>1</v>
      </c>
    </row>
    <row r="62" customFormat="false" ht="15" hidden="false" customHeight="false" outlineLevel="0" collapsed="false">
      <c r="A62" s="7" t="n">
        <v>16</v>
      </c>
      <c r="B62" s="7" t="s">
        <v>405</v>
      </c>
      <c r="C62" s="17" t="n">
        <f aca="false">IF($A62&gt;=Annahmen!$C$91,Annahmen!$C$92,0)</f>
        <v>0.7</v>
      </c>
      <c r="D62" s="17" t="n">
        <f aca="false">C62*Annahmen!$C$93</f>
        <v>0.21</v>
      </c>
      <c r="E62" s="24" t="n">
        <f aca="false">(C62-D62)*Annahmen!$B$105</f>
        <v>240.1</v>
      </c>
      <c r="F62" s="17" t="n">
        <f aca="false">IF($A62&gt;Annahmen!$B$95,INDEX($C$47:$C$70,$A62-Annahmen!$B$95)*Annahmen!$C$94,0)</f>
        <v>0.28</v>
      </c>
      <c r="G62" s="24" t="n">
        <f aca="false">F62*(Annahmen!$C$96*(Annahmen!$B$106+Annahmen!$B$107)-Annahmen!$B$105*(1-Annahmen!$C$93))</f>
        <v>658.56</v>
      </c>
      <c r="H62" s="17" t="n">
        <f aca="false">IF($A62&gt;=Annahmen!$C$91,Annahmen!$C$97,0)</f>
        <v>1</v>
      </c>
      <c r="I62" s="24" t="n">
        <f aca="false">H62*(Annahmen!$B$106+Annahmen!$C$98*Annahmen!$B$107)</f>
        <v>344</v>
      </c>
      <c r="J62" s="17" t="n">
        <f aca="false">IF($A62&gt;=Annahmen!$C$91,Annahmen!$C$99,0)</f>
        <v>0.5</v>
      </c>
      <c r="K62" s="24" t="n">
        <f aca="false">J62*(Annahmen!$B$108+Annahmen!$B$100*Annahmen!$B$111)</f>
        <v>127.258064516129</v>
      </c>
      <c r="L62" s="17" t="n">
        <f aca="false">IF($A62&gt;=Annahmen!$C$91,Annahmen!$C$101,0)</f>
        <v>5</v>
      </c>
      <c r="M62" s="24" t="n">
        <f aca="false">L62*Annahmen!$B$112</f>
        <v>445</v>
      </c>
      <c r="N62" s="15" t="n">
        <f aca="false">IF($A62&gt;=Annahmen!$C$91,Annahmen!$C$102,0)</f>
        <v>50</v>
      </c>
      <c r="O62" s="24" t="n">
        <f aca="false">N62*Annahmen!$B$113</f>
        <v>300</v>
      </c>
      <c r="P62" s="15" t="n">
        <f aca="false">IF($A62&gt;=Annahmen!$C$91,Annahmen!$C$103,0)</f>
        <v>0</v>
      </c>
      <c r="Q62" s="24" t="n">
        <f aca="false">P62*Annahmen!$B$114</f>
        <v>0</v>
      </c>
      <c r="R62" s="17" t="n">
        <f aca="false">IF($A62&gt;=Annahmen!$C$91,Annahmen!$C$104,0)</f>
        <v>1</v>
      </c>
      <c r="S62" s="24" t="n">
        <f aca="false">R62*Annahmen!$B$115</f>
        <v>49</v>
      </c>
      <c r="T62" s="24" t="n">
        <f aca="false">E62+G62+I62+K62+M62+O62+Q62+S62</f>
        <v>2163.91806451613</v>
      </c>
      <c r="U62" s="24" t="n">
        <f aca="false">C62*Annahmen!$B$52+F62*Annahmen!$C$96*Annahmen!$B$48+H62*(Annahmen!$B$46+Annahmen!$C$98*(Annahmen!$B$48-Annahmen!$B$46))+J62*Annahmen!$B$49+L62*Annahmen!$B$50+(N62+P62)*Annahmen!$B$51</f>
        <v>37.5962854553319</v>
      </c>
      <c r="V62" s="24" t="n">
        <f aca="false">SUMPRODUCT((((Annahmen!$C$161:$C$174="monatlich")*(Annahmen!$D$161:$D$174&lt;=$A62))+((Annahmen!$C$161:$C$174="einmalig")*(Annahmen!$D$161:$D$174=$A62)))*Annahmen!$B$161:$B$174*Annahmen!$F$161:$F$174)</f>
        <v>50.8275708031806</v>
      </c>
      <c r="W62" s="24" t="n">
        <f aca="false">Annahmen!$C$144</f>
        <v>150</v>
      </c>
      <c r="X62" s="17" t="n">
        <f aca="false">C62+F62*Annahmen!$C$96+H62+J62+L62/Annahmen!$B$47+(N62+P62)/(Annahmen!$B$24/Annahmen!$B$25)</f>
        <v>4.3375</v>
      </c>
      <c r="Y62" s="36" t="n">
        <f aca="false">MAX(0,(X62-Annahmen!$B$149)/Annahmen!$B$150)</f>
        <v>0</v>
      </c>
      <c r="Z62" s="24" t="n">
        <f aca="false">Y62*Annahmen!$B$146</f>
        <v>0</v>
      </c>
      <c r="AA62" s="24" t="n">
        <f aca="false">T62-U62-V62-W62-Z62</f>
        <v>1925.49420825762</v>
      </c>
      <c r="AB62" s="24" t="n">
        <f aca="false">AB61+AA62</f>
        <v>19844.3419879476</v>
      </c>
      <c r="AC62" s="7" t="n">
        <f aca="false">IF(AA62&gt;0,1,0)</f>
        <v>1</v>
      </c>
      <c r="AD62" s="7" t="n">
        <f aca="false">IF(AB62&gt;=0,1,0)</f>
        <v>1</v>
      </c>
    </row>
    <row r="63" customFormat="false" ht="15" hidden="false" customHeight="false" outlineLevel="0" collapsed="false">
      <c r="A63" s="7" t="n">
        <v>17</v>
      </c>
      <c r="B63" s="7" t="s">
        <v>406</v>
      </c>
      <c r="C63" s="17" t="n">
        <f aca="false">IF($A63&gt;=Annahmen!$C$91,Annahmen!$C$92,0)</f>
        <v>0.7</v>
      </c>
      <c r="D63" s="17" t="n">
        <f aca="false">C63*Annahmen!$C$93</f>
        <v>0.21</v>
      </c>
      <c r="E63" s="24" t="n">
        <f aca="false">(C63-D63)*Annahmen!$B$105</f>
        <v>240.1</v>
      </c>
      <c r="F63" s="17" t="n">
        <f aca="false">IF($A63&gt;Annahmen!$B$95,INDEX($C$47:$C$70,$A63-Annahmen!$B$95)*Annahmen!$C$94,0)</f>
        <v>0.28</v>
      </c>
      <c r="G63" s="24" t="n">
        <f aca="false">F63*(Annahmen!$C$96*(Annahmen!$B$106+Annahmen!$B$107)-Annahmen!$B$105*(1-Annahmen!$C$93))</f>
        <v>658.56</v>
      </c>
      <c r="H63" s="17" t="n">
        <f aca="false">IF($A63&gt;=Annahmen!$C$91,Annahmen!$C$97,0)</f>
        <v>1</v>
      </c>
      <c r="I63" s="24" t="n">
        <f aca="false">H63*(Annahmen!$B$106+Annahmen!$C$98*Annahmen!$B$107)</f>
        <v>344</v>
      </c>
      <c r="J63" s="17" t="n">
        <f aca="false">IF($A63&gt;=Annahmen!$C$91,Annahmen!$C$99,0)</f>
        <v>0.5</v>
      </c>
      <c r="K63" s="24" t="n">
        <f aca="false">J63*(Annahmen!$B$108+Annahmen!$B$100*Annahmen!$B$111)</f>
        <v>127.258064516129</v>
      </c>
      <c r="L63" s="17" t="n">
        <f aca="false">IF($A63&gt;=Annahmen!$C$91,Annahmen!$C$101,0)</f>
        <v>5</v>
      </c>
      <c r="M63" s="24" t="n">
        <f aca="false">L63*Annahmen!$B$112</f>
        <v>445</v>
      </c>
      <c r="N63" s="15" t="n">
        <f aca="false">IF($A63&gt;=Annahmen!$C$91,Annahmen!$C$102,0)</f>
        <v>50</v>
      </c>
      <c r="O63" s="24" t="n">
        <f aca="false">N63*Annahmen!$B$113</f>
        <v>300</v>
      </c>
      <c r="P63" s="15" t="n">
        <f aca="false">IF($A63&gt;=Annahmen!$C$91,Annahmen!$C$103,0)</f>
        <v>0</v>
      </c>
      <c r="Q63" s="24" t="n">
        <f aca="false">P63*Annahmen!$B$114</f>
        <v>0</v>
      </c>
      <c r="R63" s="17" t="n">
        <f aca="false">IF($A63&gt;=Annahmen!$C$91,Annahmen!$C$104,0)</f>
        <v>1</v>
      </c>
      <c r="S63" s="24" t="n">
        <f aca="false">R63*Annahmen!$B$115</f>
        <v>49</v>
      </c>
      <c r="T63" s="24" t="n">
        <f aca="false">E63+G63+I63+K63+M63+O63+Q63+S63</f>
        <v>2163.91806451613</v>
      </c>
      <c r="U63" s="24" t="n">
        <f aca="false">C63*Annahmen!$B$52+F63*Annahmen!$C$96*Annahmen!$B$48+H63*(Annahmen!$B$46+Annahmen!$C$98*(Annahmen!$B$48-Annahmen!$B$46))+J63*Annahmen!$B$49+L63*Annahmen!$B$50+(N63+P63)*Annahmen!$B$51</f>
        <v>37.5962854553319</v>
      </c>
      <c r="V63" s="24" t="n">
        <f aca="false">SUMPRODUCT((((Annahmen!$C$161:$C$174="monatlich")*(Annahmen!$D$161:$D$174&lt;=$A63))+((Annahmen!$C$161:$C$174="einmalig")*(Annahmen!$D$161:$D$174=$A63)))*Annahmen!$B$161:$B$174*Annahmen!$F$161:$F$174)</f>
        <v>50.8275708031806</v>
      </c>
      <c r="W63" s="24" t="n">
        <f aca="false">Annahmen!$C$144</f>
        <v>150</v>
      </c>
      <c r="X63" s="17" t="n">
        <f aca="false">C63+F63*Annahmen!$C$96+H63+J63+L63/Annahmen!$B$47+(N63+P63)/(Annahmen!$B$24/Annahmen!$B$25)</f>
        <v>4.3375</v>
      </c>
      <c r="Y63" s="36" t="n">
        <f aca="false">MAX(0,(X63-Annahmen!$B$149)/Annahmen!$B$150)</f>
        <v>0</v>
      </c>
      <c r="Z63" s="24" t="n">
        <f aca="false">Y63*Annahmen!$B$146</f>
        <v>0</v>
      </c>
      <c r="AA63" s="24" t="n">
        <f aca="false">T63-U63-V63-W63-Z63</f>
        <v>1925.49420825762</v>
      </c>
      <c r="AB63" s="24" t="n">
        <f aca="false">AB62+AA63</f>
        <v>21769.8361962052</v>
      </c>
      <c r="AC63" s="7" t="n">
        <f aca="false">IF(AA63&gt;0,1,0)</f>
        <v>1</v>
      </c>
      <c r="AD63" s="7" t="n">
        <f aca="false">IF(AB63&gt;=0,1,0)</f>
        <v>1</v>
      </c>
    </row>
    <row r="64" customFormat="false" ht="15" hidden="false" customHeight="false" outlineLevel="0" collapsed="false">
      <c r="A64" s="7" t="n">
        <v>18</v>
      </c>
      <c r="B64" s="7" t="s">
        <v>407</v>
      </c>
      <c r="C64" s="17" t="n">
        <f aca="false">IF($A64&gt;=Annahmen!$C$91,Annahmen!$C$92,0)</f>
        <v>0.7</v>
      </c>
      <c r="D64" s="17" t="n">
        <f aca="false">C64*Annahmen!$C$93</f>
        <v>0.21</v>
      </c>
      <c r="E64" s="24" t="n">
        <f aca="false">(C64-D64)*Annahmen!$B$105</f>
        <v>240.1</v>
      </c>
      <c r="F64" s="17" t="n">
        <f aca="false">IF($A64&gt;Annahmen!$B$95,INDEX($C$47:$C$70,$A64-Annahmen!$B$95)*Annahmen!$C$94,0)</f>
        <v>0.28</v>
      </c>
      <c r="G64" s="24" t="n">
        <f aca="false">F64*(Annahmen!$C$96*(Annahmen!$B$106+Annahmen!$B$107)-Annahmen!$B$105*(1-Annahmen!$C$93))</f>
        <v>658.56</v>
      </c>
      <c r="H64" s="17" t="n">
        <f aca="false">IF($A64&gt;=Annahmen!$C$91,Annahmen!$C$97,0)</f>
        <v>1</v>
      </c>
      <c r="I64" s="24" t="n">
        <f aca="false">H64*(Annahmen!$B$106+Annahmen!$C$98*Annahmen!$B$107)</f>
        <v>344</v>
      </c>
      <c r="J64" s="17" t="n">
        <f aca="false">IF($A64&gt;=Annahmen!$C$91,Annahmen!$C$99,0)</f>
        <v>0.5</v>
      </c>
      <c r="K64" s="24" t="n">
        <f aca="false">J64*(Annahmen!$B$108+Annahmen!$B$100*Annahmen!$B$111)</f>
        <v>127.258064516129</v>
      </c>
      <c r="L64" s="17" t="n">
        <f aca="false">IF($A64&gt;=Annahmen!$C$91,Annahmen!$C$101,0)</f>
        <v>5</v>
      </c>
      <c r="M64" s="24" t="n">
        <f aca="false">L64*Annahmen!$B$112</f>
        <v>445</v>
      </c>
      <c r="N64" s="15" t="n">
        <f aca="false">IF($A64&gt;=Annahmen!$C$91,Annahmen!$C$102,0)</f>
        <v>50</v>
      </c>
      <c r="O64" s="24" t="n">
        <f aca="false">N64*Annahmen!$B$113</f>
        <v>300</v>
      </c>
      <c r="P64" s="15" t="n">
        <f aca="false">IF($A64&gt;=Annahmen!$C$91,Annahmen!$C$103,0)</f>
        <v>0</v>
      </c>
      <c r="Q64" s="24" t="n">
        <f aca="false">P64*Annahmen!$B$114</f>
        <v>0</v>
      </c>
      <c r="R64" s="17" t="n">
        <f aca="false">IF($A64&gt;=Annahmen!$C$91,Annahmen!$C$104,0)</f>
        <v>1</v>
      </c>
      <c r="S64" s="24" t="n">
        <f aca="false">R64*Annahmen!$B$115</f>
        <v>49</v>
      </c>
      <c r="T64" s="24" t="n">
        <f aca="false">E64+G64+I64+K64+M64+O64+Q64+S64</f>
        <v>2163.91806451613</v>
      </c>
      <c r="U64" s="24" t="n">
        <f aca="false">C64*Annahmen!$B$52+F64*Annahmen!$C$96*Annahmen!$B$48+H64*(Annahmen!$B$46+Annahmen!$C$98*(Annahmen!$B$48-Annahmen!$B$46))+J64*Annahmen!$B$49+L64*Annahmen!$B$50+(N64+P64)*Annahmen!$B$51</f>
        <v>37.5962854553319</v>
      </c>
      <c r="V64" s="24" t="n">
        <f aca="false">SUMPRODUCT((((Annahmen!$C$161:$C$174="monatlich")*(Annahmen!$D$161:$D$174&lt;=$A64))+((Annahmen!$C$161:$C$174="einmalig")*(Annahmen!$D$161:$D$174=$A64)))*Annahmen!$B$161:$B$174*Annahmen!$F$161:$F$174)</f>
        <v>50.8275708031806</v>
      </c>
      <c r="W64" s="24" t="n">
        <f aca="false">Annahmen!$C$144</f>
        <v>150</v>
      </c>
      <c r="X64" s="17" t="n">
        <f aca="false">C64+F64*Annahmen!$C$96+H64+J64+L64/Annahmen!$B$47+(N64+P64)/(Annahmen!$B$24/Annahmen!$B$25)</f>
        <v>4.3375</v>
      </c>
      <c r="Y64" s="36" t="n">
        <f aca="false">MAX(0,(X64-Annahmen!$B$149)/Annahmen!$B$150)</f>
        <v>0</v>
      </c>
      <c r="Z64" s="24" t="n">
        <f aca="false">Y64*Annahmen!$B$146</f>
        <v>0</v>
      </c>
      <c r="AA64" s="24" t="n">
        <f aca="false">T64-U64-V64-W64-Z64</f>
        <v>1925.49420825762</v>
      </c>
      <c r="AB64" s="24" t="n">
        <f aca="false">AB63+AA64</f>
        <v>23695.3304044628</v>
      </c>
      <c r="AC64" s="7" t="n">
        <f aca="false">IF(AA64&gt;0,1,0)</f>
        <v>1</v>
      </c>
      <c r="AD64" s="7" t="n">
        <f aca="false">IF(AB64&gt;=0,1,0)</f>
        <v>1</v>
      </c>
    </row>
    <row r="65" customFormat="false" ht="15" hidden="false" customHeight="false" outlineLevel="0" collapsed="false">
      <c r="A65" s="7" t="n">
        <v>19</v>
      </c>
      <c r="B65" s="7" t="s">
        <v>408</v>
      </c>
      <c r="C65" s="17" t="n">
        <f aca="false">IF($A65&gt;=Annahmen!$C$91,Annahmen!$C$92,0)</f>
        <v>0.7</v>
      </c>
      <c r="D65" s="17" t="n">
        <f aca="false">C65*Annahmen!$C$93</f>
        <v>0.21</v>
      </c>
      <c r="E65" s="24" t="n">
        <f aca="false">(C65-D65)*Annahmen!$B$105</f>
        <v>240.1</v>
      </c>
      <c r="F65" s="17" t="n">
        <f aca="false">IF($A65&gt;Annahmen!$B$95,INDEX($C$47:$C$70,$A65-Annahmen!$B$95)*Annahmen!$C$94,0)</f>
        <v>0.28</v>
      </c>
      <c r="G65" s="24" t="n">
        <f aca="false">F65*(Annahmen!$C$96*(Annahmen!$B$106+Annahmen!$B$107)-Annahmen!$B$105*(1-Annahmen!$C$93))</f>
        <v>658.56</v>
      </c>
      <c r="H65" s="17" t="n">
        <f aca="false">IF($A65&gt;=Annahmen!$C$91,Annahmen!$C$97,0)</f>
        <v>1</v>
      </c>
      <c r="I65" s="24" t="n">
        <f aca="false">H65*(Annahmen!$B$106+Annahmen!$C$98*Annahmen!$B$107)</f>
        <v>344</v>
      </c>
      <c r="J65" s="17" t="n">
        <f aca="false">IF($A65&gt;=Annahmen!$C$91,Annahmen!$C$99,0)</f>
        <v>0.5</v>
      </c>
      <c r="K65" s="24" t="n">
        <f aca="false">J65*(Annahmen!$B$108+Annahmen!$B$100*Annahmen!$B$111)</f>
        <v>127.258064516129</v>
      </c>
      <c r="L65" s="17" t="n">
        <f aca="false">IF($A65&gt;=Annahmen!$C$91,Annahmen!$C$101,0)</f>
        <v>5</v>
      </c>
      <c r="M65" s="24" t="n">
        <f aca="false">L65*Annahmen!$B$112</f>
        <v>445</v>
      </c>
      <c r="N65" s="15" t="n">
        <f aca="false">IF($A65&gt;=Annahmen!$C$91,Annahmen!$C$102,0)</f>
        <v>50</v>
      </c>
      <c r="O65" s="24" t="n">
        <f aca="false">N65*Annahmen!$B$113</f>
        <v>300</v>
      </c>
      <c r="P65" s="15" t="n">
        <f aca="false">IF($A65&gt;=Annahmen!$C$91,Annahmen!$C$103,0)</f>
        <v>0</v>
      </c>
      <c r="Q65" s="24" t="n">
        <f aca="false">P65*Annahmen!$B$114</f>
        <v>0</v>
      </c>
      <c r="R65" s="17" t="n">
        <f aca="false">IF($A65&gt;=Annahmen!$C$91,Annahmen!$C$104,0)</f>
        <v>1</v>
      </c>
      <c r="S65" s="24" t="n">
        <f aca="false">R65*Annahmen!$B$115</f>
        <v>49</v>
      </c>
      <c r="T65" s="24" t="n">
        <f aca="false">E65+G65+I65+K65+M65+O65+Q65+S65</f>
        <v>2163.91806451613</v>
      </c>
      <c r="U65" s="24" t="n">
        <f aca="false">C65*Annahmen!$B$52+F65*Annahmen!$C$96*Annahmen!$B$48+H65*(Annahmen!$B$46+Annahmen!$C$98*(Annahmen!$B$48-Annahmen!$B$46))+J65*Annahmen!$B$49+L65*Annahmen!$B$50+(N65+P65)*Annahmen!$B$51</f>
        <v>37.5962854553319</v>
      </c>
      <c r="V65" s="24" t="n">
        <f aca="false">SUMPRODUCT((((Annahmen!$C$161:$C$174="monatlich")*(Annahmen!$D$161:$D$174&lt;=$A65))+((Annahmen!$C$161:$C$174="einmalig")*(Annahmen!$D$161:$D$174=$A65)))*Annahmen!$B$161:$B$174*Annahmen!$F$161:$F$174)</f>
        <v>50.8275708031806</v>
      </c>
      <c r="W65" s="24" t="n">
        <f aca="false">Annahmen!$C$144</f>
        <v>150</v>
      </c>
      <c r="X65" s="17" t="n">
        <f aca="false">C65+F65*Annahmen!$C$96+H65+J65+L65/Annahmen!$B$47+(N65+P65)/(Annahmen!$B$24/Annahmen!$B$25)</f>
        <v>4.3375</v>
      </c>
      <c r="Y65" s="36" t="n">
        <f aca="false">MAX(0,(X65-Annahmen!$B$149)/Annahmen!$B$150)</f>
        <v>0</v>
      </c>
      <c r="Z65" s="24" t="n">
        <f aca="false">Y65*Annahmen!$B$146</f>
        <v>0</v>
      </c>
      <c r="AA65" s="24" t="n">
        <f aca="false">T65-U65-V65-W65-Z65</f>
        <v>1925.49420825762</v>
      </c>
      <c r="AB65" s="24" t="n">
        <f aca="false">AB64+AA65</f>
        <v>25620.8246127204</v>
      </c>
      <c r="AC65" s="7" t="n">
        <f aca="false">IF(AA65&gt;0,1,0)</f>
        <v>1</v>
      </c>
      <c r="AD65" s="7" t="n">
        <f aca="false">IF(AB65&gt;=0,1,0)</f>
        <v>1</v>
      </c>
    </row>
    <row r="66" customFormat="false" ht="15" hidden="false" customHeight="false" outlineLevel="0" collapsed="false">
      <c r="A66" s="7" t="n">
        <v>20</v>
      </c>
      <c r="B66" s="7" t="s">
        <v>409</v>
      </c>
      <c r="C66" s="17" t="n">
        <f aca="false">IF($A66&gt;=Annahmen!$C$91,Annahmen!$C$92,0)</f>
        <v>0.7</v>
      </c>
      <c r="D66" s="17" t="n">
        <f aca="false">C66*Annahmen!$C$93</f>
        <v>0.21</v>
      </c>
      <c r="E66" s="24" t="n">
        <f aca="false">(C66-D66)*Annahmen!$B$105</f>
        <v>240.1</v>
      </c>
      <c r="F66" s="17" t="n">
        <f aca="false">IF($A66&gt;Annahmen!$B$95,INDEX($C$47:$C$70,$A66-Annahmen!$B$95)*Annahmen!$C$94,0)</f>
        <v>0.28</v>
      </c>
      <c r="G66" s="24" t="n">
        <f aca="false">F66*(Annahmen!$C$96*(Annahmen!$B$106+Annahmen!$B$107)-Annahmen!$B$105*(1-Annahmen!$C$93))</f>
        <v>658.56</v>
      </c>
      <c r="H66" s="17" t="n">
        <f aca="false">IF($A66&gt;=Annahmen!$C$91,Annahmen!$C$97,0)</f>
        <v>1</v>
      </c>
      <c r="I66" s="24" t="n">
        <f aca="false">H66*(Annahmen!$B$106+Annahmen!$C$98*Annahmen!$B$107)</f>
        <v>344</v>
      </c>
      <c r="J66" s="17" t="n">
        <f aca="false">IF($A66&gt;=Annahmen!$C$91,Annahmen!$C$99,0)</f>
        <v>0.5</v>
      </c>
      <c r="K66" s="24" t="n">
        <f aca="false">J66*(Annahmen!$B$108+Annahmen!$B$100*Annahmen!$B$111)</f>
        <v>127.258064516129</v>
      </c>
      <c r="L66" s="17" t="n">
        <f aca="false">IF($A66&gt;=Annahmen!$C$91,Annahmen!$C$101,0)</f>
        <v>5</v>
      </c>
      <c r="M66" s="24" t="n">
        <f aca="false">L66*Annahmen!$B$112</f>
        <v>445</v>
      </c>
      <c r="N66" s="15" t="n">
        <f aca="false">IF($A66&gt;=Annahmen!$C$91,Annahmen!$C$102,0)</f>
        <v>50</v>
      </c>
      <c r="O66" s="24" t="n">
        <f aca="false">N66*Annahmen!$B$113</f>
        <v>300</v>
      </c>
      <c r="P66" s="15" t="n">
        <f aca="false">IF($A66&gt;=Annahmen!$C$91,Annahmen!$C$103,0)</f>
        <v>0</v>
      </c>
      <c r="Q66" s="24" t="n">
        <f aca="false">P66*Annahmen!$B$114</f>
        <v>0</v>
      </c>
      <c r="R66" s="17" t="n">
        <f aca="false">IF($A66&gt;=Annahmen!$C$91,Annahmen!$C$104,0)</f>
        <v>1</v>
      </c>
      <c r="S66" s="24" t="n">
        <f aca="false">R66*Annahmen!$B$115</f>
        <v>49</v>
      </c>
      <c r="T66" s="24" t="n">
        <f aca="false">E66+G66+I66+K66+M66+O66+Q66+S66</f>
        <v>2163.91806451613</v>
      </c>
      <c r="U66" s="24" t="n">
        <f aca="false">C66*Annahmen!$B$52+F66*Annahmen!$C$96*Annahmen!$B$48+H66*(Annahmen!$B$46+Annahmen!$C$98*(Annahmen!$B$48-Annahmen!$B$46))+J66*Annahmen!$B$49+L66*Annahmen!$B$50+(N66+P66)*Annahmen!$B$51</f>
        <v>37.5962854553319</v>
      </c>
      <c r="V66" s="24" t="n">
        <f aca="false">SUMPRODUCT((((Annahmen!$C$161:$C$174="monatlich")*(Annahmen!$D$161:$D$174&lt;=$A66))+((Annahmen!$C$161:$C$174="einmalig")*(Annahmen!$D$161:$D$174=$A66)))*Annahmen!$B$161:$B$174*Annahmen!$F$161:$F$174)</f>
        <v>50.8275708031806</v>
      </c>
      <c r="W66" s="24" t="n">
        <f aca="false">Annahmen!$C$144</f>
        <v>150</v>
      </c>
      <c r="X66" s="17" t="n">
        <f aca="false">C66+F66*Annahmen!$C$96+H66+J66+L66/Annahmen!$B$47+(N66+P66)/(Annahmen!$B$24/Annahmen!$B$25)</f>
        <v>4.3375</v>
      </c>
      <c r="Y66" s="36" t="n">
        <f aca="false">MAX(0,(X66-Annahmen!$B$149)/Annahmen!$B$150)</f>
        <v>0</v>
      </c>
      <c r="Z66" s="24" t="n">
        <f aca="false">Y66*Annahmen!$B$146</f>
        <v>0</v>
      </c>
      <c r="AA66" s="24" t="n">
        <f aca="false">T66-U66-V66-W66-Z66</f>
        <v>1925.49420825762</v>
      </c>
      <c r="AB66" s="24" t="n">
        <f aca="false">AB65+AA66</f>
        <v>27546.3188209781</v>
      </c>
      <c r="AC66" s="7" t="n">
        <f aca="false">IF(AA66&gt;0,1,0)</f>
        <v>1</v>
      </c>
      <c r="AD66" s="7" t="n">
        <f aca="false">IF(AB66&gt;=0,1,0)</f>
        <v>1</v>
      </c>
    </row>
    <row r="67" customFormat="false" ht="15" hidden="false" customHeight="false" outlineLevel="0" collapsed="false">
      <c r="A67" s="7" t="n">
        <v>21</v>
      </c>
      <c r="B67" s="7" t="s">
        <v>410</v>
      </c>
      <c r="C67" s="17" t="n">
        <f aca="false">IF($A67&gt;=Annahmen!$C$91,Annahmen!$C$92,0)</f>
        <v>0.7</v>
      </c>
      <c r="D67" s="17" t="n">
        <f aca="false">C67*Annahmen!$C$93</f>
        <v>0.21</v>
      </c>
      <c r="E67" s="24" t="n">
        <f aca="false">(C67-D67)*Annahmen!$B$105</f>
        <v>240.1</v>
      </c>
      <c r="F67" s="17" t="n">
        <f aca="false">IF($A67&gt;Annahmen!$B$95,INDEX($C$47:$C$70,$A67-Annahmen!$B$95)*Annahmen!$C$94,0)</f>
        <v>0.28</v>
      </c>
      <c r="G67" s="24" t="n">
        <f aca="false">F67*(Annahmen!$C$96*(Annahmen!$B$106+Annahmen!$B$107)-Annahmen!$B$105*(1-Annahmen!$C$93))</f>
        <v>658.56</v>
      </c>
      <c r="H67" s="17" t="n">
        <f aca="false">IF($A67&gt;=Annahmen!$C$91,Annahmen!$C$97,0)</f>
        <v>1</v>
      </c>
      <c r="I67" s="24" t="n">
        <f aca="false">H67*(Annahmen!$B$106+Annahmen!$C$98*Annahmen!$B$107)</f>
        <v>344</v>
      </c>
      <c r="J67" s="17" t="n">
        <f aca="false">IF($A67&gt;=Annahmen!$C$91,Annahmen!$C$99,0)</f>
        <v>0.5</v>
      </c>
      <c r="K67" s="24" t="n">
        <f aca="false">J67*(Annahmen!$B$108+Annahmen!$B$100*Annahmen!$B$111)</f>
        <v>127.258064516129</v>
      </c>
      <c r="L67" s="17" t="n">
        <f aca="false">IF($A67&gt;=Annahmen!$C$91,Annahmen!$C$101,0)</f>
        <v>5</v>
      </c>
      <c r="M67" s="24" t="n">
        <f aca="false">L67*Annahmen!$B$112</f>
        <v>445</v>
      </c>
      <c r="N67" s="15" t="n">
        <f aca="false">IF($A67&gt;=Annahmen!$C$91,Annahmen!$C$102,0)</f>
        <v>50</v>
      </c>
      <c r="O67" s="24" t="n">
        <f aca="false">N67*Annahmen!$B$113</f>
        <v>300</v>
      </c>
      <c r="P67" s="15" t="n">
        <f aca="false">IF($A67&gt;=Annahmen!$C$91,Annahmen!$C$103,0)</f>
        <v>0</v>
      </c>
      <c r="Q67" s="24" t="n">
        <f aca="false">P67*Annahmen!$B$114</f>
        <v>0</v>
      </c>
      <c r="R67" s="17" t="n">
        <f aca="false">IF($A67&gt;=Annahmen!$C$91,Annahmen!$C$104,0)</f>
        <v>1</v>
      </c>
      <c r="S67" s="24" t="n">
        <f aca="false">R67*Annahmen!$B$115</f>
        <v>49</v>
      </c>
      <c r="T67" s="24" t="n">
        <f aca="false">E67+G67+I67+K67+M67+O67+Q67+S67</f>
        <v>2163.91806451613</v>
      </c>
      <c r="U67" s="24" t="n">
        <f aca="false">C67*Annahmen!$B$52+F67*Annahmen!$C$96*Annahmen!$B$48+H67*(Annahmen!$B$46+Annahmen!$C$98*(Annahmen!$B$48-Annahmen!$B$46))+J67*Annahmen!$B$49+L67*Annahmen!$B$50+(N67+P67)*Annahmen!$B$51</f>
        <v>37.5962854553319</v>
      </c>
      <c r="V67" s="24" t="n">
        <f aca="false">SUMPRODUCT((((Annahmen!$C$161:$C$174="monatlich")*(Annahmen!$D$161:$D$174&lt;=$A67))+((Annahmen!$C$161:$C$174="einmalig")*(Annahmen!$D$161:$D$174=$A67)))*Annahmen!$B$161:$B$174*Annahmen!$F$161:$F$174)</f>
        <v>50.8275708031806</v>
      </c>
      <c r="W67" s="24" t="n">
        <f aca="false">Annahmen!$C$144</f>
        <v>150</v>
      </c>
      <c r="X67" s="17" t="n">
        <f aca="false">C67+F67*Annahmen!$C$96+H67+J67+L67/Annahmen!$B$47+(N67+P67)/(Annahmen!$B$24/Annahmen!$B$25)</f>
        <v>4.3375</v>
      </c>
      <c r="Y67" s="36" t="n">
        <f aca="false">MAX(0,(X67-Annahmen!$B$149)/Annahmen!$B$150)</f>
        <v>0</v>
      </c>
      <c r="Z67" s="24" t="n">
        <f aca="false">Y67*Annahmen!$B$146</f>
        <v>0</v>
      </c>
      <c r="AA67" s="24" t="n">
        <f aca="false">T67-U67-V67-W67-Z67</f>
        <v>1925.49420825762</v>
      </c>
      <c r="AB67" s="24" t="n">
        <f aca="false">AB66+AA67</f>
        <v>29471.8130292357</v>
      </c>
      <c r="AC67" s="7" t="n">
        <f aca="false">IF(AA67&gt;0,1,0)</f>
        <v>1</v>
      </c>
      <c r="AD67" s="7" t="n">
        <f aca="false">IF(AB67&gt;=0,1,0)</f>
        <v>1</v>
      </c>
    </row>
    <row r="68" customFormat="false" ht="15" hidden="false" customHeight="false" outlineLevel="0" collapsed="false">
      <c r="A68" s="7" t="n">
        <v>22</v>
      </c>
      <c r="B68" s="7" t="s">
        <v>411</v>
      </c>
      <c r="C68" s="17" t="n">
        <f aca="false">IF($A68&gt;=Annahmen!$C$91,Annahmen!$C$92,0)</f>
        <v>0.7</v>
      </c>
      <c r="D68" s="17" t="n">
        <f aca="false">C68*Annahmen!$C$93</f>
        <v>0.21</v>
      </c>
      <c r="E68" s="24" t="n">
        <f aca="false">(C68-D68)*Annahmen!$B$105</f>
        <v>240.1</v>
      </c>
      <c r="F68" s="17" t="n">
        <f aca="false">IF($A68&gt;Annahmen!$B$95,INDEX($C$47:$C$70,$A68-Annahmen!$B$95)*Annahmen!$C$94,0)</f>
        <v>0.28</v>
      </c>
      <c r="G68" s="24" t="n">
        <f aca="false">F68*(Annahmen!$C$96*(Annahmen!$B$106+Annahmen!$B$107)-Annahmen!$B$105*(1-Annahmen!$C$93))</f>
        <v>658.56</v>
      </c>
      <c r="H68" s="17" t="n">
        <f aca="false">IF($A68&gt;=Annahmen!$C$91,Annahmen!$C$97,0)</f>
        <v>1</v>
      </c>
      <c r="I68" s="24" t="n">
        <f aca="false">H68*(Annahmen!$B$106+Annahmen!$C$98*Annahmen!$B$107)</f>
        <v>344</v>
      </c>
      <c r="J68" s="17" t="n">
        <f aca="false">IF($A68&gt;=Annahmen!$C$91,Annahmen!$C$99,0)</f>
        <v>0.5</v>
      </c>
      <c r="K68" s="24" t="n">
        <f aca="false">J68*(Annahmen!$B$108+Annahmen!$B$100*Annahmen!$B$111)</f>
        <v>127.258064516129</v>
      </c>
      <c r="L68" s="17" t="n">
        <f aca="false">IF($A68&gt;=Annahmen!$C$91,Annahmen!$C$101,0)</f>
        <v>5</v>
      </c>
      <c r="M68" s="24" t="n">
        <f aca="false">L68*Annahmen!$B$112</f>
        <v>445</v>
      </c>
      <c r="N68" s="15" t="n">
        <f aca="false">IF($A68&gt;=Annahmen!$C$91,Annahmen!$C$102,0)</f>
        <v>50</v>
      </c>
      <c r="O68" s="24" t="n">
        <f aca="false">N68*Annahmen!$B$113</f>
        <v>300</v>
      </c>
      <c r="P68" s="15" t="n">
        <f aca="false">IF($A68&gt;=Annahmen!$C$91,Annahmen!$C$103,0)</f>
        <v>0</v>
      </c>
      <c r="Q68" s="24" t="n">
        <f aca="false">P68*Annahmen!$B$114</f>
        <v>0</v>
      </c>
      <c r="R68" s="17" t="n">
        <f aca="false">IF($A68&gt;=Annahmen!$C$91,Annahmen!$C$104,0)</f>
        <v>1</v>
      </c>
      <c r="S68" s="24" t="n">
        <f aca="false">R68*Annahmen!$B$115</f>
        <v>49</v>
      </c>
      <c r="T68" s="24" t="n">
        <f aca="false">E68+G68+I68+K68+M68+O68+Q68+S68</f>
        <v>2163.91806451613</v>
      </c>
      <c r="U68" s="24" t="n">
        <f aca="false">C68*Annahmen!$B$52+F68*Annahmen!$C$96*Annahmen!$B$48+H68*(Annahmen!$B$46+Annahmen!$C$98*(Annahmen!$B$48-Annahmen!$B$46))+J68*Annahmen!$B$49+L68*Annahmen!$B$50+(N68+P68)*Annahmen!$B$51</f>
        <v>37.5962854553319</v>
      </c>
      <c r="V68" s="24" t="n">
        <f aca="false">SUMPRODUCT((((Annahmen!$C$161:$C$174="monatlich")*(Annahmen!$D$161:$D$174&lt;=$A68))+((Annahmen!$C$161:$C$174="einmalig")*(Annahmen!$D$161:$D$174=$A68)))*Annahmen!$B$161:$B$174*Annahmen!$F$161:$F$174)</f>
        <v>50.8275708031806</v>
      </c>
      <c r="W68" s="24" t="n">
        <f aca="false">Annahmen!$C$144</f>
        <v>150</v>
      </c>
      <c r="X68" s="17" t="n">
        <f aca="false">C68+F68*Annahmen!$C$96+H68+J68+L68/Annahmen!$B$47+(N68+P68)/(Annahmen!$B$24/Annahmen!$B$25)</f>
        <v>4.3375</v>
      </c>
      <c r="Y68" s="36" t="n">
        <f aca="false">MAX(0,(X68-Annahmen!$B$149)/Annahmen!$B$150)</f>
        <v>0</v>
      </c>
      <c r="Z68" s="24" t="n">
        <f aca="false">Y68*Annahmen!$B$146</f>
        <v>0</v>
      </c>
      <c r="AA68" s="24" t="n">
        <f aca="false">T68-U68-V68-W68-Z68</f>
        <v>1925.49420825762</v>
      </c>
      <c r="AB68" s="24" t="n">
        <f aca="false">AB67+AA68</f>
        <v>31397.3072374933</v>
      </c>
      <c r="AC68" s="7" t="n">
        <f aca="false">IF(AA68&gt;0,1,0)</f>
        <v>1</v>
      </c>
      <c r="AD68" s="7" t="n">
        <f aca="false">IF(AB68&gt;=0,1,0)</f>
        <v>1</v>
      </c>
    </row>
    <row r="69" customFormat="false" ht="15" hidden="false" customHeight="false" outlineLevel="0" collapsed="false">
      <c r="A69" s="7" t="n">
        <v>23</v>
      </c>
      <c r="B69" s="7" t="s">
        <v>412</v>
      </c>
      <c r="C69" s="17" t="n">
        <f aca="false">IF($A69&gt;=Annahmen!$C$91,Annahmen!$C$92,0)</f>
        <v>0.7</v>
      </c>
      <c r="D69" s="17" t="n">
        <f aca="false">C69*Annahmen!$C$93</f>
        <v>0.21</v>
      </c>
      <c r="E69" s="24" t="n">
        <f aca="false">(C69-D69)*Annahmen!$B$105</f>
        <v>240.1</v>
      </c>
      <c r="F69" s="17" t="n">
        <f aca="false">IF($A69&gt;Annahmen!$B$95,INDEX($C$47:$C$70,$A69-Annahmen!$B$95)*Annahmen!$C$94,0)</f>
        <v>0.28</v>
      </c>
      <c r="G69" s="24" t="n">
        <f aca="false">F69*(Annahmen!$C$96*(Annahmen!$B$106+Annahmen!$B$107)-Annahmen!$B$105*(1-Annahmen!$C$93))</f>
        <v>658.56</v>
      </c>
      <c r="H69" s="17" t="n">
        <f aca="false">IF($A69&gt;=Annahmen!$C$91,Annahmen!$C$97,0)</f>
        <v>1</v>
      </c>
      <c r="I69" s="24" t="n">
        <f aca="false">H69*(Annahmen!$B$106+Annahmen!$C$98*Annahmen!$B$107)</f>
        <v>344</v>
      </c>
      <c r="J69" s="17" t="n">
        <f aca="false">IF($A69&gt;=Annahmen!$C$91,Annahmen!$C$99,0)</f>
        <v>0.5</v>
      </c>
      <c r="K69" s="24" t="n">
        <f aca="false">J69*(Annahmen!$B$108+Annahmen!$B$100*Annahmen!$B$111)</f>
        <v>127.258064516129</v>
      </c>
      <c r="L69" s="17" t="n">
        <f aca="false">IF($A69&gt;=Annahmen!$C$91,Annahmen!$C$101,0)</f>
        <v>5</v>
      </c>
      <c r="M69" s="24" t="n">
        <f aca="false">L69*Annahmen!$B$112</f>
        <v>445</v>
      </c>
      <c r="N69" s="15" t="n">
        <f aca="false">IF($A69&gt;=Annahmen!$C$91,Annahmen!$C$102,0)</f>
        <v>50</v>
      </c>
      <c r="O69" s="24" t="n">
        <f aca="false">N69*Annahmen!$B$113</f>
        <v>300</v>
      </c>
      <c r="P69" s="15" t="n">
        <f aca="false">IF($A69&gt;=Annahmen!$C$91,Annahmen!$C$103,0)</f>
        <v>0</v>
      </c>
      <c r="Q69" s="24" t="n">
        <f aca="false">P69*Annahmen!$B$114</f>
        <v>0</v>
      </c>
      <c r="R69" s="17" t="n">
        <f aca="false">IF($A69&gt;=Annahmen!$C$91,Annahmen!$C$104,0)</f>
        <v>1</v>
      </c>
      <c r="S69" s="24" t="n">
        <f aca="false">R69*Annahmen!$B$115</f>
        <v>49</v>
      </c>
      <c r="T69" s="24" t="n">
        <f aca="false">E69+G69+I69+K69+M69+O69+Q69+S69</f>
        <v>2163.91806451613</v>
      </c>
      <c r="U69" s="24" t="n">
        <f aca="false">C69*Annahmen!$B$52+F69*Annahmen!$C$96*Annahmen!$B$48+H69*(Annahmen!$B$46+Annahmen!$C$98*(Annahmen!$B$48-Annahmen!$B$46))+J69*Annahmen!$B$49+L69*Annahmen!$B$50+(N69+P69)*Annahmen!$B$51</f>
        <v>37.5962854553319</v>
      </c>
      <c r="V69" s="24" t="n">
        <f aca="false">SUMPRODUCT((((Annahmen!$C$161:$C$174="monatlich")*(Annahmen!$D$161:$D$174&lt;=$A69))+((Annahmen!$C$161:$C$174="einmalig")*(Annahmen!$D$161:$D$174=$A69)))*Annahmen!$B$161:$B$174*Annahmen!$F$161:$F$174)</f>
        <v>50.8275708031806</v>
      </c>
      <c r="W69" s="24" t="n">
        <f aca="false">Annahmen!$C$144</f>
        <v>150</v>
      </c>
      <c r="X69" s="17" t="n">
        <f aca="false">C69+F69*Annahmen!$C$96+H69+J69+L69/Annahmen!$B$47+(N69+P69)/(Annahmen!$B$24/Annahmen!$B$25)</f>
        <v>4.3375</v>
      </c>
      <c r="Y69" s="36" t="n">
        <f aca="false">MAX(0,(X69-Annahmen!$B$149)/Annahmen!$B$150)</f>
        <v>0</v>
      </c>
      <c r="Z69" s="24" t="n">
        <f aca="false">Y69*Annahmen!$B$146</f>
        <v>0</v>
      </c>
      <c r="AA69" s="24" t="n">
        <f aca="false">T69-U69-V69-W69-Z69</f>
        <v>1925.49420825762</v>
      </c>
      <c r="AB69" s="24" t="n">
        <f aca="false">AB68+AA69</f>
        <v>33322.8014457509</v>
      </c>
      <c r="AC69" s="7" t="n">
        <f aca="false">IF(AA69&gt;0,1,0)</f>
        <v>1</v>
      </c>
      <c r="AD69" s="7" t="n">
        <f aca="false">IF(AB69&gt;=0,1,0)</f>
        <v>1</v>
      </c>
    </row>
    <row r="70" customFormat="false" ht="15" hidden="false" customHeight="false" outlineLevel="0" collapsed="false">
      <c r="A70" s="7" t="n">
        <v>24</v>
      </c>
      <c r="B70" s="7" t="s">
        <v>413</v>
      </c>
      <c r="C70" s="17" t="n">
        <f aca="false">IF($A70&gt;=Annahmen!$C$91,Annahmen!$C$92,0)</f>
        <v>0.7</v>
      </c>
      <c r="D70" s="17" t="n">
        <f aca="false">C70*Annahmen!$C$93</f>
        <v>0.21</v>
      </c>
      <c r="E70" s="24" t="n">
        <f aca="false">(C70-D70)*Annahmen!$B$105</f>
        <v>240.1</v>
      </c>
      <c r="F70" s="17" t="n">
        <f aca="false">IF($A70&gt;Annahmen!$B$95,INDEX($C$47:$C$70,$A70-Annahmen!$B$95)*Annahmen!$C$94,0)</f>
        <v>0.28</v>
      </c>
      <c r="G70" s="24" t="n">
        <f aca="false">F70*(Annahmen!$C$96*(Annahmen!$B$106+Annahmen!$B$107)-Annahmen!$B$105*(1-Annahmen!$C$93))</f>
        <v>658.56</v>
      </c>
      <c r="H70" s="17" t="n">
        <f aca="false">IF($A70&gt;=Annahmen!$C$91,Annahmen!$C$97,0)</f>
        <v>1</v>
      </c>
      <c r="I70" s="24" t="n">
        <f aca="false">H70*(Annahmen!$B$106+Annahmen!$C$98*Annahmen!$B$107)</f>
        <v>344</v>
      </c>
      <c r="J70" s="17" t="n">
        <f aca="false">IF($A70&gt;=Annahmen!$C$91,Annahmen!$C$99,0)</f>
        <v>0.5</v>
      </c>
      <c r="K70" s="24" t="n">
        <f aca="false">J70*(Annahmen!$B$108+Annahmen!$B$100*Annahmen!$B$111)</f>
        <v>127.258064516129</v>
      </c>
      <c r="L70" s="17" t="n">
        <f aca="false">IF($A70&gt;=Annahmen!$C$91,Annahmen!$C$101,0)</f>
        <v>5</v>
      </c>
      <c r="M70" s="24" t="n">
        <f aca="false">L70*Annahmen!$B$112</f>
        <v>445</v>
      </c>
      <c r="N70" s="15" t="n">
        <f aca="false">IF($A70&gt;=Annahmen!$C$91,Annahmen!$C$102,0)</f>
        <v>50</v>
      </c>
      <c r="O70" s="24" t="n">
        <f aca="false">N70*Annahmen!$B$113</f>
        <v>300</v>
      </c>
      <c r="P70" s="15" t="n">
        <f aca="false">IF($A70&gt;=Annahmen!$C$91,Annahmen!$C$103,0)</f>
        <v>0</v>
      </c>
      <c r="Q70" s="24" t="n">
        <f aca="false">P70*Annahmen!$B$114</f>
        <v>0</v>
      </c>
      <c r="R70" s="17" t="n">
        <f aca="false">IF($A70&gt;=Annahmen!$C$91,Annahmen!$C$104,0)</f>
        <v>1</v>
      </c>
      <c r="S70" s="24" t="n">
        <f aca="false">R70*Annahmen!$B$115</f>
        <v>49</v>
      </c>
      <c r="T70" s="24" t="n">
        <f aca="false">E70+G70+I70+K70+M70+O70+Q70+S70</f>
        <v>2163.91806451613</v>
      </c>
      <c r="U70" s="24" t="n">
        <f aca="false">C70*Annahmen!$B$52+F70*Annahmen!$C$96*Annahmen!$B$48+H70*(Annahmen!$B$46+Annahmen!$C$98*(Annahmen!$B$48-Annahmen!$B$46))+J70*Annahmen!$B$49+L70*Annahmen!$B$50+(N70+P70)*Annahmen!$B$51</f>
        <v>37.5962854553319</v>
      </c>
      <c r="V70" s="24" t="n">
        <f aca="false">SUMPRODUCT((((Annahmen!$C$161:$C$174="monatlich")*(Annahmen!$D$161:$D$174&lt;=$A70))+((Annahmen!$C$161:$C$174="einmalig")*(Annahmen!$D$161:$D$174=$A70)))*Annahmen!$B$161:$B$174*Annahmen!$F$161:$F$174)</f>
        <v>50.8275708031806</v>
      </c>
      <c r="W70" s="24" t="n">
        <f aca="false">Annahmen!$C$144</f>
        <v>150</v>
      </c>
      <c r="X70" s="17" t="n">
        <f aca="false">C70+F70*Annahmen!$C$96+H70+J70+L70/Annahmen!$B$47+(N70+P70)/(Annahmen!$B$24/Annahmen!$B$25)</f>
        <v>4.3375</v>
      </c>
      <c r="Y70" s="36" t="n">
        <f aca="false">MAX(0,(X70-Annahmen!$B$149)/Annahmen!$B$150)</f>
        <v>0</v>
      </c>
      <c r="Z70" s="24" t="n">
        <f aca="false">Y70*Annahmen!$B$146</f>
        <v>0</v>
      </c>
      <c r="AA70" s="24" t="n">
        <f aca="false">T70-U70-V70-W70-Z70</f>
        <v>1925.49420825762</v>
      </c>
      <c r="AB70" s="24" t="n">
        <f aca="false">AB69+AA70</f>
        <v>35248.2956540085</v>
      </c>
      <c r="AC70" s="7" t="n">
        <f aca="false">IF(AA70&gt;0,1,0)</f>
        <v>1</v>
      </c>
      <c r="AD70" s="7" t="n">
        <f aca="false">IF(AB70&gt;=0,1,0)</f>
        <v>1</v>
      </c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5" hidden="false" customHeight="false" outlineLevel="0" collapsed="false">
      <c r="A74" s="5" t="str">
        <f aca="false">"Szenario stark – "&amp;Annahmen!$D$142</f>
        <v>Szenario stark – skalierbares Business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2"/>
      <c r="AD74" s="2"/>
    </row>
    <row r="75" customFormat="false" ht="42" hidden="false" customHeight="true" outlineLevel="0" collapsed="false">
      <c r="A75" s="35" t="s">
        <v>99</v>
      </c>
      <c r="B75" s="35" t="s">
        <v>359</v>
      </c>
      <c r="C75" s="35" t="s">
        <v>424</v>
      </c>
      <c r="D75" s="35" t="s">
        <v>425</v>
      </c>
      <c r="E75" s="35" t="s">
        <v>426</v>
      </c>
      <c r="F75" s="35" t="s">
        <v>427</v>
      </c>
      <c r="G75" s="35" t="s">
        <v>428</v>
      </c>
      <c r="H75" s="35" t="s">
        <v>429</v>
      </c>
      <c r="I75" s="35" t="s">
        <v>430</v>
      </c>
      <c r="J75" s="35" t="s">
        <v>431</v>
      </c>
      <c r="K75" s="35" t="s">
        <v>432</v>
      </c>
      <c r="L75" s="35" t="s">
        <v>433</v>
      </c>
      <c r="M75" s="35" t="s">
        <v>434</v>
      </c>
      <c r="N75" s="35" t="s">
        <v>435</v>
      </c>
      <c r="O75" s="35" t="s">
        <v>436</v>
      </c>
      <c r="P75" s="35" t="s">
        <v>437</v>
      </c>
      <c r="Q75" s="35" t="s">
        <v>438</v>
      </c>
      <c r="R75" s="35" t="s">
        <v>439</v>
      </c>
      <c r="S75" s="35" t="s">
        <v>440</v>
      </c>
      <c r="T75" s="35" t="s">
        <v>441</v>
      </c>
      <c r="U75" s="35" t="s">
        <v>442</v>
      </c>
      <c r="V75" s="35" t="s">
        <v>378</v>
      </c>
      <c r="W75" s="35" t="s">
        <v>379</v>
      </c>
      <c r="X75" s="35" t="s">
        <v>443</v>
      </c>
      <c r="Y75" s="35" t="s">
        <v>380</v>
      </c>
      <c r="Z75" s="35" t="s">
        <v>381</v>
      </c>
      <c r="AA75" s="35" t="s">
        <v>382</v>
      </c>
      <c r="AB75" s="35" t="s">
        <v>383</v>
      </c>
      <c r="AC75" s="35" t="s">
        <v>388</v>
      </c>
      <c r="AD75" s="35" t="s">
        <v>389</v>
      </c>
    </row>
    <row r="76" customFormat="false" ht="15" hidden="false" customHeight="false" outlineLevel="0" collapsed="false">
      <c r="A76" s="7" t="n">
        <v>1</v>
      </c>
      <c r="B76" s="7" t="s">
        <v>390</v>
      </c>
      <c r="C76" s="17" t="n">
        <f aca="false">IF($A76&gt;=Annahmen!$D$91,Annahmen!$D$92,0)</f>
        <v>0</v>
      </c>
      <c r="D76" s="17" t="n">
        <f aca="false">C76*Annahmen!$D$93</f>
        <v>0</v>
      </c>
      <c r="E76" s="24" t="n">
        <f aca="false">(C76-D76)*Annahmen!$B$105</f>
        <v>0</v>
      </c>
      <c r="F76" s="17" t="n">
        <f aca="false">IF($A76&gt;Annahmen!$B$95,INDEX($C$76:$C$99,$A76-Annahmen!$B$95)*Annahmen!$D$94,0)</f>
        <v>0</v>
      </c>
      <c r="G76" s="24" t="n">
        <f aca="false">F76*(Annahmen!$D$96*(Annahmen!$B$106+Annahmen!$B$107)-Annahmen!$B$105*(1-Annahmen!$D$93))</f>
        <v>0</v>
      </c>
      <c r="H76" s="17" t="n">
        <f aca="false">IF($A76&gt;=Annahmen!$D$91,Annahmen!$D$97,0)</f>
        <v>0</v>
      </c>
      <c r="I76" s="24" t="n">
        <f aca="false">H76*(Annahmen!$B$106+Annahmen!$D$98*Annahmen!$B$107)</f>
        <v>0</v>
      </c>
      <c r="J76" s="17" t="n">
        <f aca="false">IF($A76&gt;=Annahmen!$D$91,Annahmen!$D$99,0)</f>
        <v>0</v>
      </c>
      <c r="K76" s="24" t="n">
        <f aca="false">J76*(Annahmen!$B$108+Annahmen!$B$100*Annahmen!$B$111)</f>
        <v>0</v>
      </c>
      <c r="L76" s="17" t="n">
        <f aca="false">IF($A76&gt;=Annahmen!$D$91,Annahmen!$D$101,0)</f>
        <v>0</v>
      </c>
      <c r="M76" s="24" t="n">
        <f aca="false">L76*Annahmen!$B$112</f>
        <v>0</v>
      </c>
      <c r="N76" s="15" t="n">
        <f aca="false">IF($A76&gt;=Annahmen!$D$91,Annahmen!$D$102,0)</f>
        <v>0</v>
      </c>
      <c r="O76" s="24" t="n">
        <f aca="false">N76*Annahmen!$B$113</f>
        <v>0</v>
      </c>
      <c r="P76" s="15" t="n">
        <f aca="false">IF($A76&gt;=Annahmen!$D$91,Annahmen!$D$103,0)</f>
        <v>0</v>
      </c>
      <c r="Q76" s="24" t="n">
        <f aca="false">P76*Annahmen!$B$114</f>
        <v>0</v>
      </c>
      <c r="R76" s="17" t="n">
        <f aca="false">IF($A76&gt;=Annahmen!$D$91,Annahmen!$D$104,0)</f>
        <v>0</v>
      </c>
      <c r="S76" s="24" t="n">
        <f aca="false">R76*Annahmen!$B$115</f>
        <v>0</v>
      </c>
      <c r="T76" s="24" t="n">
        <f aca="false">E76+G76+I76+K76+M76+O76+Q76+S76</f>
        <v>0</v>
      </c>
      <c r="U76" s="24" t="n">
        <f aca="false">C76*Annahmen!$B$52+F76*Annahmen!$D$96*Annahmen!$B$48+H76*(Annahmen!$B$46+Annahmen!$D$98*(Annahmen!$B$48-Annahmen!$B$46))+J76*Annahmen!$B$49+L76*Annahmen!$B$50+(N76+P76)*Annahmen!$B$51</f>
        <v>0</v>
      </c>
      <c r="V76" s="24" t="n">
        <f aca="false">SUMPRODUCT((((Annahmen!$C$161:$C$174="monatlich")*(Annahmen!$D$161:$D$174&lt;=$A76))+((Annahmen!$C$161:$C$174="einmalig")*(Annahmen!$D$161:$D$174=$A76)))*Annahmen!$B$161:$B$174*Annahmen!$F$161:$F$174)</f>
        <v>1856.16889953485</v>
      </c>
      <c r="W76" s="24" t="n">
        <f aca="false">Annahmen!$D$144</f>
        <v>400</v>
      </c>
      <c r="X76" s="17" t="n">
        <f aca="false">C76+F76*Annahmen!$D$96+H76+J76+L76/Annahmen!$B$47+(N76+P76)/(Annahmen!$B$24/Annahmen!$B$25)</f>
        <v>0</v>
      </c>
      <c r="Y76" s="36" t="n">
        <f aca="false">MAX(0,(X76-Annahmen!$B$149)/Annahmen!$B$150)</f>
        <v>0</v>
      </c>
      <c r="Z76" s="24" t="n">
        <f aca="false">Y76*Annahmen!$B$146</f>
        <v>0</v>
      </c>
      <c r="AA76" s="24" t="n">
        <f aca="false">T76-U76-V76-W76-Z76</f>
        <v>-2256.16889953485</v>
      </c>
      <c r="AB76" s="24" t="n">
        <f aca="false">AA76</f>
        <v>-2256.16889953485</v>
      </c>
      <c r="AC76" s="7" t="n">
        <f aca="false">IF(AA76&gt;0,1,0)</f>
        <v>0</v>
      </c>
      <c r="AD76" s="7" t="n">
        <f aca="false">IF(AB76&gt;=0,1,0)</f>
        <v>0</v>
      </c>
    </row>
    <row r="77" customFormat="false" ht="15" hidden="false" customHeight="false" outlineLevel="0" collapsed="false">
      <c r="A77" s="7" t="n">
        <v>2</v>
      </c>
      <c r="B77" s="7" t="s">
        <v>391</v>
      </c>
      <c r="C77" s="17" t="n">
        <f aca="false">IF($A77&gt;=Annahmen!$D$91,Annahmen!$D$92,0)</f>
        <v>0</v>
      </c>
      <c r="D77" s="17" t="n">
        <f aca="false">C77*Annahmen!$D$93</f>
        <v>0</v>
      </c>
      <c r="E77" s="24" t="n">
        <f aca="false">(C77-D77)*Annahmen!$B$105</f>
        <v>0</v>
      </c>
      <c r="F77" s="17" t="n">
        <f aca="false">IF($A77&gt;Annahmen!$B$95,INDEX($C$76:$C$99,$A77-Annahmen!$B$95)*Annahmen!$D$94,0)</f>
        <v>0</v>
      </c>
      <c r="G77" s="24" t="n">
        <f aca="false">F77*(Annahmen!$D$96*(Annahmen!$B$106+Annahmen!$B$107)-Annahmen!$B$105*(1-Annahmen!$D$93))</f>
        <v>0</v>
      </c>
      <c r="H77" s="17" t="n">
        <f aca="false">IF($A77&gt;=Annahmen!$D$91,Annahmen!$D$97,0)</f>
        <v>0</v>
      </c>
      <c r="I77" s="24" t="n">
        <f aca="false">H77*(Annahmen!$B$106+Annahmen!$D$98*Annahmen!$B$107)</f>
        <v>0</v>
      </c>
      <c r="J77" s="17" t="n">
        <f aca="false">IF($A77&gt;=Annahmen!$D$91,Annahmen!$D$99,0)</f>
        <v>0</v>
      </c>
      <c r="K77" s="24" t="n">
        <f aca="false">J77*(Annahmen!$B$108+Annahmen!$B$100*Annahmen!$B$111)</f>
        <v>0</v>
      </c>
      <c r="L77" s="17" t="n">
        <f aca="false">IF($A77&gt;=Annahmen!$D$91,Annahmen!$D$101,0)</f>
        <v>0</v>
      </c>
      <c r="M77" s="24" t="n">
        <f aca="false">L77*Annahmen!$B$112</f>
        <v>0</v>
      </c>
      <c r="N77" s="15" t="n">
        <f aca="false">IF($A77&gt;=Annahmen!$D$91,Annahmen!$D$102,0)</f>
        <v>0</v>
      </c>
      <c r="O77" s="24" t="n">
        <f aca="false">N77*Annahmen!$B$113</f>
        <v>0</v>
      </c>
      <c r="P77" s="15" t="n">
        <f aca="false">IF($A77&gt;=Annahmen!$D$91,Annahmen!$D$103,0)</f>
        <v>0</v>
      </c>
      <c r="Q77" s="24" t="n">
        <f aca="false">P77*Annahmen!$B$114</f>
        <v>0</v>
      </c>
      <c r="R77" s="17" t="n">
        <f aca="false">IF($A77&gt;=Annahmen!$D$91,Annahmen!$D$104,0)</f>
        <v>0</v>
      </c>
      <c r="S77" s="24" t="n">
        <f aca="false">R77*Annahmen!$B$115</f>
        <v>0</v>
      </c>
      <c r="T77" s="24" t="n">
        <f aca="false">E77+G77+I77+K77+M77+O77+Q77+S77</f>
        <v>0</v>
      </c>
      <c r="U77" s="24" t="n">
        <f aca="false">C77*Annahmen!$B$52+F77*Annahmen!$D$96*Annahmen!$B$48+H77*(Annahmen!$B$46+Annahmen!$D$98*(Annahmen!$B$48-Annahmen!$B$46))+J77*Annahmen!$B$49+L77*Annahmen!$B$50+(N77+P77)*Annahmen!$B$51</f>
        <v>0</v>
      </c>
      <c r="V77" s="24" t="n">
        <f aca="false">SUMPRODUCT((((Annahmen!$C$161:$C$174="monatlich")*(Annahmen!$D$161:$D$174&lt;=$A77))+((Annahmen!$C$161:$C$174="einmalig")*(Annahmen!$D$161:$D$174=$A77)))*Annahmen!$B$161:$B$174*Annahmen!$F$161:$F$174)</f>
        <v>50.8275708031806</v>
      </c>
      <c r="W77" s="24" t="n">
        <f aca="false">Annahmen!$D$144</f>
        <v>400</v>
      </c>
      <c r="X77" s="17" t="n">
        <f aca="false">C77+F77*Annahmen!$D$96+H77+J77+L77/Annahmen!$B$47+(N77+P77)/(Annahmen!$B$24/Annahmen!$B$25)</f>
        <v>0</v>
      </c>
      <c r="Y77" s="36" t="n">
        <f aca="false">MAX(0,(X77-Annahmen!$B$149)/Annahmen!$B$150)</f>
        <v>0</v>
      </c>
      <c r="Z77" s="24" t="n">
        <f aca="false">Y77*Annahmen!$B$146</f>
        <v>0</v>
      </c>
      <c r="AA77" s="24" t="n">
        <f aca="false">T77-U77-V77-W77-Z77</f>
        <v>-450.827570803181</v>
      </c>
      <c r="AB77" s="24" t="n">
        <f aca="false">AB76+AA77</f>
        <v>-2706.99647033803</v>
      </c>
      <c r="AC77" s="7" t="n">
        <f aca="false">IF(AA77&gt;0,1,0)</f>
        <v>0</v>
      </c>
      <c r="AD77" s="7" t="n">
        <f aca="false">IF(AB77&gt;=0,1,0)</f>
        <v>0</v>
      </c>
    </row>
    <row r="78" customFormat="false" ht="15" hidden="false" customHeight="false" outlineLevel="0" collapsed="false">
      <c r="A78" s="7" t="n">
        <v>3</v>
      </c>
      <c r="B78" s="7" t="s">
        <v>392</v>
      </c>
      <c r="C78" s="17" t="n">
        <f aca="false">IF($A78&gt;=Annahmen!$D$91,Annahmen!$D$92,0)</f>
        <v>1.5</v>
      </c>
      <c r="D78" s="17" t="n">
        <f aca="false">C78*Annahmen!$D$93</f>
        <v>0.3</v>
      </c>
      <c r="E78" s="24" t="n">
        <f aca="false">(C78-D78)*Annahmen!$B$105</f>
        <v>588</v>
      </c>
      <c r="F78" s="17" t="n">
        <f aca="false">IF($A78&gt;Annahmen!$B$95,INDEX($C$76:$C$99,$A78-Annahmen!$B$95)*Annahmen!$D$94,0)</f>
        <v>0</v>
      </c>
      <c r="G78" s="24" t="n">
        <f aca="false">F78*(Annahmen!$D$96*(Annahmen!$B$106+Annahmen!$B$107)-Annahmen!$B$105*(1-Annahmen!$D$93))</f>
        <v>0</v>
      </c>
      <c r="H78" s="17" t="n">
        <f aca="false">IF($A78&gt;=Annahmen!$D$91,Annahmen!$D$97,0)</f>
        <v>3</v>
      </c>
      <c r="I78" s="24" t="n">
        <f aca="false">H78*(Annahmen!$B$106+Annahmen!$D$98*Annahmen!$B$107)</f>
        <v>1149</v>
      </c>
      <c r="J78" s="17" t="n">
        <f aca="false">IF($A78&gt;=Annahmen!$D$91,Annahmen!$D$99,0)</f>
        <v>2</v>
      </c>
      <c r="K78" s="24" t="n">
        <f aca="false">J78*(Annahmen!$B$108+Annahmen!$B$100*Annahmen!$B$111)</f>
        <v>509.032258064516</v>
      </c>
      <c r="L78" s="17" t="n">
        <f aca="false">IF($A78&gt;=Annahmen!$D$91,Annahmen!$D$101,0)</f>
        <v>20</v>
      </c>
      <c r="M78" s="24" t="n">
        <f aca="false">L78*Annahmen!$B$112</f>
        <v>1780</v>
      </c>
      <c r="N78" s="15" t="n">
        <f aca="false">IF($A78&gt;=Annahmen!$D$91,Annahmen!$D$102,0)</f>
        <v>300</v>
      </c>
      <c r="O78" s="24" t="n">
        <f aca="false">N78*Annahmen!$B$113</f>
        <v>1800</v>
      </c>
      <c r="P78" s="15" t="n">
        <f aca="false">IF($A78&gt;=Annahmen!$D$91,Annahmen!$D$103,0)</f>
        <v>100</v>
      </c>
      <c r="Q78" s="24" t="n">
        <f aca="false">P78*Annahmen!$B$114</f>
        <v>400</v>
      </c>
      <c r="R78" s="17" t="n">
        <f aca="false">IF($A78&gt;=Annahmen!$D$91,Annahmen!$D$104,0)</f>
        <v>4</v>
      </c>
      <c r="S78" s="24" t="n">
        <f aca="false">R78*Annahmen!$B$115</f>
        <v>196</v>
      </c>
      <c r="T78" s="24" t="n">
        <f aca="false">E78+G78+I78+K78+M78+O78+Q78+S78</f>
        <v>6422.03225806452</v>
      </c>
      <c r="U78" s="24" t="n">
        <f aca="false">C78*Annahmen!$B$52+F78*Annahmen!$D$96*Annahmen!$B$48+H78*(Annahmen!$B$46+Annahmen!$D$98*(Annahmen!$B$48-Annahmen!$B$46))+J78*Annahmen!$B$49+L78*Annahmen!$B$50+(N78+P78)*Annahmen!$B$51</f>
        <v>82.8355446408555</v>
      </c>
      <c r="V78" s="24" t="n">
        <f aca="false">SUMPRODUCT((((Annahmen!$C$161:$C$174="monatlich")*(Annahmen!$D$161:$D$174&lt;=$A78))+((Annahmen!$C$161:$C$174="einmalig")*(Annahmen!$D$161:$D$174=$A78)))*Annahmen!$B$161:$B$174*Annahmen!$F$161:$F$174)</f>
        <v>330.827570803181</v>
      </c>
      <c r="W78" s="24" t="n">
        <f aca="false">Annahmen!$D$144</f>
        <v>400</v>
      </c>
      <c r="X78" s="17" t="n">
        <f aca="false">C78+F78*Annahmen!$D$96+H78+J78+L78/Annahmen!$B$47+(N78+P78)/(Annahmen!$B$24/Annahmen!$B$25)</f>
        <v>10.075</v>
      </c>
      <c r="Y78" s="36" t="n">
        <f aca="false">MAX(0,(X78-Annahmen!$B$149)/Annahmen!$B$150)</f>
        <v>0.138333333333333</v>
      </c>
      <c r="Z78" s="24" t="n">
        <f aca="false">Y78*Annahmen!$B$146</f>
        <v>622.5</v>
      </c>
      <c r="AA78" s="24" t="n">
        <f aca="false">T78-U78-V78-W78-Z78</f>
        <v>4985.86914262048</v>
      </c>
      <c r="AB78" s="24" t="n">
        <f aca="false">AB77+AA78</f>
        <v>2278.87267228245</v>
      </c>
      <c r="AC78" s="7" t="n">
        <f aca="false">IF(AA78&gt;0,1,0)</f>
        <v>1</v>
      </c>
      <c r="AD78" s="7" t="n">
        <f aca="false">IF(AB78&gt;=0,1,0)</f>
        <v>1</v>
      </c>
    </row>
    <row r="79" customFormat="false" ht="15" hidden="false" customHeight="false" outlineLevel="0" collapsed="false">
      <c r="A79" s="7" t="n">
        <v>4</v>
      </c>
      <c r="B79" s="7" t="s">
        <v>393</v>
      </c>
      <c r="C79" s="17" t="n">
        <f aca="false">IF($A79&gt;=Annahmen!$D$91,Annahmen!$D$92,0)</f>
        <v>1.5</v>
      </c>
      <c r="D79" s="17" t="n">
        <f aca="false">C79*Annahmen!$D$93</f>
        <v>0.3</v>
      </c>
      <c r="E79" s="24" t="n">
        <f aca="false">(C79-D79)*Annahmen!$B$105</f>
        <v>588</v>
      </c>
      <c r="F79" s="17" t="n">
        <f aca="false">IF($A79&gt;Annahmen!$B$95,INDEX($C$76:$C$99,$A79-Annahmen!$B$95)*Annahmen!$D$94,0)</f>
        <v>0</v>
      </c>
      <c r="G79" s="24" t="n">
        <f aca="false">F79*(Annahmen!$D$96*(Annahmen!$B$106+Annahmen!$B$107)-Annahmen!$B$105*(1-Annahmen!$D$93))</f>
        <v>0</v>
      </c>
      <c r="H79" s="17" t="n">
        <f aca="false">IF($A79&gt;=Annahmen!$D$91,Annahmen!$D$97,0)</f>
        <v>3</v>
      </c>
      <c r="I79" s="24" t="n">
        <f aca="false">H79*(Annahmen!$B$106+Annahmen!$D$98*Annahmen!$B$107)</f>
        <v>1149</v>
      </c>
      <c r="J79" s="17" t="n">
        <f aca="false">IF($A79&gt;=Annahmen!$D$91,Annahmen!$D$99,0)</f>
        <v>2</v>
      </c>
      <c r="K79" s="24" t="n">
        <f aca="false">J79*(Annahmen!$B$108+Annahmen!$B$100*Annahmen!$B$111)</f>
        <v>509.032258064516</v>
      </c>
      <c r="L79" s="17" t="n">
        <f aca="false">IF($A79&gt;=Annahmen!$D$91,Annahmen!$D$101,0)</f>
        <v>20</v>
      </c>
      <c r="M79" s="24" t="n">
        <f aca="false">L79*Annahmen!$B$112</f>
        <v>1780</v>
      </c>
      <c r="N79" s="15" t="n">
        <f aca="false">IF($A79&gt;=Annahmen!$D$91,Annahmen!$D$102,0)</f>
        <v>300</v>
      </c>
      <c r="O79" s="24" t="n">
        <f aca="false">N79*Annahmen!$B$113</f>
        <v>1800</v>
      </c>
      <c r="P79" s="15" t="n">
        <f aca="false">IF($A79&gt;=Annahmen!$D$91,Annahmen!$D$103,0)</f>
        <v>100</v>
      </c>
      <c r="Q79" s="24" t="n">
        <f aca="false">P79*Annahmen!$B$114</f>
        <v>400</v>
      </c>
      <c r="R79" s="17" t="n">
        <f aca="false">IF($A79&gt;=Annahmen!$D$91,Annahmen!$D$104,0)</f>
        <v>4</v>
      </c>
      <c r="S79" s="24" t="n">
        <f aca="false">R79*Annahmen!$B$115</f>
        <v>196</v>
      </c>
      <c r="T79" s="24" t="n">
        <f aca="false">E79+G79+I79+K79+M79+O79+Q79+S79</f>
        <v>6422.03225806452</v>
      </c>
      <c r="U79" s="24" t="n">
        <f aca="false">C79*Annahmen!$B$52+F79*Annahmen!$D$96*Annahmen!$B$48+H79*(Annahmen!$B$46+Annahmen!$D$98*(Annahmen!$B$48-Annahmen!$B$46))+J79*Annahmen!$B$49+L79*Annahmen!$B$50+(N79+P79)*Annahmen!$B$51</f>
        <v>82.8355446408555</v>
      </c>
      <c r="V79" s="24" t="n">
        <f aca="false">SUMPRODUCT((((Annahmen!$C$161:$C$174="monatlich")*(Annahmen!$D$161:$D$174&lt;=$A79))+((Annahmen!$C$161:$C$174="einmalig")*(Annahmen!$D$161:$D$174=$A79)))*Annahmen!$B$161:$B$174*Annahmen!$F$161:$F$174)</f>
        <v>50.8275708031806</v>
      </c>
      <c r="W79" s="24" t="n">
        <f aca="false">Annahmen!$D$144</f>
        <v>400</v>
      </c>
      <c r="X79" s="17" t="n">
        <f aca="false">C79+F79*Annahmen!$D$96+H79+J79+L79/Annahmen!$B$47+(N79+P79)/(Annahmen!$B$24/Annahmen!$B$25)</f>
        <v>10.075</v>
      </c>
      <c r="Y79" s="36" t="n">
        <f aca="false">MAX(0,(X79-Annahmen!$B$149)/Annahmen!$B$150)</f>
        <v>0.138333333333333</v>
      </c>
      <c r="Z79" s="24" t="n">
        <f aca="false">Y79*Annahmen!$B$146</f>
        <v>622.5</v>
      </c>
      <c r="AA79" s="24" t="n">
        <f aca="false">T79-U79-V79-W79-Z79</f>
        <v>5265.86914262048</v>
      </c>
      <c r="AB79" s="24" t="n">
        <f aca="false">AB78+AA79</f>
        <v>7544.74181490293</v>
      </c>
      <c r="AC79" s="7" t="n">
        <f aca="false">IF(AA79&gt;0,1,0)</f>
        <v>1</v>
      </c>
      <c r="AD79" s="7" t="n">
        <f aca="false">IF(AB79&gt;=0,1,0)</f>
        <v>1</v>
      </c>
    </row>
    <row r="80" customFormat="false" ht="15" hidden="false" customHeight="false" outlineLevel="0" collapsed="false">
      <c r="A80" s="7" t="n">
        <v>5</v>
      </c>
      <c r="B80" s="7" t="s">
        <v>394</v>
      </c>
      <c r="C80" s="17" t="n">
        <f aca="false">IF($A80&gt;=Annahmen!$D$91,Annahmen!$D$92,0)</f>
        <v>1.5</v>
      </c>
      <c r="D80" s="17" t="n">
        <f aca="false">C80*Annahmen!$D$93</f>
        <v>0.3</v>
      </c>
      <c r="E80" s="24" t="n">
        <f aca="false">(C80-D80)*Annahmen!$B$105</f>
        <v>588</v>
      </c>
      <c r="F80" s="17" t="n">
        <f aca="false">IF($A80&gt;Annahmen!$B$95,INDEX($C$76:$C$99,$A80-Annahmen!$B$95)*Annahmen!$D$94,0)</f>
        <v>0</v>
      </c>
      <c r="G80" s="24" t="n">
        <f aca="false">F80*(Annahmen!$D$96*(Annahmen!$B$106+Annahmen!$B$107)-Annahmen!$B$105*(1-Annahmen!$D$93))</f>
        <v>0</v>
      </c>
      <c r="H80" s="17" t="n">
        <f aca="false">IF($A80&gt;=Annahmen!$D$91,Annahmen!$D$97,0)</f>
        <v>3</v>
      </c>
      <c r="I80" s="24" t="n">
        <f aca="false">H80*(Annahmen!$B$106+Annahmen!$D$98*Annahmen!$B$107)</f>
        <v>1149</v>
      </c>
      <c r="J80" s="17" t="n">
        <f aca="false">IF($A80&gt;=Annahmen!$D$91,Annahmen!$D$99,0)</f>
        <v>2</v>
      </c>
      <c r="K80" s="24" t="n">
        <f aca="false">J80*(Annahmen!$B$108+Annahmen!$B$100*Annahmen!$B$111)</f>
        <v>509.032258064516</v>
      </c>
      <c r="L80" s="17" t="n">
        <f aca="false">IF($A80&gt;=Annahmen!$D$91,Annahmen!$D$101,0)</f>
        <v>20</v>
      </c>
      <c r="M80" s="24" t="n">
        <f aca="false">L80*Annahmen!$B$112</f>
        <v>1780</v>
      </c>
      <c r="N80" s="15" t="n">
        <f aca="false">IF($A80&gt;=Annahmen!$D$91,Annahmen!$D$102,0)</f>
        <v>300</v>
      </c>
      <c r="O80" s="24" t="n">
        <f aca="false">N80*Annahmen!$B$113</f>
        <v>1800</v>
      </c>
      <c r="P80" s="15" t="n">
        <f aca="false">IF($A80&gt;=Annahmen!$D$91,Annahmen!$D$103,0)</f>
        <v>100</v>
      </c>
      <c r="Q80" s="24" t="n">
        <f aca="false">P80*Annahmen!$B$114</f>
        <v>400</v>
      </c>
      <c r="R80" s="17" t="n">
        <f aca="false">IF($A80&gt;=Annahmen!$D$91,Annahmen!$D$104,0)</f>
        <v>4</v>
      </c>
      <c r="S80" s="24" t="n">
        <f aca="false">R80*Annahmen!$B$115</f>
        <v>196</v>
      </c>
      <c r="T80" s="24" t="n">
        <f aca="false">E80+G80+I80+K80+M80+O80+Q80+S80</f>
        <v>6422.03225806452</v>
      </c>
      <c r="U80" s="24" t="n">
        <f aca="false">C80*Annahmen!$B$52+F80*Annahmen!$D$96*Annahmen!$B$48+H80*(Annahmen!$B$46+Annahmen!$D$98*(Annahmen!$B$48-Annahmen!$B$46))+J80*Annahmen!$B$49+L80*Annahmen!$B$50+(N80+P80)*Annahmen!$B$51</f>
        <v>82.8355446408555</v>
      </c>
      <c r="V80" s="24" t="n">
        <f aca="false">SUMPRODUCT((((Annahmen!$C$161:$C$174="monatlich")*(Annahmen!$D$161:$D$174&lt;=$A80))+((Annahmen!$C$161:$C$174="einmalig")*(Annahmen!$D$161:$D$174=$A80)))*Annahmen!$B$161:$B$174*Annahmen!$F$161:$F$174)</f>
        <v>610.827570803181</v>
      </c>
      <c r="W80" s="24" t="n">
        <f aca="false">Annahmen!$D$144</f>
        <v>400</v>
      </c>
      <c r="X80" s="17" t="n">
        <f aca="false">C80+F80*Annahmen!$D$96+H80+J80+L80/Annahmen!$B$47+(N80+P80)/(Annahmen!$B$24/Annahmen!$B$25)</f>
        <v>10.075</v>
      </c>
      <c r="Y80" s="36" t="n">
        <f aca="false">MAX(0,(X80-Annahmen!$B$149)/Annahmen!$B$150)</f>
        <v>0.138333333333333</v>
      </c>
      <c r="Z80" s="24" t="n">
        <f aca="false">Y80*Annahmen!$B$146</f>
        <v>622.5</v>
      </c>
      <c r="AA80" s="24" t="n">
        <f aca="false">T80-U80-V80-W80-Z80</f>
        <v>4705.86914262048</v>
      </c>
      <c r="AB80" s="24" t="n">
        <f aca="false">AB79+AA80</f>
        <v>12250.6109575234</v>
      </c>
      <c r="AC80" s="7" t="n">
        <f aca="false">IF(AA80&gt;0,1,0)</f>
        <v>1</v>
      </c>
      <c r="AD80" s="7" t="n">
        <f aca="false">IF(AB80&gt;=0,1,0)</f>
        <v>1</v>
      </c>
    </row>
    <row r="81" customFormat="false" ht="15" hidden="false" customHeight="false" outlineLevel="0" collapsed="false">
      <c r="A81" s="7" t="n">
        <v>6</v>
      </c>
      <c r="B81" s="7" t="s">
        <v>395</v>
      </c>
      <c r="C81" s="17" t="n">
        <f aca="false">IF($A81&gt;=Annahmen!$D$91,Annahmen!$D$92,0)</f>
        <v>1.5</v>
      </c>
      <c r="D81" s="17" t="n">
        <f aca="false">C81*Annahmen!$D$93</f>
        <v>0.3</v>
      </c>
      <c r="E81" s="24" t="n">
        <f aca="false">(C81-D81)*Annahmen!$B$105</f>
        <v>588</v>
      </c>
      <c r="F81" s="17" t="n">
        <f aca="false">IF($A81&gt;Annahmen!$B$95,INDEX($C$76:$C$99,$A81-Annahmen!$B$95)*Annahmen!$D$94,0)</f>
        <v>0.75</v>
      </c>
      <c r="G81" s="24" t="n">
        <f aca="false">F81*(Annahmen!$D$96*(Annahmen!$B$106+Annahmen!$B$107)-Annahmen!$B$105*(1-Annahmen!$D$93))</f>
        <v>2940</v>
      </c>
      <c r="H81" s="17" t="n">
        <f aca="false">IF($A81&gt;=Annahmen!$D$91,Annahmen!$D$97,0)</f>
        <v>3</v>
      </c>
      <c r="I81" s="24" t="n">
        <f aca="false">H81*(Annahmen!$B$106+Annahmen!$D$98*Annahmen!$B$107)</f>
        <v>1149</v>
      </c>
      <c r="J81" s="17" t="n">
        <f aca="false">IF($A81&gt;=Annahmen!$D$91,Annahmen!$D$99,0)</f>
        <v>2</v>
      </c>
      <c r="K81" s="24" t="n">
        <f aca="false">J81*(Annahmen!$B$108+Annahmen!$B$100*Annahmen!$B$111)</f>
        <v>509.032258064516</v>
      </c>
      <c r="L81" s="17" t="n">
        <f aca="false">IF($A81&gt;=Annahmen!$D$91,Annahmen!$D$101,0)</f>
        <v>20</v>
      </c>
      <c r="M81" s="24" t="n">
        <f aca="false">L81*Annahmen!$B$112</f>
        <v>1780</v>
      </c>
      <c r="N81" s="15" t="n">
        <f aca="false">IF($A81&gt;=Annahmen!$D$91,Annahmen!$D$102,0)</f>
        <v>300</v>
      </c>
      <c r="O81" s="24" t="n">
        <f aca="false">N81*Annahmen!$B$113</f>
        <v>1800</v>
      </c>
      <c r="P81" s="15" t="n">
        <f aca="false">IF($A81&gt;=Annahmen!$D$91,Annahmen!$D$103,0)</f>
        <v>100</v>
      </c>
      <c r="Q81" s="24" t="n">
        <f aca="false">P81*Annahmen!$B$114</f>
        <v>400</v>
      </c>
      <c r="R81" s="17" t="n">
        <f aca="false">IF($A81&gt;=Annahmen!$D$91,Annahmen!$D$104,0)</f>
        <v>4</v>
      </c>
      <c r="S81" s="24" t="n">
        <f aca="false">R81*Annahmen!$B$115</f>
        <v>196</v>
      </c>
      <c r="T81" s="24" t="n">
        <f aca="false">E81+G81+I81+K81+M81+O81+Q81+S81</f>
        <v>9362.03225806452</v>
      </c>
      <c r="U81" s="24" t="n">
        <f aca="false">C81*Annahmen!$B$52+F81*Annahmen!$D$96*Annahmen!$B$48+H81*(Annahmen!$B$46+Annahmen!$D$98*(Annahmen!$B$48-Annahmen!$B$46))+J81*Annahmen!$B$49+L81*Annahmen!$B$50+(N81+P81)*Annahmen!$B$51</f>
        <v>134.866004269115</v>
      </c>
      <c r="V81" s="24" t="n">
        <f aca="false">SUMPRODUCT((((Annahmen!$C$161:$C$174="monatlich")*(Annahmen!$D$161:$D$174&lt;=$A81))+((Annahmen!$C$161:$C$174="einmalig")*(Annahmen!$D$161:$D$174=$A81)))*Annahmen!$B$161:$B$174*Annahmen!$F$161:$F$174)</f>
        <v>50.8275708031806</v>
      </c>
      <c r="W81" s="24" t="n">
        <f aca="false">Annahmen!$D$144</f>
        <v>400</v>
      </c>
      <c r="X81" s="17" t="n">
        <f aca="false">C81+F81*Annahmen!$D$96+H81+J81+L81/Annahmen!$B$47+(N81+P81)/(Annahmen!$B$24/Annahmen!$B$25)</f>
        <v>16.075</v>
      </c>
      <c r="Y81" s="36" t="n">
        <f aca="false">MAX(0,(X81-Annahmen!$B$149)/Annahmen!$B$150)</f>
        <v>0.538333333333333</v>
      </c>
      <c r="Z81" s="24" t="n">
        <f aca="false">Y81*Annahmen!$B$146</f>
        <v>2422.5</v>
      </c>
      <c r="AA81" s="24" t="n">
        <f aca="false">T81-U81-V81-W81-Z81</f>
        <v>6353.83868299222</v>
      </c>
      <c r="AB81" s="24" t="n">
        <f aca="false">AB80+AA81</f>
        <v>18604.4496405156</v>
      </c>
      <c r="AC81" s="7" t="n">
        <f aca="false">IF(AA81&gt;0,1,0)</f>
        <v>1</v>
      </c>
      <c r="AD81" s="7" t="n">
        <f aca="false">IF(AB81&gt;=0,1,0)</f>
        <v>1</v>
      </c>
    </row>
    <row r="82" customFormat="false" ht="15" hidden="false" customHeight="false" outlineLevel="0" collapsed="false">
      <c r="A82" s="7" t="n">
        <v>7</v>
      </c>
      <c r="B82" s="7" t="s">
        <v>396</v>
      </c>
      <c r="C82" s="17" t="n">
        <f aca="false">IF($A82&gt;=Annahmen!$D$91,Annahmen!$D$92,0)</f>
        <v>1.5</v>
      </c>
      <c r="D82" s="17" t="n">
        <f aca="false">C82*Annahmen!$D$93</f>
        <v>0.3</v>
      </c>
      <c r="E82" s="24" t="n">
        <f aca="false">(C82-D82)*Annahmen!$B$105</f>
        <v>588</v>
      </c>
      <c r="F82" s="17" t="n">
        <f aca="false">IF($A82&gt;Annahmen!$B$95,INDEX($C$76:$C$99,$A82-Annahmen!$B$95)*Annahmen!$D$94,0)</f>
        <v>0.75</v>
      </c>
      <c r="G82" s="24" t="n">
        <f aca="false">F82*(Annahmen!$D$96*(Annahmen!$B$106+Annahmen!$B$107)-Annahmen!$B$105*(1-Annahmen!$D$93))</f>
        <v>2940</v>
      </c>
      <c r="H82" s="17" t="n">
        <f aca="false">IF($A82&gt;=Annahmen!$D$91,Annahmen!$D$97,0)</f>
        <v>3</v>
      </c>
      <c r="I82" s="24" t="n">
        <f aca="false">H82*(Annahmen!$B$106+Annahmen!$D$98*Annahmen!$B$107)</f>
        <v>1149</v>
      </c>
      <c r="J82" s="17" t="n">
        <f aca="false">IF($A82&gt;=Annahmen!$D$91,Annahmen!$D$99,0)</f>
        <v>2</v>
      </c>
      <c r="K82" s="24" t="n">
        <f aca="false">J82*(Annahmen!$B$108+Annahmen!$B$100*Annahmen!$B$111)</f>
        <v>509.032258064516</v>
      </c>
      <c r="L82" s="17" t="n">
        <f aca="false">IF($A82&gt;=Annahmen!$D$91,Annahmen!$D$101,0)</f>
        <v>20</v>
      </c>
      <c r="M82" s="24" t="n">
        <f aca="false">L82*Annahmen!$B$112</f>
        <v>1780</v>
      </c>
      <c r="N82" s="15" t="n">
        <f aca="false">IF($A82&gt;=Annahmen!$D$91,Annahmen!$D$102,0)</f>
        <v>300</v>
      </c>
      <c r="O82" s="24" t="n">
        <f aca="false">N82*Annahmen!$B$113</f>
        <v>1800</v>
      </c>
      <c r="P82" s="15" t="n">
        <f aca="false">IF($A82&gt;=Annahmen!$D$91,Annahmen!$D$103,0)</f>
        <v>100</v>
      </c>
      <c r="Q82" s="24" t="n">
        <f aca="false">P82*Annahmen!$B$114</f>
        <v>400</v>
      </c>
      <c r="R82" s="17" t="n">
        <f aca="false">IF($A82&gt;=Annahmen!$D$91,Annahmen!$D$104,0)</f>
        <v>4</v>
      </c>
      <c r="S82" s="24" t="n">
        <f aca="false">R82*Annahmen!$B$115</f>
        <v>196</v>
      </c>
      <c r="T82" s="24" t="n">
        <f aca="false">E82+G82+I82+K82+M82+O82+Q82+S82</f>
        <v>9362.03225806452</v>
      </c>
      <c r="U82" s="24" t="n">
        <f aca="false">C82*Annahmen!$B$52+F82*Annahmen!$D$96*Annahmen!$B$48+H82*(Annahmen!$B$46+Annahmen!$D$98*(Annahmen!$B$48-Annahmen!$B$46))+J82*Annahmen!$B$49+L82*Annahmen!$B$50+(N82+P82)*Annahmen!$B$51</f>
        <v>134.866004269115</v>
      </c>
      <c r="V82" s="24" t="n">
        <f aca="false">SUMPRODUCT((((Annahmen!$C$161:$C$174="monatlich")*(Annahmen!$D$161:$D$174&lt;=$A82))+((Annahmen!$C$161:$C$174="einmalig")*(Annahmen!$D$161:$D$174=$A82)))*Annahmen!$B$161:$B$174*Annahmen!$F$161:$F$174)</f>
        <v>50.8275708031806</v>
      </c>
      <c r="W82" s="24" t="n">
        <f aca="false">Annahmen!$D$144</f>
        <v>400</v>
      </c>
      <c r="X82" s="17" t="n">
        <f aca="false">C82+F82*Annahmen!$D$96+H82+J82+L82/Annahmen!$B$47+(N82+P82)/(Annahmen!$B$24/Annahmen!$B$25)</f>
        <v>16.075</v>
      </c>
      <c r="Y82" s="36" t="n">
        <f aca="false">MAX(0,(X82-Annahmen!$B$149)/Annahmen!$B$150)</f>
        <v>0.538333333333333</v>
      </c>
      <c r="Z82" s="24" t="n">
        <f aca="false">Y82*Annahmen!$B$146</f>
        <v>2422.5</v>
      </c>
      <c r="AA82" s="24" t="n">
        <f aca="false">T82-U82-V82-W82-Z82</f>
        <v>6353.83868299222</v>
      </c>
      <c r="AB82" s="24" t="n">
        <f aca="false">AB81+AA82</f>
        <v>24958.2883235079</v>
      </c>
      <c r="AC82" s="7" t="n">
        <f aca="false">IF(AA82&gt;0,1,0)</f>
        <v>1</v>
      </c>
      <c r="AD82" s="7" t="n">
        <f aca="false">IF(AB82&gt;=0,1,0)</f>
        <v>1</v>
      </c>
    </row>
    <row r="83" customFormat="false" ht="15" hidden="false" customHeight="false" outlineLevel="0" collapsed="false">
      <c r="A83" s="7" t="n">
        <v>8</v>
      </c>
      <c r="B83" s="7" t="s">
        <v>397</v>
      </c>
      <c r="C83" s="17" t="n">
        <f aca="false">IF($A83&gt;=Annahmen!$D$91,Annahmen!$D$92,0)</f>
        <v>1.5</v>
      </c>
      <c r="D83" s="17" t="n">
        <f aca="false">C83*Annahmen!$D$93</f>
        <v>0.3</v>
      </c>
      <c r="E83" s="24" t="n">
        <f aca="false">(C83-D83)*Annahmen!$B$105</f>
        <v>588</v>
      </c>
      <c r="F83" s="17" t="n">
        <f aca="false">IF($A83&gt;Annahmen!$B$95,INDEX($C$76:$C$99,$A83-Annahmen!$B$95)*Annahmen!$D$94,0)</f>
        <v>0.75</v>
      </c>
      <c r="G83" s="24" t="n">
        <f aca="false">F83*(Annahmen!$D$96*(Annahmen!$B$106+Annahmen!$B$107)-Annahmen!$B$105*(1-Annahmen!$D$93))</f>
        <v>2940</v>
      </c>
      <c r="H83" s="17" t="n">
        <f aca="false">IF($A83&gt;=Annahmen!$D$91,Annahmen!$D$97,0)</f>
        <v>3</v>
      </c>
      <c r="I83" s="24" t="n">
        <f aca="false">H83*(Annahmen!$B$106+Annahmen!$D$98*Annahmen!$B$107)</f>
        <v>1149</v>
      </c>
      <c r="J83" s="17" t="n">
        <f aca="false">IF($A83&gt;=Annahmen!$D$91,Annahmen!$D$99,0)</f>
        <v>2</v>
      </c>
      <c r="K83" s="24" t="n">
        <f aca="false">J83*(Annahmen!$B$108+Annahmen!$B$100*Annahmen!$B$111)</f>
        <v>509.032258064516</v>
      </c>
      <c r="L83" s="17" t="n">
        <f aca="false">IF($A83&gt;=Annahmen!$D$91,Annahmen!$D$101,0)</f>
        <v>20</v>
      </c>
      <c r="M83" s="24" t="n">
        <f aca="false">L83*Annahmen!$B$112</f>
        <v>1780</v>
      </c>
      <c r="N83" s="15" t="n">
        <f aca="false">IF($A83&gt;=Annahmen!$D$91,Annahmen!$D$102,0)</f>
        <v>300</v>
      </c>
      <c r="O83" s="24" t="n">
        <f aca="false">N83*Annahmen!$B$113</f>
        <v>1800</v>
      </c>
      <c r="P83" s="15" t="n">
        <f aca="false">IF($A83&gt;=Annahmen!$D$91,Annahmen!$D$103,0)</f>
        <v>100</v>
      </c>
      <c r="Q83" s="24" t="n">
        <f aca="false">P83*Annahmen!$B$114</f>
        <v>400</v>
      </c>
      <c r="R83" s="17" t="n">
        <f aca="false">IF($A83&gt;=Annahmen!$D$91,Annahmen!$D$104,0)</f>
        <v>4</v>
      </c>
      <c r="S83" s="24" t="n">
        <f aca="false">R83*Annahmen!$B$115</f>
        <v>196</v>
      </c>
      <c r="T83" s="24" t="n">
        <f aca="false">E83+G83+I83+K83+M83+O83+Q83+S83</f>
        <v>9362.03225806452</v>
      </c>
      <c r="U83" s="24" t="n">
        <f aca="false">C83*Annahmen!$B$52+F83*Annahmen!$D$96*Annahmen!$B$48+H83*(Annahmen!$B$46+Annahmen!$D$98*(Annahmen!$B$48-Annahmen!$B$46))+J83*Annahmen!$B$49+L83*Annahmen!$B$50+(N83+P83)*Annahmen!$B$51</f>
        <v>134.866004269115</v>
      </c>
      <c r="V83" s="24" t="n">
        <f aca="false">SUMPRODUCT((((Annahmen!$C$161:$C$174="monatlich")*(Annahmen!$D$161:$D$174&lt;=$A83))+((Annahmen!$C$161:$C$174="einmalig")*(Annahmen!$D$161:$D$174=$A83)))*Annahmen!$B$161:$B$174*Annahmen!$F$161:$F$174)</f>
        <v>50.8275708031806</v>
      </c>
      <c r="W83" s="24" t="n">
        <f aca="false">Annahmen!$D$144</f>
        <v>400</v>
      </c>
      <c r="X83" s="17" t="n">
        <f aca="false">C83+F83*Annahmen!$D$96+H83+J83+L83/Annahmen!$B$47+(N83+P83)/(Annahmen!$B$24/Annahmen!$B$25)</f>
        <v>16.075</v>
      </c>
      <c r="Y83" s="36" t="n">
        <f aca="false">MAX(0,(X83-Annahmen!$B$149)/Annahmen!$B$150)</f>
        <v>0.538333333333333</v>
      </c>
      <c r="Z83" s="24" t="n">
        <f aca="false">Y83*Annahmen!$B$146</f>
        <v>2422.5</v>
      </c>
      <c r="AA83" s="24" t="n">
        <f aca="false">T83-U83-V83-W83-Z83</f>
        <v>6353.83868299222</v>
      </c>
      <c r="AB83" s="24" t="n">
        <f aca="false">AB82+AA83</f>
        <v>31312.1270065001</v>
      </c>
      <c r="AC83" s="7" t="n">
        <f aca="false">IF(AA83&gt;0,1,0)</f>
        <v>1</v>
      </c>
      <c r="AD83" s="7" t="n">
        <f aca="false">IF(AB83&gt;=0,1,0)</f>
        <v>1</v>
      </c>
    </row>
    <row r="84" customFormat="false" ht="15" hidden="false" customHeight="false" outlineLevel="0" collapsed="false">
      <c r="A84" s="7" t="n">
        <v>9</v>
      </c>
      <c r="B84" s="7" t="s">
        <v>398</v>
      </c>
      <c r="C84" s="17" t="n">
        <f aca="false">IF($A84&gt;=Annahmen!$D$91,Annahmen!$D$92,0)</f>
        <v>1.5</v>
      </c>
      <c r="D84" s="17" t="n">
        <f aca="false">C84*Annahmen!$D$93</f>
        <v>0.3</v>
      </c>
      <c r="E84" s="24" t="n">
        <f aca="false">(C84-D84)*Annahmen!$B$105</f>
        <v>588</v>
      </c>
      <c r="F84" s="17" t="n">
        <f aca="false">IF($A84&gt;Annahmen!$B$95,INDEX($C$76:$C$99,$A84-Annahmen!$B$95)*Annahmen!$D$94,0)</f>
        <v>0.75</v>
      </c>
      <c r="G84" s="24" t="n">
        <f aca="false">F84*(Annahmen!$D$96*(Annahmen!$B$106+Annahmen!$B$107)-Annahmen!$B$105*(1-Annahmen!$D$93))</f>
        <v>2940</v>
      </c>
      <c r="H84" s="17" t="n">
        <f aca="false">IF($A84&gt;=Annahmen!$D$91,Annahmen!$D$97,0)</f>
        <v>3</v>
      </c>
      <c r="I84" s="24" t="n">
        <f aca="false">H84*(Annahmen!$B$106+Annahmen!$D$98*Annahmen!$B$107)</f>
        <v>1149</v>
      </c>
      <c r="J84" s="17" t="n">
        <f aca="false">IF($A84&gt;=Annahmen!$D$91,Annahmen!$D$99,0)</f>
        <v>2</v>
      </c>
      <c r="K84" s="24" t="n">
        <f aca="false">J84*(Annahmen!$B$108+Annahmen!$B$100*Annahmen!$B$111)</f>
        <v>509.032258064516</v>
      </c>
      <c r="L84" s="17" t="n">
        <f aca="false">IF($A84&gt;=Annahmen!$D$91,Annahmen!$D$101,0)</f>
        <v>20</v>
      </c>
      <c r="M84" s="24" t="n">
        <f aca="false">L84*Annahmen!$B$112</f>
        <v>1780</v>
      </c>
      <c r="N84" s="15" t="n">
        <f aca="false">IF($A84&gt;=Annahmen!$D$91,Annahmen!$D$102,0)</f>
        <v>300</v>
      </c>
      <c r="O84" s="24" t="n">
        <f aca="false">N84*Annahmen!$B$113</f>
        <v>1800</v>
      </c>
      <c r="P84" s="15" t="n">
        <f aca="false">IF($A84&gt;=Annahmen!$D$91,Annahmen!$D$103,0)</f>
        <v>100</v>
      </c>
      <c r="Q84" s="24" t="n">
        <f aca="false">P84*Annahmen!$B$114</f>
        <v>400</v>
      </c>
      <c r="R84" s="17" t="n">
        <f aca="false">IF($A84&gt;=Annahmen!$D$91,Annahmen!$D$104,0)</f>
        <v>4</v>
      </c>
      <c r="S84" s="24" t="n">
        <f aca="false">R84*Annahmen!$B$115</f>
        <v>196</v>
      </c>
      <c r="T84" s="24" t="n">
        <f aca="false">E84+G84+I84+K84+M84+O84+Q84+S84</f>
        <v>9362.03225806452</v>
      </c>
      <c r="U84" s="24" t="n">
        <f aca="false">C84*Annahmen!$B$52+F84*Annahmen!$D$96*Annahmen!$B$48+H84*(Annahmen!$B$46+Annahmen!$D$98*(Annahmen!$B$48-Annahmen!$B$46))+J84*Annahmen!$B$49+L84*Annahmen!$B$50+(N84+P84)*Annahmen!$B$51</f>
        <v>134.866004269115</v>
      </c>
      <c r="V84" s="24" t="n">
        <f aca="false">SUMPRODUCT((((Annahmen!$C$161:$C$174="monatlich")*(Annahmen!$D$161:$D$174&lt;=$A84))+((Annahmen!$C$161:$C$174="einmalig")*(Annahmen!$D$161:$D$174=$A84)))*Annahmen!$B$161:$B$174*Annahmen!$F$161:$F$174)</f>
        <v>50.8275708031806</v>
      </c>
      <c r="W84" s="24" t="n">
        <f aca="false">Annahmen!$D$144</f>
        <v>400</v>
      </c>
      <c r="X84" s="17" t="n">
        <f aca="false">C84+F84*Annahmen!$D$96+H84+J84+L84/Annahmen!$B$47+(N84+P84)/(Annahmen!$B$24/Annahmen!$B$25)</f>
        <v>16.075</v>
      </c>
      <c r="Y84" s="36" t="n">
        <f aca="false">MAX(0,(X84-Annahmen!$B$149)/Annahmen!$B$150)</f>
        <v>0.538333333333333</v>
      </c>
      <c r="Z84" s="24" t="n">
        <f aca="false">Y84*Annahmen!$B$146</f>
        <v>2422.5</v>
      </c>
      <c r="AA84" s="24" t="n">
        <f aca="false">T84-U84-V84-W84-Z84</f>
        <v>6353.83868299222</v>
      </c>
      <c r="AB84" s="24" t="n">
        <f aca="false">AB83+AA84</f>
        <v>37665.9656894923</v>
      </c>
      <c r="AC84" s="7" t="n">
        <f aca="false">IF(AA84&gt;0,1,0)</f>
        <v>1</v>
      </c>
      <c r="AD84" s="7" t="n">
        <f aca="false">IF(AB84&gt;=0,1,0)</f>
        <v>1</v>
      </c>
    </row>
    <row r="85" customFormat="false" ht="15" hidden="false" customHeight="false" outlineLevel="0" collapsed="false">
      <c r="A85" s="7" t="n">
        <v>10</v>
      </c>
      <c r="B85" s="7" t="s">
        <v>399</v>
      </c>
      <c r="C85" s="17" t="n">
        <f aca="false">IF($A85&gt;=Annahmen!$D$91,Annahmen!$D$92,0)</f>
        <v>1.5</v>
      </c>
      <c r="D85" s="17" t="n">
        <f aca="false">C85*Annahmen!$D$93</f>
        <v>0.3</v>
      </c>
      <c r="E85" s="24" t="n">
        <f aca="false">(C85-D85)*Annahmen!$B$105</f>
        <v>588</v>
      </c>
      <c r="F85" s="17" t="n">
        <f aca="false">IF($A85&gt;Annahmen!$B$95,INDEX($C$76:$C$99,$A85-Annahmen!$B$95)*Annahmen!$D$94,0)</f>
        <v>0.75</v>
      </c>
      <c r="G85" s="24" t="n">
        <f aca="false">F85*(Annahmen!$D$96*(Annahmen!$B$106+Annahmen!$B$107)-Annahmen!$B$105*(1-Annahmen!$D$93))</f>
        <v>2940</v>
      </c>
      <c r="H85" s="17" t="n">
        <f aca="false">IF($A85&gt;=Annahmen!$D$91,Annahmen!$D$97,0)</f>
        <v>3</v>
      </c>
      <c r="I85" s="24" t="n">
        <f aca="false">H85*(Annahmen!$B$106+Annahmen!$D$98*Annahmen!$B$107)</f>
        <v>1149</v>
      </c>
      <c r="J85" s="17" t="n">
        <f aca="false">IF($A85&gt;=Annahmen!$D$91,Annahmen!$D$99,0)</f>
        <v>2</v>
      </c>
      <c r="K85" s="24" t="n">
        <f aca="false">J85*(Annahmen!$B$108+Annahmen!$B$100*Annahmen!$B$111)</f>
        <v>509.032258064516</v>
      </c>
      <c r="L85" s="17" t="n">
        <f aca="false">IF($A85&gt;=Annahmen!$D$91,Annahmen!$D$101,0)</f>
        <v>20</v>
      </c>
      <c r="M85" s="24" t="n">
        <f aca="false">L85*Annahmen!$B$112</f>
        <v>1780</v>
      </c>
      <c r="N85" s="15" t="n">
        <f aca="false">IF($A85&gt;=Annahmen!$D$91,Annahmen!$D$102,0)</f>
        <v>300</v>
      </c>
      <c r="O85" s="24" t="n">
        <f aca="false">N85*Annahmen!$B$113</f>
        <v>1800</v>
      </c>
      <c r="P85" s="15" t="n">
        <f aca="false">IF($A85&gt;=Annahmen!$D$91,Annahmen!$D$103,0)</f>
        <v>100</v>
      </c>
      <c r="Q85" s="24" t="n">
        <f aca="false">P85*Annahmen!$B$114</f>
        <v>400</v>
      </c>
      <c r="R85" s="17" t="n">
        <f aca="false">IF($A85&gt;=Annahmen!$D$91,Annahmen!$D$104,0)</f>
        <v>4</v>
      </c>
      <c r="S85" s="24" t="n">
        <f aca="false">R85*Annahmen!$B$115</f>
        <v>196</v>
      </c>
      <c r="T85" s="24" t="n">
        <f aca="false">E85+G85+I85+K85+M85+O85+Q85+S85</f>
        <v>9362.03225806452</v>
      </c>
      <c r="U85" s="24" t="n">
        <f aca="false">C85*Annahmen!$B$52+F85*Annahmen!$D$96*Annahmen!$B$48+H85*(Annahmen!$B$46+Annahmen!$D$98*(Annahmen!$B$48-Annahmen!$B$46))+J85*Annahmen!$B$49+L85*Annahmen!$B$50+(N85+P85)*Annahmen!$B$51</f>
        <v>134.866004269115</v>
      </c>
      <c r="V85" s="24" t="n">
        <f aca="false">SUMPRODUCT((((Annahmen!$C$161:$C$174="monatlich")*(Annahmen!$D$161:$D$174&lt;=$A85))+((Annahmen!$C$161:$C$174="einmalig")*(Annahmen!$D$161:$D$174=$A85)))*Annahmen!$B$161:$B$174*Annahmen!$F$161:$F$174)</f>
        <v>50.8275708031806</v>
      </c>
      <c r="W85" s="24" t="n">
        <f aca="false">Annahmen!$D$144</f>
        <v>400</v>
      </c>
      <c r="X85" s="17" t="n">
        <f aca="false">C85+F85*Annahmen!$D$96+H85+J85+L85/Annahmen!$B$47+(N85+P85)/(Annahmen!$B$24/Annahmen!$B$25)</f>
        <v>16.075</v>
      </c>
      <c r="Y85" s="36" t="n">
        <f aca="false">MAX(0,(X85-Annahmen!$B$149)/Annahmen!$B$150)</f>
        <v>0.538333333333333</v>
      </c>
      <c r="Z85" s="24" t="n">
        <f aca="false">Y85*Annahmen!$B$146</f>
        <v>2422.5</v>
      </c>
      <c r="AA85" s="24" t="n">
        <f aca="false">T85-U85-V85-W85-Z85</f>
        <v>6353.83868299222</v>
      </c>
      <c r="AB85" s="24" t="n">
        <f aca="false">AB84+AA85</f>
        <v>44019.8043724845</v>
      </c>
      <c r="AC85" s="7" t="n">
        <f aca="false">IF(AA85&gt;0,1,0)</f>
        <v>1</v>
      </c>
      <c r="AD85" s="7" t="n">
        <f aca="false">IF(AB85&gt;=0,1,0)</f>
        <v>1</v>
      </c>
    </row>
    <row r="86" customFormat="false" ht="15" hidden="false" customHeight="false" outlineLevel="0" collapsed="false">
      <c r="A86" s="7" t="n">
        <v>11</v>
      </c>
      <c r="B86" s="7" t="s">
        <v>400</v>
      </c>
      <c r="C86" s="17" t="n">
        <f aca="false">IF($A86&gt;=Annahmen!$D$91,Annahmen!$D$92,0)</f>
        <v>1.5</v>
      </c>
      <c r="D86" s="17" t="n">
        <f aca="false">C86*Annahmen!$D$93</f>
        <v>0.3</v>
      </c>
      <c r="E86" s="24" t="n">
        <f aca="false">(C86-D86)*Annahmen!$B$105</f>
        <v>588</v>
      </c>
      <c r="F86" s="17" t="n">
        <f aca="false">IF($A86&gt;Annahmen!$B$95,INDEX($C$76:$C$99,$A86-Annahmen!$B$95)*Annahmen!$D$94,0)</f>
        <v>0.75</v>
      </c>
      <c r="G86" s="24" t="n">
        <f aca="false">F86*(Annahmen!$D$96*(Annahmen!$B$106+Annahmen!$B$107)-Annahmen!$B$105*(1-Annahmen!$D$93))</f>
        <v>2940</v>
      </c>
      <c r="H86" s="17" t="n">
        <f aca="false">IF($A86&gt;=Annahmen!$D$91,Annahmen!$D$97,0)</f>
        <v>3</v>
      </c>
      <c r="I86" s="24" t="n">
        <f aca="false">H86*(Annahmen!$B$106+Annahmen!$D$98*Annahmen!$B$107)</f>
        <v>1149</v>
      </c>
      <c r="J86" s="17" t="n">
        <f aca="false">IF($A86&gt;=Annahmen!$D$91,Annahmen!$D$99,0)</f>
        <v>2</v>
      </c>
      <c r="K86" s="24" t="n">
        <f aca="false">J86*(Annahmen!$B$108+Annahmen!$B$100*Annahmen!$B$111)</f>
        <v>509.032258064516</v>
      </c>
      <c r="L86" s="17" t="n">
        <f aca="false">IF($A86&gt;=Annahmen!$D$91,Annahmen!$D$101,0)</f>
        <v>20</v>
      </c>
      <c r="M86" s="24" t="n">
        <f aca="false">L86*Annahmen!$B$112</f>
        <v>1780</v>
      </c>
      <c r="N86" s="15" t="n">
        <f aca="false">IF($A86&gt;=Annahmen!$D$91,Annahmen!$D$102,0)</f>
        <v>300</v>
      </c>
      <c r="O86" s="24" t="n">
        <f aca="false">N86*Annahmen!$B$113</f>
        <v>1800</v>
      </c>
      <c r="P86" s="15" t="n">
        <f aca="false">IF($A86&gt;=Annahmen!$D$91,Annahmen!$D$103,0)</f>
        <v>100</v>
      </c>
      <c r="Q86" s="24" t="n">
        <f aca="false">P86*Annahmen!$B$114</f>
        <v>400</v>
      </c>
      <c r="R86" s="17" t="n">
        <f aca="false">IF($A86&gt;=Annahmen!$D$91,Annahmen!$D$104,0)</f>
        <v>4</v>
      </c>
      <c r="S86" s="24" t="n">
        <f aca="false">R86*Annahmen!$B$115</f>
        <v>196</v>
      </c>
      <c r="T86" s="24" t="n">
        <f aca="false">E86+G86+I86+K86+M86+O86+Q86+S86</f>
        <v>9362.03225806452</v>
      </c>
      <c r="U86" s="24" t="n">
        <f aca="false">C86*Annahmen!$B$52+F86*Annahmen!$D$96*Annahmen!$B$48+H86*(Annahmen!$B$46+Annahmen!$D$98*(Annahmen!$B$48-Annahmen!$B$46))+J86*Annahmen!$B$49+L86*Annahmen!$B$50+(N86+P86)*Annahmen!$B$51</f>
        <v>134.866004269115</v>
      </c>
      <c r="V86" s="24" t="n">
        <f aca="false">SUMPRODUCT((((Annahmen!$C$161:$C$174="monatlich")*(Annahmen!$D$161:$D$174&lt;=$A86))+((Annahmen!$C$161:$C$174="einmalig")*(Annahmen!$D$161:$D$174=$A86)))*Annahmen!$B$161:$B$174*Annahmen!$F$161:$F$174)</f>
        <v>50.8275708031806</v>
      </c>
      <c r="W86" s="24" t="n">
        <f aca="false">Annahmen!$D$144</f>
        <v>400</v>
      </c>
      <c r="X86" s="17" t="n">
        <f aca="false">C86+F86*Annahmen!$D$96+H86+J86+L86/Annahmen!$B$47+(N86+P86)/(Annahmen!$B$24/Annahmen!$B$25)</f>
        <v>16.075</v>
      </c>
      <c r="Y86" s="36" t="n">
        <f aca="false">MAX(0,(X86-Annahmen!$B$149)/Annahmen!$B$150)</f>
        <v>0.538333333333333</v>
      </c>
      <c r="Z86" s="24" t="n">
        <f aca="false">Y86*Annahmen!$B$146</f>
        <v>2422.5</v>
      </c>
      <c r="AA86" s="24" t="n">
        <f aca="false">T86-U86-V86-W86-Z86</f>
        <v>6353.83868299222</v>
      </c>
      <c r="AB86" s="24" t="n">
        <f aca="false">AB85+AA86</f>
        <v>50373.6430554767</v>
      </c>
      <c r="AC86" s="7" t="n">
        <f aca="false">IF(AA86&gt;0,1,0)</f>
        <v>1</v>
      </c>
      <c r="AD86" s="7" t="n">
        <f aca="false">IF(AB86&gt;=0,1,0)</f>
        <v>1</v>
      </c>
    </row>
    <row r="87" customFormat="false" ht="15" hidden="false" customHeight="false" outlineLevel="0" collapsed="false">
      <c r="A87" s="7" t="n">
        <v>12</v>
      </c>
      <c r="B87" s="7" t="s">
        <v>401</v>
      </c>
      <c r="C87" s="17" t="n">
        <f aca="false">IF($A87&gt;=Annahmen!$D$91,Annahmen!$D$92,0)</f>
        <v>1.5</v>
      </c>
      <c r="D87" s="17" t="n">
        <f aca="false">C87*Annahmen!$D$93</f>
        <v>0.3</v>
      </c>
      <c r="E87" s="24" t="n">
        <f aca="false">(C87-D87)*Annahmen!$B$105</f>
        <v>588</v>
      </c>
      <c r="F87" s="17" t="n">
        <f aca="false">IF($A87&gt;Annahmen!$B$95,INDEX($C$76:$C$99,$A87-Annahmen!$B$95)*Annahmen!$D$94,0)</f>
        <v>0.75</v>
      </c>
      <c r="G87" s="24" t="n">
        <f aca="false">F87*(Annahmen!$D$96*(Annahmen!$B$106+Annahmen!$B$107)-Annahmen!$B$105*(1-Annahmen!$D$93))</f>
        <v>2940</v>
      </c>
      <c r="H87" s="17" t="n">
        <f aca="false">IF($A87&gt;=Annahmen!$D$91,Annahmen!$D$97,0)</f>
        <v>3</v>
      </c>
      <c r="I87" s="24" t="n">
        <f aca="false">H87*(Annahmen!$B$106+Annahmen!$D$98*Annahmen!$B$107)</f>
        <v>1149</v>
      </c>
      <c r="J87" s="17" t="n">
        <f aca="false">IF($A87&gt;=Annahmen!$D$91,Annahmen!$D$99,0)</f>
        <v>2</v>
      </c>
      <c r="K87" s="24" t="n">
        <f aca="false">J87*(Annahmen!$B$108+Annahmen!$B$100*Annahmen!$B$111)</f>
        <v>509.032258064516</v>
      </c>
      <c r="L87" s="17" t="n">
        <f aca="false">IF($A87&gt;=Annahmen!$D$91,Annahmen!$D$101,0)</f>
        <v>20</v>
      </c>
      <c r="M87" s="24" t="n">
        <f aca="false">L87*Annahmen!$B$112</f>
        <v>1780</v>
      </c>
      <c r="N87" s="15" t="n">
        <f aca="false">IF($A87&gt;=Annahmen!$D$91,Annahmen!$D$102,0)</f>
        <v>300</v>
      </c>
      <c r="O87" s="24" t="n">
        <f aca="false">N87*Annahmen!$B$113</f>
        <v>1800</v>
      </c>
      <c r="P87" s="15" t="n">
        <f aca="false">IF($A87&gt;=Annahmen!$D$91,Annahmen!$D$103,0)</f>
        <v>100</v>
      </c>
      <c r="Q87" s="24" t="n">
        <f aca="false">P87*Annahmen!$B$114</f>
        <v>400</v>
      </c>
      <c r="R87" s="17" t="n">
        <f aca="false">IF($A87&gt;=Annahmen!$D$91,Annahmen!$D$104,0)</f>
        <v>4</v>
      </c>
      <c r="S87" s="24" t="n">
        <f aca="false">R87*Annahmen!$B$115</f>
        <v>196</v>
      </c>
      <c r="T87" s="24" t="n">
        <f aca="false">E87+G87+I87+K87+M87+O87+Q87+S87</f>
        <v>9362.03225806452</v>
      </c>
      <c r="U87" s="24" t="n">
        <f aca="false">C87*Annahmen!$B$52+F87*Annahmen!$D$96*Annahmen!$B$48+H87*(Annahmen!$B$46+Annahmen!$D$98*(Annahmen!$B$48-Annahmen!$B$46))+J87*Annahmen!$B$49+L87*Annahmen!$B$50+(N87+P87)*Annahmen!$B$51</f>
        <v>134.866004269115</v>
      </c>
      <c r="V87" s="24" t="n">
        <f aca="false">SUMPRODUCT((((Annahmen!$C$161:$C$174="monatlich")*(Annahmen!$D$161:$D$174&lt;=$A87))+((Annahmen!$C$161:$C$174="einmalig")*(Annahmen!$D$161:$D$174=$A87)))*Annahmen!$B$161:$B$174*Annahmen!$F$161:$F$174)</f>
        <v>50.8275708031806</v>
      </c>
      <c r="W87" s="24" t="n">
        <f aca="false">Annahmen!$D$144</f>
        <v>400</v>
      </c>
      <c r="X87" s="17" t="n">
        <f aca="false">C87+F87*Annahmen!$D$96+H87+J87+L87/Annahmen!$B$47+(N87+P87)/(Annahmen!$B$24/Annahmen!$B$25)</f>
        <v>16.075</v>
      </c>
      <c r="Y87" s="36" t="n">
        <f aca="false">MAX(0,(X87-Annahmen!$B$149)/Annahmen!$B$150)</f>
        <v>0.538333333333333</v>
      </c>
      <c r="Z87" s="24" t="n">
        <f aca="false">Y87*Annahmen!$B$146</f>
        <v>2422.5</v>
      </c>
      <c r="AA87" s="24" t="n">
        <f aca="false">T87-U87-V87-W87-Z87</f>
        <v>6353.83868299222</v>
      </c>
      <c r="AB87" s="24" t="n">
        <f aca="false">AB86+AA87</f>
        <v>56727.481738469</v>
      </c>
      <c r="AC87" s="7" t="n">
        <f aca="false">IF(AA87&gt;0,1,0)</f>
        <v>1</v>
      </c>
      <c r="AD87" s="7" t="n">
        <f aca="false">IF(AB87&gt;=0,1,0)</f>
        <v>1</v>
      </c>
    </row>
    <row r="88" customFormat="false" ht="15" hidden="false" customHeight="false" outlineLevel="0" collapsed="false">
      <c r="A88" s="7" t="n">
        <v>13</v>
      </c>
      <c r="B88" s="7" t="s">
        <v>402</v>
      </c>
      <c r="C88" s="17" t="n">
        <f aca="false">IF($A88&gt;=Annahmen!$D$91,Annahmen!$D$92,0)</f>
        <v>1.5</v>
      </c>
      <c r="D88" s="17" t="n">
        <f aca="false">C88*Annahmen!$D$93</f>
        <v>0.3</v>
      </c>
      <c r="E88" s="24" t="n">
        <f aca="false">(C88-D88)*Annahmen!$B$105</f>
        <v>588</v>
      </c>
      <c r="F88" s="17" t="n">
        <f aca="false">IF($A88&gt;Annahmen!$B$95,INDEX($C$76:$C$99,$A88-Annahmen!$B$95)*Annahmen!$D$94,0)</f>
        <v>0.75</v>
      </c>
      <c r="G88" s="24" t="n">
        <f aca="false">F88*(Annahmen!$D$96*(Annahmen!$B$106+Annahmen!$B$107)-Annahmen!$B$105*(1-Annahmen!$D$93))</f>
        <v>2940</v>
      </c>
      <c r="H88" s="17" t="n">
        <f aca="false">IF($A88&gt;=Annahmen!$D$91,Annahmen!$D$97,0)</f>
        <v>3</v>
      </c>
      <c r="I88" s="24" t="n">
        <f aca="false">H88*(Annahmen!$B$106+Annahmen!$D$98*Annahmen!$B$107)</f>
        <v>1149</v>
      </c>
      <c r="J88" s="17" t="n">
        <f aca="false">IF($A88&gt;=Annahmen!$D$91,Annahmen!$D$99,0)</f>
        <v>2</v>
      </c>
      <c r="K88" s="24" t="n">
        <f aca="false">J88*(Annahmen!$B$108+Annahmen!$B$100*Annahmen!$B$111)</f>
        <v>509.032258064516</v>
      </c>
      <c r="L88" s="17" t="n">
        <f aca="false">IF($A88&gt;=Annahmen!$D$91,Annahmen!$D$101,0)</f>
        <v>20</v>
      </c>
      <c r="M88" s="24" t="n">
        <f aca="false">L88*Annahmen!$B$112</f>
        <v>1780</v>
      </c>
      <c r="N88" s="15" t="n">
        <f aca="false">IF($A88&gt;=Annahmen!$D$91,Annahmen!$D$102,0)</f>
        <v>300</v>
      </c>
      <c r="O88" s="24" t="n">
        <f aca="false">N88*Annahmen!$B$113</f>
        <v>1800</v>
      </c>
      <c r="P88" s="15" t="n">
        <f aca="false">IF($A88&gt;=Annahmen!$D$91,Annahmen!$D$103,0)</f>
        <v>100</v>
      </c>
      <c r="Q88" s="24" t="n">
        <f aca="false">P88*Annahmen!$B$114</f>
        <v>400</v>
      </c>
      <c r="R88" s="17" t="n">
        <f aca="false">IF($A88&gt;=Annahmen!$D$91,Annahmen!$D$104,0)</f>
        <v>4</v>
      </c>
      <c r="S88" s="24" t="n">
        <f aca="false">R88*Annahmen!$B$115</f>
        <v>196</v>
      </c>
      <c r="T88" s="24" t="n">
        <f aca="false">E88+G88+I88+K88+M88+O88+Q88+S88</f>
        <v>9362.03225806452</v>
      </c>
      <c r="U88" s="24" t="n">
        <f aca="false">C88*Annahmen!$B$52+F88*Annahmen!$D$96*Annahmen!$B$48+H88*(Annahmen!$B$46+Annahmen!$D$98*(Annahmen!$B$48-Annahmen!$B$46))+J88*Annahmen!$B$49+L88*Annahmen!$B$50+(N88+P88)*Annahmen!$B$51</f>
        <v>134.866004269115</v>
      </c>
      <c r="V88" s="24" t="n">
        <f aca="false">SUMPRODUCT((((Annahmen!$C$161:$C$174="monatlich")*(Annahmen!$D$161:$D$174&lt;=$A88))+((Annahmen!$C$161:$C$174="einmalig")*(Annahmen!$D$161:$D$174=$A88)))*Annahmen!$B$161:$B$174*Annahmen!$F$161:$F$174)</f>
        <v>50.8275708031806</v>
      </c>
      <c r="W88" s="24" t="n">
        <f aca="false">Annahmen!$D$144</f>
        <v>400</v>
      </c>
      <c r="X88" s="17" t="n">
        <f aca="false">C88+F88*Annahmen!$D$96+H88+J88+L88/Annahmen!$B$47+(N88+P88)/(Annahmen!$B$24/Annahmen!$B$25)</f>
        <v>16.075</v>
      </c>
      <c r="Y88" s="36" t="n">
        <f aca="false">MAX(0,(X88-Annahmen!$B$149)/Annahmen!$B$150)</f>
        <v>0.538333333333333</v>
      </c>
      <c r="Z88" s="24" t="n">
        <f aca="false">Y88*Annahmen!$B$146</f>
        <v>2422.5</v>
      </c>
      <c r="AA88" s="24" t="n">
        <f aca="false">T88-U88-V88-W88-Z88</f>
        <v>6353.83868299222</v>
      </c>
      <c r="AB88" s="24" t="n">
        <f aca="false">AB87+AA88</f>
        <v>63081.3204214612</v>
      </c>
      <c r="AC88" s="7" t="n">
        <f aca="false">IF(AA88&gt;0,1,0)</f>
        <v>1</v>
      </c>
      <c r="AD88" s="7" t="n">
        <f aca="false">IF(AB88&gt;=0,1,0)</f>
        <v>1</v>
      </c>
    </row>
    <row r="89" customFormat="false" ht="15" hidden="false" customHeight="false" outlineLevel="0" collapsed="false">
      <c r="A89" s="7" t="n">
        <v>14</v>
      </c>
      <c r="B89" s="7" t="s">
        <v>403</v>
      </c>
      <c r="C89" s="17" t="n">
        <f aca="false">IF($A89&gt;=Annahmen!$D$91,Annahmen!$D$92,0)</f>
        <v>1.5</v>
      </c>
      <c r="D89" s="17" t="n">
        <f aca="false">C89*Annahmen!$D$93</f>
        <v>0.3</v>
      </c>
      <c r="E89" s="24" t="n">
        <f aca="false">(C89-D89)*Annahmen!$B$105</f>
        <v>588</v>
      </c>
      <c r="F89" s="17" t="n">
        <f aca="false">IF($A89&gt;Annahmen!$B$95,INDEX($C$76:$C$99,$A89-Annahmen!$B$95)*Annahmen!$D$94,0)</f>
        <v>0.75</v>
      </c>
      <c r="G89" s="24" t="n">
        <f aca="false">F89*(Annahmen!$D$96*(Annahmen!$B$106+Annahmen!$B$107)-Annahmen!$B$105*(1-Annahmen!$D$93))</f>
        <v>2940</v>
      </c>
      <c r="H89" s="17" t="n">
        <f aca="false">IF($A89&gt;=Annahmen!$D$91,Annahmen!$D$97,0)</f>
        <v>3</v>
      </c>
      <c r="I89" s="24" t="n">
        <f aca="false">H89*(Annahmen!$B$106+Annahmen!$D$98*Annahmen!$B$107)</f>
        <v>1149</v>
      </c>
      <c r="J89" s="17" t="n">
        <f aca="false">IF($A89&gt;=Annahmen!$D$91,Annahmen!$D$99,0)</f>
        <v>2</v>
      </c>
      <c r="K89" s="24" t="n">
        <f aca="false">J89*(Annahmen!$B$108+Annahmen!$B$100*Annahmen!$B$111)</f>
        <v>509.032258064516</v>
      </c>
      <c r="L89" s="17" t="n">
        <f aca="false">IF($A89&gt;=Annahmen!$D$91,Annahmen!$D$101,0)</f>
        <v>20</v>
      </c>
      <c r="M89" s="24" t="n">
        <f aca="false">L89*Annahmen!$B$112</f>
        <v>1780</v>
      </c>
      <c r="N89" s="15" t="n">
        <f aca="false">IF($A89&gt;=Annahmen!$D$91,Annahmen!$D$102,0)</f>
        <v>300</v>
      </c>
      <c r="O89" s="24" t="n">
        <f aca="false">N89*Annahmen!$B$113</f>
        <v>1800</v>
      </c>
      <c r="P89" s="15" t="n">
        <f aca="false">IF($A89&gt;=Annahmen!$D$91,Annahmen!$D$103,0)</f>
        <v>100</v>
      </c>
      <c r="Q89" s="24" t="n">
        <f aca="false">P89*Annahmen!$B$114</f>
        <v>400</v>
      </c>
      <c r="R89" s="17" t="n">
        <f aca="false">IF($A89&gt;=Annahmen!$D$91,Annahmen!$D$104,0)</f>
        <v>4</v>
      </c>
      <c r="S89" s="24" t="n">
        <f aca="false">R89*Annahmen!$B$115</f>
        <v>196</v>
      </c>
      <c r="T89" s="24" t="n">
        <f aca="false">E89+G89+I89+K89+M89+O89+Q89+S89</f>
        <v>9362.03225806452</v>
      </c>
      <c r="U89" s="24" t="n">
        <f aca="false">C89*Annahmen!$B$52+F89*Annahmen!$D$96*Annahmen!$B$48+H89*(Annahmen!$B$46+Annahmen!$D$98*(Annahmen!$B$48-Annahmen!$B$46))+J89*Annahmen!$B$49+L89*Annahmen!$B$50+(N89+P89)*Annahmen!$B$51</f>
        <v>134.866004269115</v>
      </c>
      <c r="V89" s="24" t="n">
        <f aca="false">SUMPRODUCT((((Annahmen!$C$161:$C$174="monatlich")*(Annahmen!$D$161:$D$174&lt;=$A89))+((Annahmen!$C$161:$C$174="einmalig")*(Annahmen!$D$161:$D$174=$A89)))*Annahmen!$B$161:$B$174*Annahmen!$F$161:$F$174)</f>
        <v>50.8275708031806</v>
      </c>
      <c r="W89" s="24" t="n">
        <f aca="false">Annahmen!$D$144</f>
        <v>400</v>
      </c>
      <c r="X89" s="17" t="n">
        <f aca="false">C89+F89*Annahmen!$D$96+H89+J89+L89/Annahmen!$B$47+(N89+P89)/(Annahmen!$B$24/Annahmen!$B$25)</f>
        <v>16.075</v>
      </c>
      <c r="Y89" s="36" t="n">
        <f aca="false">MAX(0,(X89-Annahmen!$B$149)/Annahmen!$B$150)</f>
        <v>0.538333333333333</v>
      </c>
      <c r="Z89" s="24" t="n">
        <f aca="false">Y89*Annahmen!$B$146</f>
        <v>2422.5</v>
      </c>
      <c r="AA89" s="24" t="n">
        <f aca="false">T89-U89-V89-W89-Z89</f>
        <v>6353.83868299222</v>
      </c>
      <c r="AB89" s="24" t="n">
        <f aca="false">AB88+AA89</f>
        <v>69435.1591044534</v>
      </c>
      <c r="AC89" s="7" t="n">
        <f aca="false">IF(AA89&gt;0,1,0)</f>
        <v>1</v>
      </c>
      <c r="AD89" s="7" t="n">
        <f aca="false">IF(AB89&gt;=0,1,0)</f>
        <v>1</v>
      </c>
    </row>
    <row r="90" customFormat="false" ht="15" hidden="false" customHeight="false" outlineLevel="0" collapsed="false">
      <c r="A90" s="7" t="n">
        <v>15</v>
      </c>
      <c r="B90" s="7" t="s">
        <v>404</v>
      </c>
      <c r="C90" s="17" t="n">
        <f aca="false">IF($A90&gt;=Annahmen!$D$91,Annahmen!$D$92,0)</f>
        <v>1.5</v>
      </c>
      <c r="D90" s="17" t="n">
        <f aca="false">C90*Annahmen!$D$93</f>
        <v>0.3</v>
      </c>
      <c r="E90" s="24" t="n">
        <f aca="false">(C90-D90)*Annahmen!$B$105</f>
        <v>588</v>
      </c>
      <c r="F90" s="17" t="n">
        <f aca="false">IF($A90&gt;Annahmen!$B$95,INDEX($C$76:$C$99,$A90-Annahmen!$B$95)*Annahmen!$D$94,0)</f>
        <v>0.75</v>
      </c>
      <c r="G90" s="24" t="n">
        <f aca="false">F90*(Annahmen!$D$96*(Annahmen!$B$106+Annahmen!$B$107)-Annahmen!$B$105*(1-Annahmen!$D$93))</f>
        <v>2940</v>
      </c>
      <c r="H90" s="17" t="n">
        <f aca="false">IF($A90&gt;=Annahmen!$D$91,Annahmen!$D$97,0)</f>
        <v>3</v>
      </c>
      <c r="I90" s="24" t="n">
        <f aca="false">H90*(Annahmen!$B$106+Annahmen!$D$98*Annahmen!$B$107)</f>
        <v>1149</v>
      </c>
      <c r="J90" s="17" t="n">
        <f aca="false">IF($A90&gt;=Annahmen!$D$91,Annahmen!$D$99,0)</f>
        <v>2</v>
      </c>
      <c r="K90" s="24" t="n">
        <f aca="false">J90*(Annahmen!$B$108+Annahmen!$B$100*Annahmen!$B$111)</f>
        <v>509.032258064516</v>
      </c>
      <c r="L90" s="17" t="n">
        <f aca="false">IF($A90&gt;=Annahmen!$D$91,Annahmen!$D$101,0)</f>
        <v>20</v>
      </c>
      <c r="M90" s="24" t="n">
        <f aca="false">L90*Annahmen!$B$112</f>
        <v>1780</v>
      </c>
      <c r="N90" s="15" t="n">
        <f aca="false">IF($A90&gt;=Annahmen!$D$91,Annahmen!$D$102,0)</f>
        <v>300</v>
      </c>
      <c r="O90" s="24" t="n">
        <f aca="false">N90*Annahmen!$B$113</f>
        <v>1800</v>
      </c>
      <c r="P90" s="15" t="n">
        <f aca="false">IF($A90&gt;=Annahmen!$D$91,Annahmen!$D$103,0)</f>
        <v>100</v>
      </c>
      <c r="Q90" s="24" t="n">
        <f aca="false">P90*Annahmen!$B$114</f>
        <v>400</v>
      </c>
      <c r="R90" s="17" t="n">
        <f aca="false">IF($A90&gt;=Annahmen!$D$91,Annahmen!$D$104,0)</f>
        <v>4</v>
      </c>
      <c r="S90" s="24" t="n">
        <f aca="false">R90*Annahmen!$B$115</f>
        <v>196</v>
      </c>
      <c r="T90" s="24" t="n">
        <f aca="false">E90+G90+I90+K90+M90+O90+Q90+S90</f>
        <v>9362.03225806452</v>
      </c>
      <c r="U90" s="24" t="n">
        <f aca="false">C90*Annahmen!$B$52+F90*Annahmen!$D$96*Annahmen!$B$48+H90*(Annahmen!$B$46+Annahmen!$D$98*(Annahmen!$B$48-Annahmen!$B$46))+J90*Annahmen!$B$49+L90*Annahmen!$B$50+(N90+P90)*Annahmen!$B$51</f>
        <v>134.866004269115</v>
      </c>
      <c r="V90" s="24" t="n">
        <f aca="false">SUMPRODUCT((((Annahmen!$C$161:$C$174="monatlich")*(Annahmen!$D$161:$D$174&lt;=$A90))+((Annahmen!$C$161:$C$174="einmalig")*(Annahmen!$D$161:$D$174=$A90)))*Annahmen!$B$161:$B$174*Annahmen!$F$161:$F$174)</f>
        <v>50.8275708031806</v>
      </c>
      <c r="W90" s="24" t="n">
        <f aca="false">Annahmen!$D$144</f>
        <v>400</v>
      </c>
      <c r="X90" s="17" t="n">
        <f aca="false">C90+F90*Annahmen!$D$96+H90+J90+L90/Annahmen!$B$47+(N90+P90)/(Annahmen!$B$24/Annahmen!$B$25)</f>
        <v>16.075</v>
      </c>
      <c r="Y90" s="36" t="n">
        <f aca="false">MAX(0,(X90-Annahmen!$B$149)/Annahmen!$B$150)</f>
        <v>0.538333333333333</v>
      </c>
      <c r="Z90" s="24" t="n">
        <f aca="false">Y90*Annahmen!$B$146</f>
        <v>2422.5</v>
      </c>
      <c r="AA90" s="24" t="n">
        <f aca="false">T90-U90-V90-W90-Z90</f>
        <v>6353.83868299222</v>
      </c>
      <c r="AB90" s="24" t="n">
        <f aca="false">AB89+AA90</f>
        <v>75788.9977874456</v>
      </c>
      <c r="AC90" s="7" t="n">
        <f aca="false">IF(AA90&gt;0,1,0)</f>
        <v>1</v>
      </c>
      <c r="AD90" s="7" t="n">
        <f aca="false">IF(AB90&gt;=0,1,0)</f>
        <v>1</v>
      </c>
    </row>
    <row r="91" customFormat="false" ht="15" hidden="false" customHeight="false" outlineLevel="0" collapsed="false">
      <c r="A91" s="7" t="n">
        <v>16</v>
      </c>
      <c r="B91" s="7" t="s">
        <v>405</v>
      </c>
      <c r="C91" s="17" t="n">
        <f aca="false">IF($A91&gt;=Annahmen!$D$91,Annahmen!$D$92,0)</f>
        <v>1.5</v>
      </c>
      <c r="D91" s="17" t="n">
        <f aca="false">C91*Annahmen!$D$93</f>
        <v>0.3</v>
      </c>
      <c r="E91" s="24" t="n">
        <f aca="false">(C91-D91)*Annahmen!$B$105</f>
        <v>588</v>
      </c>
      <c r="F91" s="17" t="n">
        <f aca="false">IF($A91&gt;Annahmen!$B$95,INDEX($C$76:$C$99,$A91-Annahmen!$B$95)*Annahmen!$D$94,0)</f>
        <v>0.75</v>
      </c>
      <c r="G91" s="24" t="n">
        <f aca="false">F91*(Annahmen!$D$96*(Annahmen!$B$106+Annahmen!$B$107)-Annahmen!$B$105*(1-Annahmen!$D$93))</f>
        <v>2940</v>
      </c>
      <c r="H91" s="17" t="n">
        <f aca="false">IF($A91&gt;=Annahmen!$D$91,Annahmen!$D$97,0)</f>
        <v>3</v>
      </c>
      <c r="I91" s="24" t="n">
        <f aca="false">H91*(Annahmen!$B$106+Annahmen!$D$98*Annahmen!$B$107)</f>
        <v>1149</v>
      </c>
      <c r="J91" s="17" t="n">
        <f aca="false">IF($A91&gt;=Annahmen!$D$91,Annahmen!$D$99,0)</f>
        <v>2</v>
      </c>
      <c r="K91" s="24" t="n">
        <f aca="false">J91*(Annahmen!$B$108+Annahmen!$B$100*Annahmen!$B$111)</f>
        <v>509.032258064516</v>
      </c>
      <c r="L91" s="17" t="n">
        <f aca="false">IF($A91&gt;=Annahmen!$D$91,Annahmen!$D$101,0)</f>
        <v>20</v>
      </c>
      <c r="M91" s="24" t="n">
        <f aca="false">L91*Annahmen!$B$112</f>
        <v>1780</v>
      </c>
      <c r="N91" s="15" t="n">
        <f aca="false">IF($A91&gt;=Annahmen!$D$91,Annahmen!$D$102,0)</f>
        <v>300</v>
      </c>
      <c r="O91" s="24" t="n">
        <f aca="false">N91*Annahmen!$B$113</f>
        <v>1800</v>
      </c>
      <c r="P91" s="15" t="n">
        <f aca="false">IF($A91&gt;=Annahmen!$D$91,Annahmen!$D$103,0)</f>
        <v>100</v>
      </c>
      <c r="Q91" s="24" t="n">
        <f aca="false">P91*Annahmen!$B$114</f>
        <v>400</v>
      </c>
      <c r="R91" s="17" t="n">
        <f aca="false">IF($A91&gt;=Annahmen!$D$91,Annahmen!$D$104,0)</f>
        <v>4</v>
      </c>
      <c r="S91" s="24" t="n">
        <f aca="false">R91*Annahmen!$B$115</f>
        <v>196</v>
      </c>
      <c r="T91" s="24" t="n">
        <f aca="false">E91+G91+I91+K91+M91+O91+Q91+S91</f>
        <v>9362.03225806452</v>
      </c>
      <c r="U91" s="24" t="n">
        <f aca="false">C91*Annahmen!$B$52+F91*Annahmen!$D$96*Annahmen!$B$48+H91*(Annahmen!$B$46+Annahmen!$D$98*(Annahmen!$B$48-Annahmen!$B$46))+J91*Annahmen!$B$49+L91*Annahmen!$B$50+(N91+P91)*Annahmen!$B$51</f>
        <v>134.866004269115</v>
      </c>
      <c r="V91" s="24" t="n">
        <f aca="false">SUMPRODUCT((((Annahmen!$C$161:$C$174="monatlich")*(Annahmen!$D$161:$D$174&lt;=$A91))+((Annahmen!$C$161:$C$174="einmalig")*(Annahmen!$D$161:$D$174=$A91)))*Annahmen!$B$161:$B$174*Annahmen!$F$161:$F$174)</f>
        <v>50.8275708031806</v>
      </c>
      <c r="W91" s="24" t="n">
        <f aca="false">Annahmen!$D$144</f>
        <v>400</v>
      </c>
      <c r="X91" s="17" t="n">
        <f aca="false">C91+F91*Annahmen!$D$96+H91+J91+L91/Annahmen!$B$47+(N91+P91)/(Annahmen!$B$24/Annahmen!$B$25)</f>
        <v>16.075</v>
      </c>
      <c r="Y91" s="36" t="n">
        <f aca="false">MAX(0,(X91-Annahmen!$B$149)/Annahmen!$B$150)</f>
        <v>0.538333333333333</v>
      </c>
      <c r="Z91" s="24" t="n">
        <f aca="false">Y91*Annahmen!$B$146</f>
        <v>2422.5</v>
      </c>
      <c r="AA91" s="24" t="n">
        <f aca="false">T91-U91-V91-W91-Z91</f>
        <v>6353.83868299222</v>
      </c>
      <c r="AB91" s="24" t="n">
        <f aca="false">AB90+AA91</f>
        <v>82142.8364704379</v>
      </c>
      <c r="AC91" s="7" t="n">
        <f aca="false">IF(AA91&gt;0,1,0)</f>
        <v>1</v>
      </c>
      <c r="AD91" s="7" t="n">
        <f aca="false">IF(AB91&gt;=0,1,0)</f>
        <v>1</v>
      </c>
    </row>
    <row r="92" customFormat="false" ht="15" hidden="false" customHeight="false" outlineLevel="0" collapsed="false">
      <c r="A92" s="7" t="n">
        <v>17</v>
      </c>
      <c r="B92" s="7" t="s">
        <v>406</v>
      </c>
      <c r="C92" s="17" t="n">
        <f aca="false">IF($A92&gt;=Annahmen!$D$91,Annahmen!$D$92,0)</f>
        <v>1.5</v>
      </c>
      <c r="D92" s="17" t="n">
        <f aca="false">C92*Annahmen!$D$93</f>
        <v>0.3</v>
      </c>
      <c r="E92" s="24" t="n">
        <f aca="false">(C92-D92)*Annahmen!$B$105</f>
        <v>588</v>
      </c>
      <c r="F92" s="17" t="n">
        <f aca="false">IF($A92&gt;Annahmen!$B$95,INDEX($C$76:$C$99,$A92-Annahmen!$B$95)*Annahmen!$D$94,0)</f>
        <v>0.75</v>
      </c>
      <c r="G92" s="24" t="n">
        <f aca="false">F92*(Annahmen!$D$96*(Annahmen!$B$106+Annahmen!$B$107)-Annahmen!$B$105*(1-Annahmen!$D$93))</f>
        <v>2940</v>
      </c>
      <c r="H92" s="17" t="n">
        <f aca="false">IF($A92&gt;=Annahmen!$D$91,Annahmen!$D$97,0)</f>
        <v>3</v>
      </c>
      <c r="I92" s="24" t="n">
        <f aca="false">H92*(Annahmen!$B$106+Annahmen!$D$98*Annahmen!$B$107)</f>
        <v>1149</v>
      </c>
      <c r="J92" s="17" t="n">
        <f aca="false">IF($A92&gt;=Annahmen!$D$91,Annahmen!$D$99,0)</f>
        <v>2</v>
      </c>
      <c r="K92" s="24" t="n">
        <f aca="false">J92*(Annahmen!$B$108+Annahmen!$B$100*Annahmen!$B$111)</f>
        <v>509.032258064516</v>
      </c>
      <c r="L92" s="17" t="n">
        <f aca="false">IF($A92&gt;=Annahmen!$D$91,Annahmen!$D$101,0)</f>
        <v>20</v>
      </c>
      <c r="M92" s="24" t="n">
        <f aca="false">L92*Annahmen!$B$112</f>
        <v>1780</v>
      </c>
      <c r="N92" s="15" t="n">
        <f aca="false">IF($A92&gt;=Annahmen!$D$91,Annahmen!$D$102,0)</f>
        <v>300</v>
      </c>
      <c r="O92" s="24" t="n">
        <f aca="false">N92*Annahmen!$B$113</f>
        <v>1800</v>
      </c>
      <c r="P92" s="15" t="n">
        <f aca="false">IF($A92&gt;=Annahmen!$D$91,Annahmen!$D$103,0)</f>
        <v>100</v>
      </c>
      <c r="Q92" s="24" t="n">
        <f aca="false">P92*Annahmen!$B$114</f>
        <v>400</v>
      </c>
      <c r="R92" s="17" t="n">
        <f aca="false">IF($A92&gt;=Annahmen!$D$91,Annahmen!$D$104,0)</f>
        <v>4</v>
      </c>
      <c r="S92" s="24" t="n">
        <f aca="false">R92*Annahmen!$B$115</f>
        <v>196</v>
      </c>
      <c r="T92" s="24" t="n">
        <f aca="false">E92+G92+I92+K92+M92+O92+Q92+S92</f>
        <v>9362.03225806452</v>
      </c>
      <c r="U92" s="24" t="n">
        <f aca="false">C92*Annahmen!$B$52+F92*Annahmen!$D$96*Annahmen!$B$48+H92*(Annahmen!$B$46+Annahmen!$D$98*(Annahmen!$B$48-Annahmen!$B$46))+J92*Annahmen!$B$49+L92*Annahmen!$B$50+(N92+P92)*Annahmen!$B$51</f>
        <v>134.866004269115</v>
      </c>
      <c r="V92" s="24" t="n">
        <f aca="false">SUMPRODUCT((((Annahmen!$C$161:$C$174="monatlich")*(Annahmen!$D$161:$D$174&lt;=$A92))+((Annahmen!$C$161:$C$174="einmalig")*(Annahmen!$D$161:$D$174=$A92)))*Annahmen!$B$161:$B$174*Annahmen!$F$161:$F$174)</f>
        <v>50.8275708031806</v>
      </c>
      <c r="W92" s="24" t="n">
        <f aca="false">Annahmen!$D$144</f>
        <v>400</v>
      </c>
      <c r="X92" s="17" t="n">
        <f aca="false">C92+F92*Annahmen!$D$96+H92+J92+L92/Annahmen!$B$47+(N92+P92)/(Annahmen!$B$24/Annahmen!$B$25)</f>
        <v>16.075</v>
      </c>
      <c r="Y92" s="36" t="n">
        <f aca="false">MAX(0,(X92-Annahmen!$B$149)/Annahmen!$B$150)</f>
        <v>0.538333333333333</v>
      </c>
      <c r="Z92" s="24" t="n">
        <f aca="false">Y92*Annahmen!$B$146</f>
        <v>2422.5</v>
      </c>
      <c r="AA92" s="24" t="n">
        <f aca="false">T92-U92-V92-W92-Z92</f>
        <v>6353.83868299222</v>
      </c>
      <c r="AB92" s="24" t="n">
        <f aca="false">AB91+AA92</f>
        <v>88496.6751534301</v>
      </c>
      <c r="AC92" s="7" t="n">
        <f aca="false">IF(AA92&gt;0,1,0)</f>
        <v>1</v>
      </c>
      <c r="AD92" s="7" t="n">
        <f aca="false">IF(AB92&gt;=0,1,0)</f>
        <v>1</v>
      </c>
    </row>
    <row r="93" customFormat="false" ht="15" hidden="false" customHeight="false" outlineLevel="0" collapsed="false">
      <c r="A93" s="7" t="n">
        <v>18</v>
      </c>
      <c r="B93" s="7" t="s">
        <v>407</v>
      </c>
      <c r="C93" s="17" t="n">
        <f aca="false">IF($A93&gt;=Annahmen!$D$91,Annahmen!$D$92,0)</f>
        <v>1.5</v>
      </c>
      <c r="D93" s="17" t="n">
        <f aca="false">C93*Annahmen!$D$93</f>
        <v>0.3</v>
      </c>
      <c r="E93" s="24" t="n">
        <f aca="false">(C93-D93)*Annahmen!$B$105</f>
        <v>588</v>
      </c>
      <c r="F93" s="17" t="n">
        <f aca="false">IF($A93&gt;Annahmen!$B$95,INDEX($C$76:$C$99,$A93-Annahmen!$B$95)*Annahmen!$D$94,0)</f>
        <v>0.75</v>
      </c>
      <c r="G93" s="24" t="n">
        <f aca="false">F93*(Annahmen!$D$96*(Annahmen!$B$106+Annahmen!$B$107)-Annahmen!$B$105*(1-Annahmen!$D$93))</f>
        <v>2940</v>
      </c>
      <c r="H93" s="17" t="n">
        <f aca="false">IF($A93&gt;=Annahmen!$D$91,Annahmen!$D$97,0)</f>
        <v>3</v>
      </c>
      <c r="I93" s="24" t="n">
        <f aca="false">H93*(Annahmen!$B$106+Annahmen!$D$98*Annahmen!$B$107)</f>
        <v>1149</v>
      </c>
      <c r="J93" s="17" t="n">
        <f aca="false">IF($A93&gt;=Annahmen!$D$91,Annahmen!$D$99,0)</f>
        <v>2</v>
      </c>
      <c r="K93" s="24" t="n">
        <f aca="false">J93*(Annahmen!$B$108+Annahmen!$B$100*Annahmen!$B$111)</f>
        <v>509.032258064516</v>
      </c>
      <c r="L93" s="17" t="n">
        <f aca="false">IF($A93&gt;=Annahmen!$D$91,Annahmen!$D$101,0)</f>
        <v>20</v>
      </c>
      <c r="M93" s="24" t="n">
        <f aca="false">L93*Annahmen!$B$112</f>
        <v>1780</v>
      </c>
      <c r="N93" s="15" t="n">
        <f aca="false">IF($A93&gt;=Annahmen!$D$91,Annahmen!$D$102,0)</f>
        <v>300</v>
      </c>
      <c r="O93" s="24" t="n">
        <f aca="false">N93*Annahmen!$B$113</f>
        <v>1800</v>
      </c>
      <c r="P93" s="15" t="n">
        <f aca="false">IF($A93&gt;=Annahmen!$D$91,Annahmen!$D$103,0)</f>
        <v>100</v>
      </c>
      <c r="Q93" s="24" t="n">
        <f aca="false">P93*Annahmen!$B$114</f>
        <v>400</v>
      </c>
      <c r="R93" s="17" t="n">
        <f aca="false">IF($A93&gt;=Annahmen!$D$91,Annahmen!$D$104,0)</f>
        <v>4</v>
      </c>
      <c r="S93" s="24" t="n">
        <f aca="false">R93*Annahmen!$B$115</f>
        <v>196</v>
      </c>
      <c r="T93" s="24" t="n">
        <f aca="false">E93+G93+I93+K93+M93+O93+Q93+S93</f>
        <v>9362.03225806452</v>
      </c>
      <c r="U93" s="24" t="n">
        <f aca="false">C93*Annahmen!$B$52+F93*Annahmen!$D$96*Annahmen!$B$48+H93*(Annahmen!$B$46+Annahmen!$D$98*(Annahmen!$B$48-Annahmen!$B$46))+J93*Annahmen!$B$49+L93*Annahmen!$B$50+(N93+P93)*Annahmen!$B$51</f>
        <v>134.866004269115</v>
      </c>
      <c r="V93" s="24" t="n">
        <f aca="false">SUMPRODUCT((((Annahmen!$C$161:$C$174="monatlich")*(Annahmen!$D$161:$D$174&lt;=$A93))+((Annahmen!$C$161:$C$174="einmalig")*(Annahmen!$D$161:$D$174=$A93)))*Annahmen!$B$161:$B$174*Annahmen!$F$161:$F$174)</f>
        <v>50.8275708031806</v>
      </c>
      <c r="W93" s="24" t="n">
        <f aca="false">Annahmen!$D$144</f>
        <v>400</v>
      </c>
      <c r="X93" s="17" t="n">
        <f aca="false">C93+F93*Annahmen!$D$96+H93+J93+L93/Annahmen!$B$47+(N93+P93)/(Annahmen!$B$24/Annahmen!$B$25)</f>
        <v>16.075</v>
      </c>
      <c r="Y93" s="36" t="n">
        <f aca="false">MAX(0,(X93-Annahmen!$B$149)/Annahmen!$B$150)</f>
        <v>0.538333333333333</v>
      </c>
      <c r="Z93" s="24" t="n">
        <f aca="false">Y93*Annahmen!$B$146</f>
        <v>2422.5</v>
      </c>
      <c r="AA93" s="24" t="n">
        <f aca="false">T93-U93-V93-W93-Z93</f>
        <v>6353.83868299222</v>
      </c>
      <c r="AB93" s="24" t="n">
        <f aca="false">AB92+AA93</f>
        <v>94850.5138364223</v>
      </c>
      <c r="AC93" s="7" t="n">
        <f aca="false">IF(AA93&gt;0,1,0)</f>
        <v>1</v>
      </c>
      <c r="AD93" s="7" t="n">
        <f aca="false">IF(AB93&gt;=0,1,0)</f>
        <v>1</v>
      </c>
    </row>
    <row r="94" customFormat="false" ht="15" hidden="false" customHeight="false" outlineLevel="0" collapsed="false">
      <c r="A94" s="7" t="n">
        <v>19</v>
      </c>
      <c r="B94" s="7" t="s">
        <v>408</v>
      </c>
      <c r="C94" s="17" t="n">
        <f aca="false">IF($A94&gt;=Annahmen!$D$91,Annahmen!$D$92,0)</f>
        <v>1.5</v>
      </c>
      <c r="D94" s="17" t="n">
        <f aca="false">C94*Annahmen!$D$93</f>
        <v>0.3</v>
      </c>
      <c r="E94" s="24" t="n">
        <f aca="false">(C94-D94)*Annahmen!$B$105</f>
        <v>588</v>
      </c>
      <c r="F94" s="17" t="n">
        <f aca="false">IF($A94&gt;Annahmen!$B$95,INDEX($C$76:$C$99,$A94-Annahmen!$B$95)*Annahmen!$D$94,0)</f>
        <v>0.75</v>
      </c>
      <c r="G94" s="24" t="n">
        <f aca="false">F94*(Annahmen!$D$96*(Annahmen!$B$106+Annahmen!$B$107)-Annahmen!$B$105*(1-Annahmen!$D$93))</f>
        <v>2940</v>
      </c>
      <c r="H94" s="17" t="n">
        <f aca="false">IF($A94&gt;=Annahmen!$D$91,Annahmen!$D$97,0)</f>
        <v>3</v>
      </c>
      <c r="I94" s="24" t="n">
        <f aca="false">H94*(Annahmen!$B$106+Annahmen!$D$98*Annahmen!$B$107)</f>
        <v>1149</v>
      </c>
      <c r="J94" s="17" t="n">
        <f aca="false">IF($A94&gt;=Annahmen!$D$91,Annahmen!$D$99,0)</f>
        <v>2</v>
      </c>
      <c r="K94" s="24" t="n">
        <f aca="false">J94*(Annahmen!$B$108+Annahmen!$B$100*Annahmen!$B$111)</f>
        <v>509.032258064516</v>
      </c>
      <c r="L94" s="17" t="n">
        <f aca="false">IF($A94&gt;=Annahmen!$D$91,Annahmen!$D$101,0)</f>
        <v>20</v>
      </c>
      <c r="M94" s="24" t="n">
        <f aca="false">L94*Annahmen!$B$112</f>
        <v>1780</v>
      </c>
      <c r="N94" s="15" t="n">
        <f aca="false">IF($A94&gt;=Annahmen!$D$91,Annahmen!$D$102,0)</f>
        <v>300</v>
      </c>
      <c r="O94" s="24" t="n">
        <f aca="false">N94*Annahmen!$B$113</f>
        <v>1800</v>
      </c>
      <c r="P94" s="15" t="n">
        <f aca="false">IF($A94&gt;=Annahmen!$D$91,Annahmen!$D$103,0)</f>
        <v>100</v>
      </c>
      <c r="Q94" s="24" t="n">
        <f aca="false">P94*Annahmen!$B$114</f>
        <v>400</v>
      </c>
      <c r="R94" s="17" t="n">
        <f aca="false">IF($A94&gt;=Annahmen!$D$91,Annahmen!$D$104,0)</f>
        <v>4</v>
      </c>
      <c r="S94" s="24" t="n">
        <f aca="false">R94*Annahmen!$B$115</f>
        <v>196</v>
      </c>
      <c r="T94" s="24" t="n">
        <f aca="false">E94+G94+I94+K94+M94+O94+Q94+S94</f>
        <v>9362.03225806452</v>
      </c>
      <c r="U94" s="24" t="n">
        <f aca="false">C94*Annahmen!$B$52+F94*Annahmen!$D$96*Annahmen!$B$48+H94*(Annahmen!$B$46+Annahmen!$D$98*(Annahmen!$B$48-Annahmen!$B$46))+J94*Annahmen!$B$49+L94*Annahmen!$B$50+(N94+P94)*Annahmen!$B$51</f>
        <v>134.866004269115</v>
      </c>
      <c r="V94" s="24" t="n">
        <f aca="false">SUMPRODUCT((((Annahmen!$C$161:$C$174="monatlich")*(Annahmen!$D$161:$D$174&lt;=$A94))+((Annahmen!$C$161:$C$174="einmalig")*(Annahmen!$D$161:$D$174=$A94)))*Annahmen!$B$161:$B$174*Annahmen!$F$161:$F$174)</f>
        <v>50.8275708031806</v>
      </c>
      <c r="W94" s="24" t="n">
        <f aca="false">Annahmen!$D$144</f>
        <v>400</v>
      </c>
      <c r="X94" s="17" t="n">
        <f aca="false">C94+F94*Annahmen!$D$96+H94+J94+L94/Annahmen!$B$47+(N94+P94)/(Annahmen!$B$24/Annahmen!$B$25)</f>
        <v>16.075</v>
      </c>
      <c r="Y94" s="36" t="n">
        <f aca="false">MAX(0,(X94-Annahmen!$B$149)/Annahmen!$B$150)</f>
        <v>0.538333333333333</v>
      </c>
      <c r="Z94" s="24" t="n">
        <f aca="false">Y94*Annahmen!$B$146</f>
        <v>2422.5</v>
      </c>
      <c r="AA94" s="24" t="n">
        <f aca="false">T94-U94-V94-W94-Z94</f>
        <v>6353.83868299222</v>
      </c>
      <c r="AB94" s="24" t="n">
        <f aca="false">AB93+AA94</f>
        <v>101204.352519415</v>
      </c>
      <c r="AC94" s="7" t="n">
        <f aca="false">IF(AA94&gt;0,1,0)</f>
        <v>1</v>
      </c>
      <c r="AD94" s="7" t="n">
        <f aca="false">IF(AB94&gt;=0,1,0)</f>
        <v>1</v>
      </c>
    </row>
    <row r="95" customFormat="false" ht="15" hidden="false" customHeight="false" outlineLevel="0" collapsed="false">
      <c r="A95" s="7" t="n">
        <v>20</v>
      </c>
      <c r="B95" s="7" t="s">
        <v>409</v>
      </c>
      <c r="C95" s="17" t="n">
        <f aca="false">IF($A95&gt;=Annahmen!$D$91,Annahmen!$D$92,0)</f>
        <v>1.5</v>
      </c>
      <c r="D95" s="17" t="n">
        <f aca="false">C95*Annahmen!$D$93</f>
        <v>0.3</v>
      </c>
      <c r="E95" s="24" t="n">
        <f aca="false">(C95-D95)*Annahmen!$B$105</f>
        <v>588</v>
      </c>
      <c r="F95" s="17" t="n">
        <f aca="false">IF($A95&gt;Annahmen!$B$95,INDEX($C$76:$C$99,$A95-Annahmen!$B$95)*Annahmen!$D$94,0)</f>
        <v>0.75</v>
      </c>
      <c r="G95" s="24" t="n">
        <f aca="false">F95*(Annahmen!$D$96*(Annahmen!$B$106+Annahmen!$B$107)-Annahmen!$B$105*(1-Annahmen!$D$93))</f>
        <v>2940</v>
      </c>
      <c r="H95" s="17" t="n">
        <f aca="false">IF($A95&gt;=Annahmen!$D$91,Annahmen!$D$97,0)</f>
        <v>3</v>
      </c>
      <c r="I95" s="24" t="n">
        <f aca="false">H95*(Annahmen!$B$106+Annahmen!$D$98*Annahmen!$B$107)</f>
        <v>1149</v>
      </c>
      <c r="J95" s="17" t="n">
        <f aca="false">IF($A95&gt;=Annahmen!$D$91,Annahmen!$D$99,0)</f>
        <v>2</v>
      </c>
      <c r="K95" s="24" t="n">
        <f aca="false">J95*(Annahmen!$B$108+Annahmen!$B$100*Annahmen!$B$111)</f>
        <v>509.032258064516</v>
      </c>
      <c r="L95" s="17" t="n">
        <f aca="false">IF($A95&gt;=Annahmen!$D$91,Annahmen!$D$101,0)</f>
        <v>20</v>
      </c>
      <c r="M95" s="24" t="n">
        <f aca="false">L95*Annahmen!$B$112</f>
        <v>1780</v>
      </c>
      <c r="N95" s="15" t="n">
        <f aca="false">IF($A95&gt;=Annahmen!$D$91,Annahmen!$D$102,0)</f>
        <v>300</v>
      </c>
      <c r="O95" s="24" t="n">
        <f aca="false">N95*Annahmen!$B$113</f>
        <v>1800</v>
      </c>
      <c r="P95" s="15" t="n">
        <f aca="false">IF($A95&gt;=Annahmen!$D$91,Annahmen!$D$103,0)</f>
        <v>100</v>
      </c>
      <c r="Q95" s="24" t="n">
        <f aca="false">P95*Annahmen!$B$114</f>
        <v>400</v>
      </c>
      <c r="R95" s="17" t="n">
        <f aca="false">IF($A95&gt;=Annahmen!$D$91,Annahmen!$D$104,0)</f>
        <v>4</v>
      </c>
      <c r="S95" s="24" t="n">
        <f aca="false">R95*Annahmen!$B$115</f>
        <v>196</v>
      </c>
      <c r="T95" s="24" t="n">
        <f aca="false">E95+G95+I95+K95+M95+O95+Q95+S95</f>
        <v>9362.03225806452</v>
      </c>
      <c r="U95" s="24" t="n">
        <f aca="false">C95*Annahmen!$B$52+F95*Annahmen!$D$96*Annahmen!$B$48+H95*(Annahmen!$B$46+Annahmen!$D$98*(Annahmen!$B$48-Annahmen!$B$46))+J95*Annahmen!$B$49+L95*Annahmen!$B$50+(N95+P95)*Annahmen!$B$51</f>
        <v>134.866004269115</v>
      </c>
      <c r="V95" s="24" t="n">
        <f aca="false">SUMPRODUCT((((Annahmen!$C$161:$C$174="monatlich")*(Annahmen!$D$161:$D$174&lt;=$A95))+((Annahmen!$C$161:$C$174="einmalig")*(Annahmen!$D$161:$D$174=$A95)))*Annahmen!$B$161:$B$174*Annahmen!$F$161:$F$174)</f>
        <v>50.8275708031806</v>
      </c>
      <c r="W95" s="24" t="n">
        <f aca="false">Annahmen!$D$144</f>
        <v>400</v>
      </c>
      <c r="X95" s="17" t="n">
        <f aca="false">C95+F95*Annahmen!$D$96+H95+J95+L95/Annahmen!$B$47+(N95+P95)/(Annahmen!$B$24/Annahmen!$B$25)</f>
        <v>16.075</v>
      </c>
      <c r="Y95" s="36" t="n">
        <f aca="false">MAX(0,(X95-Annahmen!$B$149)/Annahmen!$B$150)</f>
        <v>0.538333333333333</v>
      </c>
      <c r="Z95" s="24" t="n">
        <f aca="false">Y95*Annahmen!$B$146</f>
        <v>2422.5</v>
      </c>
      <c r="AA95" s="24" t="n">
        <f aca="false">T95-U95-V95-W95-Z95</f>
        <v>6353.83868299222</v>
      </c>
      <c r="AB95" s="24" t="n">
        <f aca="false">AB94+AA95</f>
        <v>107558.191202407</v>
      </c>
      <c r="AC95" s="7" t="n">
        <f aca="false">IF(AA95&gt;0,1,0)</f>
        <v>1</v>
      </c>
      <c r="AD95" s="7" t="n">
        <f aca="false">IF(AB95&gt;=0,1,0)</f>
        <v>1</v>
      </c>
    </row>
    <row r="96" customFormat="false" ht="15" hidden="false" customHeight="false" outlineLevel="0" collapsed="false">
      <c r="A96" s="7" t="n">
        <v>21</v>
      </c>
      <c r="B96" s="7" t="s">
        <v>410</v>
      </c>
      <c r="C96" s="17" t="n">
        <f aca="false">IF($A96&gt;=Annahmen!$D$91,Annahmen!$D$92,0)</f>
        <v>1.5</v>
      </c>
      <c r="D96" s="17" t="n">
        <f aca="false">C96*Annahmen!$D$93</f>
        <v>0.3</v>
      </c>
      <c r="E96" s="24" t="n">
        <f aca="false">(C96-D96)*Annahmen!$B$105</f>
        <v>588</v>
      </c>
      <c r="F96" s="17" t="n">
        <f aca="false">IF($A96&gt;Annahmen!$B$95,INDEX($C$76:$C$99,$A96-Annahmen!$B$95)*Annahmen!$D$94,0)</f>
        <v>0.75</v>
      </c>
      <c r="G96" s="24" t="n">
        <f aca="false">F96*(Annahmen!$D$96*(Annahmen!$B$106+Annahmen!$B$107)-Annahmen!$B$105*(1-Annahmen!$D$93))</f>
        <v>2940</v>
      </c>
      <c r="H96" s="17" t="n">
        <f aca="false">IF($A96&gt;=Annahmen!$D$91,Annahmen!$D$97,0)</f>
        <v>3</v>
      </c>
      <c r="I96" s="24" t="n">
        <f aca="false">H96*(Annahmen!$B$106+Annahmen!$D$98*Annahmen!$B$107)</f>
        <v>1149</v>
      </c>
      <c r="J96" s="17" t="n">
        <f aca="false">IF($A96&gt;=Annahmen!$D$91,Annahmen!$D$99,0)</f>
        <v>2</v>
      </c>
      <c r="K96" s="24" t="n">
        <f aca="false">J96*(Annahmen!$B$108+Annahmen!$B$100*Annahmen!$B$111)</f>
        <v>509.032258064516</v>
      </c>
      <c r="L96" s="17" t="n">
        <f aca="false">IF($A96&gt;=Annahmen!$D$91,Annahmen!$D$101,0)</f>
        <v>20</v>
      </c>
      <c r="M96" s="24" t="n">
        <f aca="false">L96*Annahmen!$B$112</f>
        <v>1780</v>
      </c>
      <c r="N96" s="15" t="n">
        <f aca="false">IF($A96&gt;=Annahmen!$D$91,Annahmen!$D$102,0)</f>
        <v>300</v>
      </c>
      <c r="O96" s="24" t="n">
        <f aca="false">N96*Annahmen!$B$113</f>
        <v>1800</v>
      </c>
      <c r="P96" s="15" t="n">
        <f aca="false">IF($A96&gt;=Annahmen!$D$91,Annahmen!$D$103,0)</f>
        <v>100</v>
      </c>
      <c r="Q96" s="24" t="n">
        <f aca="false">P96*Annahmen!$B$114</f>
        <v>400</v>
      </c>
      <c r="R96" s="17" t="n">
        <f aca="false">IF($A96&gt;=Annahmen!$D$91,Annahmen!$D$104,0)</f>
        <v>4</v>
      </c>
      <c r="S96" s="24" t="n">
        <f aca="false">R96*Annahmen!$B$115</f>
        <v>196</v>
      </c>
      <c r="T96" s="24" t="n">
        <f aca="false">E96+G96+I96+K96+M96+O96+Q96+S96</f>
        <v>9362.03225806452</v>
      </c>
      <c r="U96" s="24" t="n">
        <f aca="false">C96*Annahmen!$B$52+F96*Annahmen!$D$96*Annahmen!$B$48+H96*(Annahmen!$B$46+Annahmen!$D$98*(Annahmen!$B$48-Annahmen!$B$46))+J96*Annahmen!$B$49+L96*Annahmen!$B$50+(N96+P96)*Annahmen!$B$51</f>
        <v>134.866004269115</v>
      </c>
      <c r="V96" s="24" t="n">
        <f aca="false">SUMPRODUCT((((Annahmen!$C$161:$C$174="monatlich")*(Annahmen!$D$161:$D$174&lt;=$A96))+((Annahmen!$C$161:$C$174="einmalig")*(Annahmen!$D$161:$D$174=$A96)))*Annahmen!$B$161:$B$174*Annahmen!$F$161:$F$174)</f>
        <v>50.8275708031806</v>
      </c>
      <c r="W96" s="24" t="n">
        <f aca="false">Annahmen!$D$144</f>
        <v>400</v>
      </c>
      <c r="X96" s="17" t="n">
        <f aca="false">C96+F96*Annahmen!$D$96+H96+J96+L96/Annahmen!$B$47+(N96+P96)/(Annahmen!$B$24/Annahmen!$B$25)</f>
        <v>16.075</v>
      </c>
      <c r="Y96" s="36" t="n">
        <f aca="false">MAX(0,(X96-Annahmen!$B$149)/Annahmen!$B$150)</f>
        <v>0.538333333333333</v>
      </c>
      <c r="Z96" s="24" t="n">
        <f aca="false">Y96*Annahmen!$B$146</f>
        <v>2422.5</v>
      </c>
      <c r="AA96" s="24" t="n">
        <f aca="false">T96-U96-V96-W96-Z96</f>
        <v>6353.83868299222</v>
      </c>
      <c r="AB96" s="24" t="n">
        <f aca="false">AB95+AA96</f>
        <v>113912.029885399</v>
      </c>
      <c r="AC96" s="7" t="n">
        <f aca="false">IF(AA96&gt;0,1,0)</f>
        <v>1</v>
      </c>
      <c r="AD96" s="7" t="n">
        <f aca="false">IF(AB96&gt;=0,1,0)</f>
        <v>1</v>
      </c>
    </row>
    <row r="97" customFormat="false" ht="15" hidden="false" customHeight="false" outlineLevel="0" collapsed="false">
      <c r="A97" s="7" t="n">
        <v>22</v>
      </c>
      <c r="B97" s="7" t="s">
        <v>411</v>
      </c>
      <c r="C97" s="17" t="n">
        <f aca="false">IF($A97&gt;=Annahmen!$D$91,Annahmen!$D$92,0)</f>
        <v>1.5</v>
      </c>
      <c r="D97" s="17" t="n">
        <f aca="false">C97*Annahmen!$D$93</f>
        <v>0.3</v>
      </c>
      <c r="E97" s="24" t="n">
        <f aca="false">(C97-D97)*Annahmen!$B$105</f>
        <v>588</v>
      </c>
      <c r="F97" s="17" t="n">
        <f aca="false">IF($A97&gt;Annahmen!$B$95,INDEX($C$76:$C$99,$A97-Annahmen!$B$95)*Annahmen!$D$94,0)</f>
        <v>0.75</v>
      </c>
      <c r="G97" s="24" t="n">
        <f aca="false">F97*(Annahmen!$D$96*(Annahmen!$B$106+Annahmen!$B$107)-Annahmen!$B$105*(1-Annahmen!$D$93))</f>
        <v>2940</v>
      </c>
      <c r="H97" s="17" t="n">
        <f aca="false">IF($A97&gt;=Annahmen!$D$91,Annahmen!$D$97,0)</f>
        <v>3</v>
      </c>
      <c r="I97" s="24" t="n">
        <f aca="false">H97*(Annahmen!$B$106+Annahmen!$D$98*Annahmen!$B$107)</f>
        <v>1149</v>
      </c>
      <c r="J97" s="17" t="n">
        <f aca="false">IF($A97&gt;=Annahmen!$D$91,Annahmen!$D$99,0)</f>
        <v>2</v>
      </c>
      <c r="K97" s="24" t="n">
        <f aca="false">J97*(Annahmen!$B$108+Annahmen!$B$100*Annahmen!$B$111)</f>
        <v>509.032258064516</v>
      </c>
      <c r="L97" s="17" t="n">
        <f aca="false">IF($A97&gt;=Annahmen!$D$91,Annahmen!$D$101,0)</f>
        <v>20</v>
      </c>
      <c r="M97" s="24" t="n">
        <f aca="false">L97*Annahmen!$B$112</f>
        <v>1780</v>
      </c>
      <c r="N97" s="15" t="n">
        <f aca="false">IF($A97&gt;=Annahmen!$D$91,Annahmen!$D$102,0)</f>
        <v>300</v>
      </c>
      <c r="O97" s="24" t="n">
        <f aca="false">N97*Annahmen!$B$113</f>
        <v>1800</v>
      </c>
      <c r="P97" s="15" t="n">
        <f aca="false">IF($A97&gt;=Annahmen!$D$91,Annahmen!$D$103,0)</f>
        <v>100</v>
      </c>
      <c r="Q97" s="24" t="n">
        <f aca="false">P97*Annahmen!$B$114</f>
        <v>400</v>
      </c>
      <c r="R97" s="17" t="n">
        <f aca="false">IF($A97&gt;=Annahmen!$D$91,Annahmen!$D$104,0)</f>
        <v>4</v>
      </c>
      <c r="S97" s="24" t="n">
        <f aca="false">R97*Annahmen!$B$115</f>
        <v>196</v>
      </c>
      <c r="T97" s="24" t="n">
        <f aca="false">E97+G97+I97+K97+M97+O97+Q97+S97</f>
        <v>9362.03225806452</v>
      </c>
      <c r="U97" s="24" t="n">
        <f aca="false">C97*Annahmen!$B$52+F97*Annahmen!$D$96*Annahmen!$B$48+H97*(Annahmen!$B$46+Annahmen!$D$98*(Annahmen!$B$48-Annahmen!$B$46))+J97*Annahmen!$B$49+L97*Annahmen!$B$50+(N97+P97)*Annahmen!$B$51</f>
        <v>134.866004269115</v>
      </c>
      <c r="V97" s="24" t="n">
        <f aca="false">SUMPRODUCT((((Annahmen!$C$161:$C$174="monatlich")*(Annahmen!$D$161:$D$174&lt;=$A97))+((Annahmen!$C$161:$C$174="einmalig")*(Annahmen!$D$161:$D$174=$A97)))*Annahmen!$B$161:$B$174*Annahmen!$F$161:$F$174)</f>
        <v>50.8275708031806</v>
      </c>
      <c r="W97" s="24" t="n">
        <f aca="false">Annahmen!$D$144</f>
        <v>400</v>
      </c>
      <c r="X97" s="17" t="n">
        <f aca="false">C97+F97*Annahmen!$D$96+H97+J97+L97/Annahmen!$B$47+(N97+P97)/(Annahmen!$B$24/Annahmen!$B$25)</f>
        <v>16.075</v>
      </c>
      <c r="Y97" s="36" t="n">
        <f aca="false">MAX(0,(X97-Annahmen!$B$149)/Annahmen!$B$150)</f>
        <v>0.538333333333333</v>
      </c>
      <c r="Z97" s="24" t="n">
        <f aca="false">Y97*Annahmen!$B$146</f>
        <v>2422.5</v>
      </c>
      <c r="AA97" s="24" t="n">
        <f aca="false">T97-U97-V97-W97-Z97</f>
        <v>6353.83868299222</v>
      </c>
      <c r="AB97" s="24" t="n">
        <f aca="false">AB96+AA97</f>
        <v>120265.868568391</v>
      </c>
      <c r="AC97" s="7" t="n">
        <f aca="false">IF(AA97&gt;0,1,0)</f>
        <v>1</v>
      </c>
      <c r="AD97" s="7" t="n">
        <f aca="false">IF(AB97&gt;=0,1,0)</f>
        <v>1</v>
      </c>
    </row>
    <row r="98" customFormat="false" ht="15" hidden="false" customHeight="false" outlineLevel="0" collapsed="false">
      <c r="A98" s="7" t="n">
        <v>23</v>
      </c>
      <c r="B98" s="7" t="s">
        <v>412</v>
      </c>
      <c r="C98" s="17" t="n">
        <f aca="false">IF($A98&gt;=Annahmen!$D$91,Annahmen!$D$92,0)</f>
        <v>1.5</v>
      </c>
      <c r="D98" s="17" t="n">
        <f aca="false">C98*Annahmen!$D$93</f>
        <v>0.3</v>
      </c>
      <c r="E98" s="24" t="n">
        <f aca="false">(C98-D98)*Annahmen!$B$105</f>
        <v>588</v>
      </c>
      <c r="F98" s="17" t="n">
        <f aca="false">IF($A98&gt;Annahmen!$B$95,INDEX($C$76:$C$99,$A98-Annahmen!$B$95)*Annahmen!$D$94,0)</f>
        <v>0.75</v>
      </c>
      <c r="G98" s="24" t="n">
        <f aca="false">F98*(Annahmen!$D$96*(Annahmen!$B$106+Annahmen!$B$107)-Annahmen!$B$105*(1-Annahmen!$D$93))</f>
        <v>2940</v>
      </c>
      <c r="H98" s="17" t="n">
        <f aca="false">IF($A98&gt;=Annahmen!$D$91,Annahmen!$D$97,0)</f>
        <v>3</v>
      </c>
      <c r="I98" s="24" t="n">
        <f aca="false">H98*(Annahmen!$B$106+Annahmen!$D$98*Annahmen!$B$107)</f>
        <v>1149</v>
      </c>
      <c r="J98" s="17" t="n">
        <f aca="false">IF($A98&gt;=Annahmen!$D$91,Annahmen!$D$99,0)</f>
        <v>2</v>
      </c>
      <c r="K98" s="24" t="n">
        <f aca="false">J98*(Annahmen!$B$108+Annahmen!$B$100*Annahmen!$B$111)</f>
        <v>509.032258064516</v>
      </c>
      <c r="L98" s="17" t="n">
        <f aca="false">IF($A98&gt;=Annahmen!$D$91,Annahmen!$D$101,0)</f>
        <v>20</v>
      </c>
      <c r="M98" s="24" t="n">
        <f aca="false">L98*Annahmen!$B$112</f>
        <v>1780</v>
      </c>
      <c r="N98" s="15" t="n">
        <f aca="false">IF($A98&gt;=Annahmen!$D$91,Annahmen!$D$102,0)</f>
        <v>300</v>
      </c>
      <c r="O98" s="24" t="n">
        <f aca="false">N98*Annahmen!$B$113</f>
        <v>1800</v>
      </c>
      <c r="P98" s="15" t="n">
        <f aca="false">IF($A98&gt;=Annahmen!$D$91,Annahmen!$D$103,0)</f>
        <v>100</v>
      </c>
      <c r="Q98" s="24" t="n">
        <f aca="false">P98*Annahmen!$B$114</f>
        <v>400</v>
      </c>
      <c r="R98" s="17" t="n">
        <f aca="false">IF($A98&gt;=Annahmen!$D$91,Annahmen!$D$104,0)</f>
        <v>4</v>
      </c>
      <c r="S98" s="24" t="n">
        <f aca="false">R98*Annahmen!$B$115</f>
        <v>196</v>
      </c>
      <c r="T98" s="24" t="n">
        <f aca="false">E98+G98+I98+K98+M98+O98+Q98+S98</f>
        <v>9362.03225806452</v>
      </c>
      <c r="U98" s="24" t="n">
        <f aca="false">C98*Annahmen!$B$52+F98*Annahmen!$D$96*Annahmen!$B$48+H98*(Annahmen!$B$46+Annahmen!$D$98*(Annahmen!$B$48-Annahmen!$B$46))+J98*Annahmen!$B$49+L98*Annahmen!$B$50+(N98+P98)*Annahmen!$B$51</f>
        <v>134.866004269115</v>
      </c>
      <c r="V98" s="24" t="n">
        <f aca="false">SUMPRODUCT((((Annahmen!$C$161:$C$174="monatlich")*(Annahmen!$D$161:$D$174&lt;=$A98))+((Annahmen!$C$161:$C$174="einmalig")*(Annahmen!$D$161:$D$174=$A98)))*Annahmen!$B$161:$B$174*Annahmen!$F$161:$F$174)</f>
        <v>50.8275708031806</v>
      </c>
      <c r="W98" s="24" t="n">
        <f aca="false">Annahmen!$D$144</f>
        <v>400</v>
      </c>
      <c r="X98" s="17" t="n">
        <f aca="false">C98+F98*Annahmen!$D$96+H98+J98+L98/Annahmen!$B$47+(N98+P98)/(Annahmen!$B$24/Annahmen!$B$25)</f>
        <v>16.075</v>
      </c>
      <c r="Y98" s="36" t="n">
        <f aca="false">MAX(0,(X98-Annahmen!$B$149)/Annahmen!$B$150)</f>
        <v>0.538333333333333</v>
      </c>
      <c r="Z98" s="24" t="n">
        <f aca="false">Y98*Annahmen!$B$146</f>
        <v>2422.5</v>
      </c>
      <c r="AA98" s="24" t="n">
        <f aca="false">T98-U98-V98-W98-Z98</f>
        <v>6353.83868299222</v>
      </c>
      <c r="AB98" s="24" t="n">
        <f aca="false">AB97+AA98</f>
        <v>126619.707251383</v>
      </c>
      <c r="AC98" s="7" t="n">
        <f aca="false">IF(AA98&gt;0,1,0)</f>
        <v>1</v>
      </c>
      <c r="AD98" s="7" t="n">
        <f aca="false">IF(AB98&gt;=0,1,0)</f>
        <v>1</v>
      </c>
    </row>
    <row r="99" customFormat="false" ht="15" hidden="false" customHeight="false" outlineLevel="0" collapsed="false">
      <c r="A99" s="7" t="n">
        <v>24</v>
      </c>
      <c r="B99" s="7" t="s">
        <v>413</v>
      </c>
      <c r="C99" s="17" t="n">
        <f aca="false">IF($A99&gt;=Annahmen!$D$91,Annahmen!$D$92,0)</f>
        <v>1.5</v>
      </c>
      <c r="D99" s="17" t="n">
        <f aca="false">C99*Annahmen!$D$93</f>
        <v>0.3</v>
      </c>
      <c r="E99" s="24" t="n">
        <f aca="false">(C99-D99)*Annahmen!$B$105</f>
        <v>588</v>
      </c>
      <c r="F99" s="17" t="n">
        <f aca="false">IF($A99&gt;Annahmen!$B$95,INDEX($C$76:$C$99,$A99-Annahmen!$B$95)*Annahmen!$D$94,0)</f>
        <v>0.75</v>
      </c>
      <c r="G99" s="24" t="n">
        <f aca="false">F99*(Annahmen!$D$96*(Annahmen!$B$106+Annahmen!$B$107)-Annahmen!$B$105*(1-Annahmen!$D$93))</f>
        <v>2940</v>
      </c>
      <c r="H99" s="17" t="n">
        <f aca="false">IF($A99&gt;=Annahmen!$D$91,Annahmen!$D$97,0)</f>
        <v>3</v>
      </c>
      <c r="I99" s="24" t="n">
        <f aca="false">H99*(Annahmen!$B$106+Annahmen!$D$98*Annahmen!$B$107)</f>
        <v>1149</v>
      </c>
      <c r="J99" s="17" t="n">
        <f aca="false">IF($A99&gt;=Annahmen!$D$91,Annahmen!$D$99,0)</f>
        <v>2</v>
      </c>
      <c r="K99" s="24" t="n">
        <f aca="false">J99*(Annahmen!$B$108+Annahmen!$B$100*Annahmen!$B$111)</f>
        <v>509.032258064516</v>
      </c>
      <c r="L99" s="17" t="n">
        <f aca="false">IF($A99&gt;=Annahmen!$D$91,Annahmen!$D$101,0)</f>
        <v>20</v>
      </c>
      <c r="M99" s="24" t="n">
        <f aca="false">L99*Annahmen!$B$112</f>
        <v>1780</v>
      </c>
      <c r="N99" s="15" t="n">
        <f aca="false">IF($A99&gt;=Annahmen!$D$91,Annahmen!$D$102,0)</f>
        <v>300</v>
      </c>
      <c r="O99" s="24" t="n">
        <f aca="false">N99*Annahmen!$B$113</f>
        <v>1800</v>
      </c>
      <c r="P99" s="15" t="n">
        <f aca="false">IF($A99&gt;=Annahmen!$D$91,Annahmen!$D$103,0)</f>
        <v>100</v>
      </c>
      <c r="Q99" s="24" t="n">
        <f aca="false">P99*Annahmen!$B$114</f>
        <v>400</v>
      </c>
      <c r="R99" s="17" t="n">
        <f aca="false">IF($A99&gt;=Annahmen!$D$91,Annahmen!$D$104,0)</f>
        <v>4</v>
      </c>
      <c r="S99" s="24" t="n">
        <f aca="false">R99*Annahmen!$B$115</f>
        <v>196</v>
      </c>
      <c r="T99" s="24" t="n">
        <f aca="false">E99+G99+I99+K99+M99+O99+Q99+S99</f>
        <v>9362.03225806452</v>
      </c>
      <c r="U99" s="24" t="n">
        <f aca="false">C99*Annahmen!$B$52+F99*Annahmen!$D$96*Annahmen!$B$48+H99*(Annahmen!$B$46+Annahmen!$D$98*(Annahmen!$B$48-Annahmen!$B$46))+J99*Annahmen!$B$49+L99*Annahmen!$B$50+(N99+P99)*Annahmen!$B$51</f>
        <v>134.866004269115</v>
      </c>
      <c r="V99" s="24" t="n">
        <f aca="false">SUMPRODUCT((((Annahmen!$C$161:$C$174="monatlich")*(Annahmen!$D$161:$D$174&lt;=$A99))+((Annahmen!$C$161:$C$174="einmalig")*(Annahmen!$D$161:$D$174=$A99)))*Annahmen!$B$161:$B$174*Annahmen!$F$161:$F$174)</f>
        <v>50.8275708031806</v>
      </c>
      <c r="W99" s="24" t="n">
        <f aca="false">Annahmen!$D$144</f>
        <v>400</v>
      </c>
      <c r="X99" s="17" t="n">
        <f aca="false">C99+F99*Annahmen!$D$96+H99+J99+L99/Annahmen!$B$47+(N99+P99)/(Annahmen!$B$24/Annahmen!$B$25)</f>
        <v>16.075</v>
      </c>
      <c r="Y99" s="36" t="n">
        <f aca="false">MAX(0,(X99-Annahmen!$B$149)/Annahmen!$B$150)</f>
        <v>0.538333333333333</v>
      </c>
      <c r="Z99" s="24" t="n">
        <f aca="false">Y99*Annahmen!$B$146</f>
        <v>2422.5</v>
      </c>
      <c r="AA99" s="24" t="n">
        <f aca="false">T99-U99-V99-W99-Z99</f>
        <v>6353.83868299222</v>
      </c>
      <c r="AB99" s="24" t="n">
        <f aca="false">AB98+AA99</f>
        <v>132973.545934376</v>
      </c>
      <c r="AC99" s="7" t="n">
        <f aca="false">IF(AA99&gt;0,1,0)</f>
        <v>1</v>
      </c>
      <c r="AD99" s="7" t="n">
        <f aca="false">IF(AB99&gt;=0,1,0)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24" min="3" style="0" width="13"/>
  </cols>
  <sheetData>
    <row r="1" customFormat="false" ht="17.35" hidden="false" customHeight="false" outlineLevel="0" collapsed="false">
      <c r="A1" s="1" t="s">
        <v>444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customFormat="false" ht="52.2" hidden="false" customHeight="false" outlineLevel="0" collapsed="false">
      <c r="A3" s="4" t="s">
        <v>348</v>
      </c>
      <c r="B3" s="32" t="str">
        <f aca="false">"vorsichtig – "&amp;Annahmen!$B$142</f>
        <v>vorsichtig – teures Hobby</v>
      </c>
      <c r="C3" s="32" t="str">
        <f aca="false">"mittel – "&amp;Annahmen!$C$142</f>
        <v>mittel – profitabler Nebenerwerb</v>
      </c>
      <c r="D3" s="32" t="str">
        <f aca="false">"stark – "&amp;Annahmen!$D$142</f>
        <v>stark – skalierbares Business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customFormat="false" ht="15" hidden="false" customHeight="false" outlineLevel="0" collapsed="false">
      <c r="A4" s="33" t="s">
        <v>349</v>
      </c>
      <c r="B4" s="33" t="str">
        <f aca="false">IFERROR("Monat "&amp;MATCH(1,W18:W41,0)&amp;" ("&amp;INDEX($B$18:$B$41,MATCH(1,W18:W41,0))&amp;")","nicht in 24 M")</f>
        <v>nicht in 24 M</v>
      </c>
      <c r="C4" s="33" t="str">
        <f aca="false">IFERROR("Monat "&amp;MATCH(1,W47:W70,0)&amp;" ("&amp;INDEX($B$47:$B$70,MATCH(1,W47:W70,0))&amp;")","nicht in 24 M")</f>
        <v>Monat 10 (10/2027)</v>
      </c>
      <c r="D4" s="33" t="str">
        <f aca="false">IFERROR("Monat "&amp;MATCH(1,W76:W99,0)&amp;" ("&amp;INDEX($B$76:$B$99,MATCH(1,W76:W99,0))&amp;")","nicht in 24 M")</f>
        <v>Monat 7 (07/2027)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customFormat="false" ht="15" hidden="false" customHeight="false" outlineLevel="0" collapsed="false">
      <c r="A5" s="33" t="s">
        <v>350</v>
      </c>
      <c r="B5" s="33" t="str">
        <f aca="false">IFERROR("Monat "&amp;MATCH(1,X18:X41,0)&amp;" ("&amp;INDEX($B$18:$B$41,MATCH(1,X18:X41,0))&amp;")","nicht in 24 M")</f>
        <v>nicht in 24 M</v>
      </c>
      <c r="C5" s="33" t="str">
        <f aca="false">IFERROR("Monat "&amp;MATCH(1,X47:X70,0)&amp;" ("&amp;INDEX($B$47:$B$70,MATCH(1,X47:X70,0))&amp;")","nicht in 24 M")</f>
        <v>Monat 18 (06/2028)</v>
      </c>
      <c r="D5" s="33" t="str">
        <f aca="false">IFERROR("Monat "&amp;MATCH(1,X76:X99,0)&amp;" ("&amp;INDEX($B$76:$B$99,MATCH(1,X76:X99,0))&amp;")","nicht in 24 M")</f>
        <v>Monat 9 (09/2027)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customFormat="false" ht="15" hidden="false" customHeight="false" outlineLevel="0" collapsed="false">
      <c r="A6" s="33" t="s">
        <v>445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customFormat="false" ht="15" hidden="false" customHeight="false" outlineLevel="0" collapsed="false">
      <c r="A7" s="7" t="s">
        <v>446</v>
      </c>
      <c r="B7" s="34" t="n">
        <f aca="false">Annahmen!$B$125/(1+Annahmen!$B$10)*Annahmen!$B$138</f>
        <v>1.46705607476636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customFormat="false" ht="15" hidden="false" customHeight="false" outlineLevel="0" collapsed="false">
      <c r="A8" s="7" t="s">
        <v>447</v>
      </c>
      <c r="B8" s="34" t="n">
        <f aca="false">Annahmen!$B$126/(1+Annahmen!$B$10)*Annahmen!$B$139</f>
        <v>4.10700934579439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customFormat="false" ht="15" hidden="false" customHeight="false" outlineLevel="0" collapsed="false">
      <c r="A9" s="7" t="s">
        <v>448</v>
      </c>
      <c r="B9" s="34" t="n">
        <f aca="false">Annahmen!$B$127/(1+Annahmen!$B$10)*Annahmen!$B$138</f>
        <v>2.44836448598131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customFormat="false" ht="15" hidden="false" customHeight="false" outlineLevel="0" collapsed="false">
      <c r="A10" s="7" t="s">
        <v>449</v>
      </c>
      <c r="B10" s="34" t="n">
        <f aca="false">Annahmen!$B$136-Annahmen!$B$48</f>
        <v>381.328256728623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customFormat="false" ht="15" hidden="false" customHeight="false" outlineLevel="0" collapsed="false">
      <c r="A12" s="7" t="s">
        <v>450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customFormat="false" ht="15" hidden="false" customHeight="false" outlineLevel="0" collapsed="false">
      <c r="A16" s="5" t="str">
        <f aca="false">"Szenario vorsichtig – "&amp;Annahmen!$B$142</f>
        <v>Szenario vorsichtig – teures Hobby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2"/>
      <c r="X16" s="2"/>
    </row>
    <row r="17" customFormat="false" ht="42" hidden="false" customHeight="true" outlineLevel="0" collapsed="false">
      <c r="A17" s="35" t="s">
        <v>99</v>
      </c>
      <c r="B17" s="35" t="s">
        <v>359</v>
      </c>
      <c r="C17" s="35" t="s">
        <v>451</v>
      </c>
      <c r="D17" s="35" t="s">
        <v>452</v>
      </c>
      <c r="E17" s="35" t="s">
        <v>453</v>
      </c>
      <c r="F17" s="35" t="s">
        <v>454</v>
      </c>
      <c r="G17" s="35" t="s">
        <v>455</v>
      </c>
      <c r="H17" s="35" t="s">
        <v>456</v>
      </c>
      <c r="I17" s="35" t="s">
        <v>457</v>
      </c>
      <c r="J17" s="35" t="s">
        <v>458</v>
      </c>
      <c r="K17" s="35" t="s">
        <v>459</v>
      </c>
      <c r="L17" s="35" t="s">
        <v>460</v>
      </c>
      <c r="M17" s="35" t="s">
        <v>461</v>
      </c>
      <c r="N17" s="35" t="s">
        <v>462</v>
      </c>
      <c r="O17" s="35" t="s">
        <v>463</v>
      </c>
      <c r="P17" s="35" t="s">
        <v>464</v>
      </c>
      <c r="Q17" s="35" t="s">
        <v>441</v>
      </c>
      <c r="R17" s="35" t="s">
        <v>465</v>
      </c>
      <c r="S17" s="35" t="s">
        <v>378</v>
      </c>
      <c r="T17" s="35" t="s">
        <v>379</v>
      </c>
      <c r="U17" s="35" t="s">
        <v>382</v>
      </c>
      <c r="V17" s="35" t="s">
        <v>383</v>
      </c>
      <c r="W17" s="35" t="s">
        <v>388</v>
      </c>
      <c r="X17" s="35" t="s">
        <v>389</v>
      </c>
    </row>
    <row r="18" customFormat="false" ht="15" hidden="false" customHeight="false" outlineLevel="0" collapsed="false">
      <c r="A18" s="7" t="n">
        <v>1</v>
      </c>
      <c r="B18" s="7" t="s">
        <v>390</v>
      </c>
      <c r="C18" s="17" t="n">
        <f aca="false">IF($A18&gt;=Annahmen!$B$118,Annahmen!$B$119,0)</f>
        <v>0</v>
      </c>
      <c r="D18" s="17" t="n">
        <f aca="false">C18</f>
        <v>0</v>
      </c>
      <c r="E18" s="17" t="n">
        <f aca="false">D18*Annahmen!$B$122</f>
        <v>0</v>
      </c>
      <c r="F18" s="18" t="n">
        <f aca="false">E18*Annahmen!$B$125/(1+Annahmen!$B$10)*Annahmen!$B$138</f>
        <v>0</v>
      </c>
      <c r="G18" s="17" t="n">
        <f aca="false">IF($A18&gt;=Annahmen!$B$118,Annahmen!$B$120,0)</f>
        <v>0</v>
      </c>
      <c r="H18" s="17" t="n">
        <f aca="false">G18</f>
        <v>0</v>
      </c>
      <c r="I18" s="17" t="n">
        <f aca="false">H18*Annahmen!$B$123</f>
        <v>0</v>
      </c>
      <c r="J18" s="18" t="n">
        <f aca="false">I18*Annahmen!$B$126/(1+Annahmen!$B$10)*Annahmen!$B$139</f>
        <v>0</v>
      </c>
      <c r="K18" s="17" t="n">
        <f aca="false">IF($A18&gt;=Annahmen!$B$118,Annahmen!$B$121,0)</f>
        <v>0</v>
      </c>
      <c r="L18" s="17" t="n">
        <f aca="false">K18</f>
        <v>0</v>
      </c>
      <c r="M18" s="17" t="n">
        <f aca="false">L18*Annahmen!$B$124</f>
        <v>0</v>
      </c>
      <c r="N18" s="18" t="n">
        <f aca="false">M18*Annahmen!$B$127/(1+Annahmen!$B$10)*Annahmen!$B$138</f>
        <v>0</v>
      </c>
      <c r="O18" s="17" t="n">
        <f aca="false">IF($A18&gt;=Annahmen!$B$134,Annahmen!$B$135,0)</f>
        <v>0</v>
      </c>
      <c r="P18" s="24" t="n">
        <f aca="false">O18*Annahmen!$B$136</f>
        <v>0</v>
      </c>
      <c r="Q18" s="24" t="n">
        <f aca="false">F18+J18+N18+P18</f>
        <v>0</v>
      </c>
      <c r="R18" s="24" t="n">
        <f aca="false">O18*Annahmen!$B$48+(C18+G18+K18)*Annahmen!$B$137</f>
        <v>0</v>
      </c>
      <c r="S18" s="24" t="n">
        <f aca="false">SUMPRODUCT((((Annahmen!$C$161:$C$174="monatlich")*(Annahmen!$D$161:$D$174&lt;=$A18))+((Annahmen!$C$161:$C$174="einmalig")*(Annahmen!$D$161:$D$174=$A18)))*Annahmen!$B$161:$B$174*Annahmen!$G$161:$G$174)</f>
        <v>657.207602742593</v>
      </c>
      <c r="T18" s="24" t="n">
        <f aca="false">IF($A18&gt;=Annahmen!$B$118,Annahmen!$B$145,0)</f>
        <v>0</v>
      </c>
      <c r="U18" s="24" t="n">
        <f aca="false">Q18-R18-S18-T18</f>
        <v>-657.207602742593</v>
      </c>
      <c r="V18" s="24" t="n">
        <f aca="false">U18</f>
        <v>-657.207602742593</v>
      </c>
      <c r="W18" s="7" t="n">
        <f aca="false">IF(U18&gt;0,1,0)</f>
        <v>0</v>
      </c>
      <c r="X18" s="7" t="n">
        <f aca="false">IF(V18&gt;=0,1,0)</f>
        <v>0</v>
      </c>
    </row>
    <row r="19" customFormat="false" ht="15" hidden="false" customHeight="false" outlineLevel="0" collapsed="false">
      <c r="A19" s="7" t="n">
        <v>2</v>
      </c>
      <c r="B19" s="7" t="s">
        <v>391</v>
      </c>
      <c r="C19" s="17" t="n">
        <f aca="false">IF($A19&gt;=Annahmen!$B$118,Annahmen!$B$119,0)</f>
        <v>0</v>
      </c>
      <c r="D19" s="17" t="n">
        <f aca="false">D18+C19</f>
        <v>0</v>
      </c>
      <c r="E19" s="17" t="n">
        <f aca="false">D19*Annahmen!$B$122</f>
        <v>0</v>
      </c>
      <c r="F19" s="18" t="n">
        <f aca="false">E19*Annahmen!$B$125/(1+Annahmen!$B$10)*Annahmen!$B$138</f>
        <v>0</v>
      </c>
      <c r="G19" s="17" t="n">
        <f aca="false">IF($A19&gt;=Annahmen!$B$118,Annahmen!$B$120,0)</f>
        <v>0</v>
      </c>
      <c r="H19" s="17" t="n">
        <f aca="false">H18+G19</f>
        <v>0</v>
      </c>
      <c r="I19" s="17" t="n">
        <f aca="false">H19*Annahmen!$B$123</f>
        <v>0</v>
      </c>
      <c r="J19" s="18" t="n">
        <f aca="false">I19*Annahmen!$B$126/(1+Annahmen!$B$10)*Annahmen!$B$139</f>
        <v>0</v>
      </c>
      <c r="K19" s="17" t="n">
        <f aca="false">IF($A19&gt;=Annahmen!$B$118,Annahmen!$B$121,0)</f>
        <v>0</v>
      </c>
      <c r="L19" s="17" t="n">
        <f aca="false">L18+K19</f>
        <v>0</v>
      </c>
      <c r="M19" s="17" t="n">
        <f aca="false">L19*Annahmen!$B$124</f>
        <v>0</v>
      </c>
      <c r="N19" s="18" t="n">
        <f aca="false">M19*Annahmen!$B$127/(1+Annahmen!$B$10)*Annahmen!$B$138</f>
        <v>0</v>
      </c>
      <c r="O19" s="17" t="n">
        <f aca="false">IF($A19&gt;=Annahmen!$B$134,Annahmen!$B$135,0)</f>
        <v>0</v>
      </c>
      <c r="P19" s="24" t="n">
        <f aca="false">O19*Annahmen!$B$136</f>
        <v>0</v>
      </c>
      <c r="Q19" s="24" t="n">
        <f aca="false">F19+J19+N19+P19</f>
        <v>0</v>
      </c>
      <c r="R19" s="24" t="n">
        <f aca="false">O19*Annahmen!$B$48+(C19+G19+K19)*Annahmen!$B$137</f>
        <v>0</v>
      </c>
      <c r="S19" s="24" t="n">
        <f aca="false">SUMPRODUCT((((Annahmen!$C$161:$C$174="monatlich")*(Annahmen!$D$161:$D$174&lt;=$A19))+((Annahmen!$C$161:$C$174="einmalig")*(Annahmen!$D$161:$D$174=$A19)))*Annahmen!$B$161:$B$174*Annahmen!$G$161:$G$174)</f>
        <v>28.3604931653712</v>
      </c>
      <c r="T19" s="24" t="n">
        <f aca="false">IF($A19&gt;=Annahmen!$B$118,Annahmen!$B$145,0)</f>
        <v>0</v>
      </c>
      <c r="U19" s="24" t="n">
        <f aca="false">Q19-R19-S19-T19</f>
        <v>-28.3604931653712</v>
      </c>
      <c r="V19" s="24" t="n">
        <f aca="false">V18+U19</f>
        <v>-685.568095907964</v>
      </c>
      <c r="W19" s="7" t="n">
        <f aca="false">IF(U19&gt;0,1,0)</f>
        <v>0</v>
      </c>
      <c r="X19" s="7" t="n">
        <f aca="false">IF(V19&gt;=0,1,0)</f>
        <v>0</v>
      </c>
    </row>
    <row r="20" customFormat="false" ht="15" hidden="false" customHeight="false" outlineLevel="0" collapsed="false">
      <c r="A20" s="7" t="n">
        <v>3</v>
      </c>
      <c r="B20" s="7" t="s">
        <v>392</v>
      </c>
      <c r="C20" s="17" t="n">
        <f aca="false">IF($A20&gt;=Annahmen!$B$118,Annahmen!$B$119,0)</f>
        <v>0</v>
      </c>
      <c r="D20" s="17" t="n">
        <f aca="false">D19+C20</f>
        <v>0</v>
      </c>
      <c r="E20" s="17" t="n">
        <f aca="false">D20*Annahmen!$B$122</f>
        <v>0</v>
      </c>
      <c r="F20" s="18" t="n">
        <f aca="false">E20*Annahmen!$B$125/(1+Annahmen!$B$10)*Annahmen!$B$138</f>
        <v>0</v>
      </c>
      <c r="G20" s="17" t="n">
        <f aca="false">IF($A20&gt;=Annahmen!$B$118,Annahmen!$B$120,0)</f>
        <v>0</v>
      </c>
      <c r="H20" s="17" t="n">
        <f aca="false">H19+G20</f>
        <v>0</v>
      </c>
      <c r="I20" s="17" t="n">
        <f aca="false">H20*Annahmen!$B$123</f>
        <v>0</v>
      </c>
      <c r="J20" s="18" t="n">
        <f aca="false">I20*Annahmen!$B$126/(1+Annahmen!$B$10)*Annahmen!$B$139</f>
        <v>0</v>
      </c>
      <c r="K20" s="17" t="n">
        <f aca="false">IF($A20&gt;=Annahmen!$B$118,Annahmen!$B$121,0)</f>
        <v>0</v>
      </c>
      <c r="L20" s="17" t="n">
        <f aca="false">L19+K20</f>
        <v>0</v>
      </c>
      <c r="M20" s="17" t="n">
        <f aca="false">L20*Annahmen!$B$124</f>
        <v>0</v>
      </c>
      <c r="N20" s="18" t="n">
        <f aca="false">M20*Annahmen!$B$127/(1+Annahmen!$B$10)*Annahmen!$B$138</f>
        <v>0</v>
      </c>
      <c r="O20" s="17" t="n">
        <f aca="false">IF($A20&gt;=Annahmen!$B$134,Annahmen!$B$135,0)</f>
        <v>0</v>
      </c>
      <c r="P20" s="24" t="n">
        <f aca="false">O20*Annahmen!$B$136</f>
        <v>0</v>
      </c>
      <c r="Q20" s="24" t="n">
        <f aca="false">F20+J20+N20+P20</f>
        <v>0</v>
      </c>
      <c r="R20" s="24" t="n">
        <f aca="false">O20*Annahmen!$B$48+(C20+G20+K20)*Annahmen!$B$137</f>
        <v>0</v>
      </c>
      <c r="S20" s="24" t="n">
        <f aca="false">SUMPRODUCT((((Annahmen!$C$161:$C$174="monatlich")*(Annahmen!$D$161:$D$174&lt;=$A20))+((Annahmen!$C$161:$C$174="einmalig")*(Annahmen!$D$161:$D$174=$A20)))*Annahmen!$B$161:$B$174*Annahmen!$G$161:$G$174)</f>
        <v>98.3604931653712</v>
      </c>
      <c r="T20" s="24" t="n">
        <f aca="false">IF($A20&gt;=Annahmen!$B$118,Annahmen!$B$145,0)</f>
        <v>0</v>
      </c>
      <c r="U20" s="24" t="n">
        <f aca="false">Q20-R20-S20-T20</f>
        <v>-98.3604931653712</v>
      </c>
      <c r="V20" s="24" t="n">
        <f aca="false">V19+U20</f>
        <v>-783.928589073335</v>
      </c>
      <c r="W20" s="7" t="n">
        <f aca="false">IF(U20&gt;0,1,0)</f>
        <v>0</v>
      </c>
      <c r="X20" s="7" t="n">
        <f aca="false">IF(V20&gt;=0,1,0)</f>
        <v>0</v>
      </c>
    </row>
    <row r="21" customFormat="false" ht="15" hidden="false" customHeight="false" outlineLevel="0" collapsed="false">
      <c r="A21" s="7" t="n">
        <v>4</v>
      </c>
      <c r="B21" s="7" t="s">
        <v>393</v>
      </c>
      <c r="C21" s="17" t="n">
        <f aca="false">IF($A21&gt;=Annahmen!$B$118,Annahmen!$B$119,0)</f>
        <v>0</v>
      </c>
      <c r="D21" s="17" t="n">
        <f aca="false">D20+C21</f>
        <v>0</v>
      </c>
      <c r="E21" s="17" t="n">
        <f aca="false">D21*Annahmen!$B$122</f>
        <v>0</v>
      </c>
      <c r="F21" s="18" t="n">
        <f aca="false">E21*Annahmen!$B$125/(1+Annahmen!$B$10)*Annahmen!$B$138</f>
        <v>0</v>
      </c>
      <c r="G21" s="17" t="n">
        <f aca="false">IF($A21&gt;=Annahmen!$B$118,Annahmen!$B$120,0)</f>
        <v>0</v>
      </c>
      <c r="H21" s="17" t="n">
        <f aca="false">H20+G21</f>
        <v>0</v>
      </c>
      <c r="I21" s="17" t="n">
        <f aca="false">H21*Annahmen!$B$123</f>
        <v>0</v>
      </c>
      <c r="J21" s="18" t="n">
        <f aca="false">I21*Annahmen!$B$126/(1+Annahmen!$B$10)*Annahmen!$B$139</f>
        <v>0</v>
      </c>
      <c r="K21" s="17" t="n">
        <f aca="false">IF($A21&gt;=Annahmen!$B$118,Annahmen!$B$121,0)</f>
        <v>0</v>
      </c>
      <c r="L21" s="17" t="n">
        <f aca="false">L20+K21</f>
        <v>0</v>
      </c>
      <c r="M21" s="17" t="n">
        <f aca="false">L21*Annahmen!$B$124</f>
        <v>0</v>
      </c>
      <c r="N21" s="18" t="n">
        <f aca="false">M21*Annahmen!$B$127/(1+Annahmen!$B$10)*Annahmen!$B$138</f>
        <v>0</v>
      </c>
      <c r="O21" s="17" t="n">
        <f aca="false">IF($A21&gt;=Annahmen!$B$134,Annahmen!$B$135,0)</f>
        <v>0</v>
      </c>
      <c r="P21" s="24" t="n">
        <f aca="false">O21*Annahmen!$B$136</f>
        <v>0</v>
      </c>
      <c r="Q21" s="24" t="n">
        <f aca="false">F21+J21+N21+P21</f>
        <v>0</v>
      </c>
      <c r="R21" s="24" t="n">
        <f aca="false">O21*Annahmen!$B$48+(C21+G21+K21)*Annahmen!$B$137</f>
        <v>0</v>
      </c>
      <c r="S21" s="24" t="n">
        <f aca="false">SUMPRODUCT((((Annahmen!$C$161:$C$174="monatlich")*(Annahmen!$D$161:$D$174&lt;=$A21))+((Annahmen!$C$161:$C$174="einmalig")*(Annahmen!$D$161:$D$174=$A21)))*Annahmen!$B$161:$B$174*Annahmen!$G$161:$G$174)</f>
        <v>28.3604931653712</v>
      </c>
      <c r="T21" s="24" t="n">
        <f aca="false">IF($A21&gt;=Annahmen!$B$118,Annahmen!$B$145,0)</f>
        <v>0</v>
      </c>
      <c r="U21" s="24" t="n">
        <f aca="false">Q21-R21-S21-T21</f>
        <v>-28.3604931653712</v>
      </c>
      <c r="V21" s="24" t="n">
        <f aca="false">V20+U21</f>
        <v>-812.289082238706</v>
      </c>
      <c r="W21" s="7" t="n">
        <f aca="false">IF(U21&gt;0,1,0)</f>
        <v>0</v>
      </c>
      <c r="X21" s="7" t="n">
        <f aca="false">IF(V21&gt;=0,1,0)</f>
        <v>0</v>
      </c>
    </row>
    <row r="22" customFormat="false" ht="15" hidden="false" customHeight="false" outlineLevel="0" collapsed="false">
      <c r="A22" s="7" t="n">
        <v>5</v>
      </c>
      <c r="B22" s="7" t="s">
        <v>394</v>
      </c>
      <c r="C22" s="17" t="n">
        <f aca="false">IF($A22&gt;=Annahmen!$B$118,Annahmen!$B$119,0)</f>
        <v>0</v>
      </c>
      <c r="D22" s="17" t="n">
        <f aca="false">D21+C22</f>
        <v>0</v>
      </c>
      <c r="E22" s="17" t="n">
        <f aca="false">D22*Annahmen!$B$122</f>
        <v>0</v>
      </c>
      <c r="F22" s="18" t="n">
        <f aca="false">E22*Annahmen!$B$125/(1+Annahmen!$B$10)*Annahmen!$B$138</f>
        <v>0</v>
      </c>
      <c r="G22" s="17" t="n">
        <f aca="false">IF($A22&gt;=Annahmen!$B$118,Annahmen!$B$120,0)</f>
        <v>0</v>
      </c>
      <c r="H22" s="17" t="n">
        <f aca="false">H21+G22</f>
        <v>0</v>
      </c>
      <c r="I22" s="17" t="n">
        <f aca="false">H22*Annahmen!$B$123</f>
        <v>0</v>
      </c>
      <c r="J22" s="18" t="n">
        <f aca="false">I22*Annahmen!$B$126/(1+Annahmen!$B$10)*Annahmen!$B$139</f>
        <v>0</v>
      </c>
      <c r="K22" s="17" t="n">
        <f aca="false">IF($A22&gt;=Annahmen!$B$118,Annahmen!$B$121,0)</f>
        <v>0</v>
      </c>
      <c r="L22" s="17" t="n">
        <f aca="false">L21+K22</f>
        <v>0</v>
      </c>
      <c r="M22" s="17" t="n">
        <f aca="false">L22*Annahmen!$B$124</f>
        <v>0</v>
      </c>
      <c r="N22" s="18" t="n">
        <f aca="false">M22*Annahmen!$B$127/(1+Annahmen!$B$10)*Annahmen!$B$138</f>
        <v>0</v>
      </c>
      <c r="O22" s="17" t="n">
        <f aca="false">IF($A22&gt;=Annahmen!$B$134,Annahmen!$B$135,0)</f>
        <v>0</v>
      </c>
      <c r="P22" s="24" t="n">
        <f aca="false">O22*Annahmen!$B$136</f>
        <v>0</v>
      </c>
      <c r="Q22" s="24" t="n">
        <f aca="false">F22+J22+N22+P22</f>
        <v>0</v>
      </c>
      <c r="R22" s="24" t="n">
        <f aca="false">O22*Annahmen!$B$48+(C22+G22+K22)*Annahmen!$B$137</f>
        <v>0</v>
      </c>
      <c r="S22" s="24" t="n">
        <f aca="false">SUMPRODUCT((((Annahmen!$C$161:$C$174="monatlich")*(Annahmen!$D$161:$D$174&lt;=$A22))+((Annahmen!$C$161:$C$174="einmalig")*(Annahmen!$D$161:$D$174=$A22)))*Annahmen!$B$161:$B$174*Annahmen!$G$161:$G$174)</f>
        <v>28.3604931653712</v>
      </c>
      <c r="T22" s="24" t="n">
        <f aca="false">IF($A22&gt;=Annahmen!$B$118,Annahmen!$B$145,0)</f>
        <v>0</v>
      </c>
      <c r="U22" s="24" t="n">
        <f aca="false">Q22-R22-S22-T22</f>
        <v>-28.3604931653712</v>
      </c>
      <c r="V22" s="24" t="n">
        <f aca="false">V21+U22</f>
        <v>-840.649575404078</v>
      </c>
      <c r="W22" s="7" t="n">
        <f aca="false">IF(U22&gt;0,1,0)</f>
        <v>0</v>
      </c>
      <c r="X22" s="7" t="n">
        <f aca="false">IF(V22&gt;=0,1,0)</f>
        <v>0</v>
      </c>
    </row>
    <row r="23" customFormat="false" ht="15" hidden="false" customHeight="false" outlineLevel="0" collapsed="false">
      <c r="A23" s="7" t="n">
        <v>6</v>
      </c>
      <c r="B23" s="7" t="s">
        <v>395</v>
      </c>
      <c r="C23" s="17" t="n">
        <f aca="false">IF($A23&gt;=Annahmen!$B$118,Annahmen!$B$119,0)</f>
        <v>2</v>
      </c>
      <c r="D23" s="17" t="n">
        <f aca="false">D22+C23</f>
        <v>2</v>
      </c>
      <c r="E23" s="17" t="n">
        <f aca="false">D23*Annahmen!$B$122</f>
        <v>0.4</v>
      </c>
      <c r="F23" s="18" t="n">
        <f aca="false">E23*Annahmen!$B$125/(1+Annahmen!$B$10)*Annahmen!$B$138</f>
        <v>0.586822429906542</v>
      </c>
      <c r="G23" s="17" t="n">
        <f aca="false">IF($A23&gt;=Annahmen!$B$118,Annahmen!$B$120,0)</f>
        <v>1</v>
      </c>
      <c r="H23" s="17" t="n">
        <f aca="false">H22+G23</f>
        <v>1</v>
      </c>
      <c r="I23" s="17" t="n">
        <f aca="false">H23*Annahmen!$B$123</f>
        <v>0.1</v>
      </c>
      <c r="J23" s="18" t="n">
        <f aca="false">I23*Annahmen!$B$126/(1+Annahmen!$B$10)*Annahmen!$B$139</f>
        <v>0.410700934579439</v>
      </c>
      <c r="K23" s="17" t="n">
        <f aca="false">IF($A23&gt;=Annahmen!$B$118,Annahmen!$B$121,0)</f>
        <v>1</v>
      </c>
      <c r="L23" s="17" t="n">
        <f aca="false">L22+K23</f>
        <v>1</v>
      </c>
      <c r="M23" s="17" t="n">
        <f aca="false">L23*Annahmen!$B$124</f>
        <v>0.2</v>
      </c>
      <c r="N23" s="18" t="n">
        <f aca="false">M23*Annahmen!$B$127/(1+Annahmen!$B$10)*Annahmen!$B$138</f>
        <v>0.489672897196262</v>
      </c>
      <c r="O23" s="17" t="n">
        <f aca="false">IF($A23&gt;=Annahmen!$B$134,Annahmen!$B$135,0)</f>
        <v>0</v>
      </c>
      <c r="P23" s="24" t="n">
        <f aca="false">O23*Annahmen!$B$136</f>
        <v>0</v>
      </c>
      <c r="Q23" s="24" t="n">
        <f aca="false">F23+J23+N23+P23</f>
        <v>1.48719626168224</v>
      </c>
      <c r="R23" s="24" t="n">
        <f aca="false">O23*Annahmen!$B$48+(C23+G23+K23)*Annahmen!$B$137</f>
        <v>0</v>
      </c>
      <c r="S23" s="24" t="n">
        <f aca="false">SUMPRODUCT((((Annahmen!$C$161:$C$174="monatlich")*(Annahmen!$D$161:$D$174&lt;=$A23))+((Annahmen!$C$161:$C$174="einmalig")*(Annahmen!$D$161:$D$174=$A23)))*Annahmen!$B$161:$B$174*Annahmen!$G$161:$G$174)</f>
        <v>28.3604931653712</v>
      </c>
      <c r="T23" s="24" t="n">
        <f aca="false">IF($A23&gt;=Annahmen!$B$118,Annahmen!$B$145,0)</f>
        <v>0</v>
      </c>
      <c r="U23" s="24" t="n">
        <f aca="false">Q23-R23-S23-T23</f>
        <v>-26.873296903689</v>
      </c>
      <c r="V23" s="24" t="n">
        <f aca="false">V22+U23</f>
        <v>-867.522872307767</v>
      </c>
      <c r="W23" s="7" t="n">
        <f aca="false">IF(U23&gt;0,1,0)</f>
        <v>0</v>
      </c>
      <c r="X23" s="7" t="n">
        <f aca="false">IF(V23&gt;=0,1,0)</f>
        <v>0</v>
      </c>
    </row>
    <row r="24" customFormat="false" ht="15" hidden="false" customHeight="false" outlineLevel="0" collapsed="false">
      <c r="A24" s="7" t="n">
        <v>7</v>
      </c>
      <c r="B24" s="7" t="s">
        <v>396</v>
      </c>
      <c r="C24" s="17" t="n">
        <f aca="false">IF($A24&gt;=Annahmen!$B$118,Annahmen!$B$119,0)</f>
        <v>2</v>
      </c>
      <c r="D24" s="17" t="n">
        <f aca="false">D23+C24</f>
        <v>4</v>
      </c>
      <c r="E24" s="17" t="n">
        <f aca="false">D24*Annahmen!$B$122</f>
        <v>0.8</v>
      </c>
      <c r="F24" s="18" t="n">
        <f aca="false">E24*Annahmen!$B$125/(1+Annahmen!$B$10)*Annahmen!$B$138</f>
        <v>1.17364485981308</v>
      </c>
      <c r="G24" s="17" t="n">
        <f aca="false">IF($A24&gt;=Annahmen!$B$118,Annahmen!$B$120,0)</f>
        <v>1</v>
      </c>
      <c r="H24" s="17" t="n">
        <f aca="false">H23+G24</f>
        <v>2</v>
      </c>
      <c r="I24" s="17" t="n">
        <f aca="false">H24*Annahmen!$B$123</f>
        <v>0.2</v>
      </c>
      <c r="J24" s="18" t="n">
        <f aca="false">I24*Annahmen!$B$126/(1+Annahmen!$B$10)*Annahmen!$B$139</f>
        <v>0.821401869158879</v>
      </c>
      <c r="K24" s="17" t="n">
        <f aca="false">IF($A24&gt;=Annahmen!$B$118,Annahmen!$B$121,0)</f>
        <v>1</v>
      </c>
      <c r="L24" s="17" t="n">
        <f aca="false">L23+K24</f>
        <v>2</v>
      </c>
      <c r="M24" s="17" t="n">
        <f aca="false">L24*Annahmen!$B$124</f>
        <v>0.4</v>
      </c>
      <c r="N24" s="18" t="n">
        <f aca="false">M24*Annahmen!$B$127/(1+Annahmen!$B$10)*Annahmen!$B$138</f>
        <v>0.979345794392523</v>
      </c>
      <c r="O24" s="17" t="n">
        <f aca="false">IF($A24&gt;=Annahmen!$B$134,Annahmen!$B$135,0)</f>
        <v>0</v>
      </c>
      <c r="P24" s="24" t="n">
        <f aca="false">O24*Annahmen!$B$136</f>
        <v>0</v>
      </c>
      <c r="Q24" s="24" t="n">
        <f aca="false">F24+J24+N24+P24</f>
        <v>2.97439252336449</v>
      </c>
      <c r="R24" s="24" t="n">
        <f aca="false">O24*Annahmen!$B$48+(C24+G24+K24)*Annahmen!$B$137</f>
        <v>0</v>
      </c>
      <c r="S24" s="24" t="n">
        <f aca="false">SUMPRODUCT((((Annahmen!$C$161:$C$174="monatlich")*(Annahmen!$D$161:$D$174&lt;=$A24))+((Annahmen!$C$161:$C$174="einmalig")*(Annahmen!$D$161:$D$174=$A24)))*Annahmen!$B$161:$B$174*Annahmen!$G$161:$G$174)</f>
        <v>28.3604931653712</v>
      </c>
      <c r="T24" s="24" t="n">
        <f aca="false">IF($A24&gt;=Annahmen!$B$118,Annahmen!$B$145,0)</f>
        <v>0</v>
      </c>
      <c r="U24" s="24" t="n">
        <f aca="false">Q24-R24-S24-T24</f>
        <v>-25.3861006420067</v>
      </c>
      <c r="V24" s="24" t="n">
        <f aca="false">V23+U24</f>
        <v>-892.908972949773</v>
      </c>
      <c r="W24" s="7" t="n">
        <f aca="false">IF(U24&gt;0,1,0)</f>
        <v>0</v>
      </c>
      <c r="X24" s="7" t="n">
        <f aca="false">IF(V24&gt;=0,1,0)</f>
        <v>0</v>
      </c>
    </row>
    <row r="25" customFormat="false" ht="15" hidden="false" customHeight="false" outlineLevel="0" collapsed="false">
      <c r="A25" s="7" t="n">
        <v>8</v>
      </c>
      <c r="B25" s="7" t="s">
        <v>397</v>
      </c>
      <c r="C25" s="17" t="n">
        <f aca="false">IF($A25&gt;=Annahmen!$B$118,Annahmen!$B$119,0)</f>
        <v>2</v>
      </c>
      <c r="D25" s="17" t="n">
        <f aca="false">D24+C25</f>
        <v>6</v>
      </c>
      <c r="E25" s="17" t="n">
        <f aca="false">D25*Annahmen!$B$122</f>
        <v>1.2</v>
      </c>
      <c r="F25" s="18" t="n">
        <f aca="false">E25*Annahmen!$B$125/(1+Annahmen!$B$10)*Annahmen!$B$138</f>
        <v>1.76046728971963</v>
      </c>
      <c r="G25" s="17" t="n">
        <f aca="false">IF($A25&gt;=Annahmen!$B$118,Annahmen!$B$120,0)</f>
        <v>1</v>
      </c>
      <c r="H25" s="17" t="n">
        <f aca="false">H24+G25</f>
        <v>3</v>
      </c>
      <c r="I25" s="17" t="n">
        <f aca="false">H25*Annahmen!$B$123</f>
        <v>0.3</v>
      </c>
      <c r="J25" s="18" t="n">
        <f aca="false">I25*Annahmen!$B$126/(1+Annahmen!$B$10)*Annahmen!$B$139</f>
        <v>1.23210280373832</v>
      </c>
      <c r="K25" s="17" t="n">
        <f aca="false">IF($A25&gt;=Annahmen!$B$118,Annahmen!$B$121,0)</f>
        <v>1</v>
      </c>
      <c r="L25" s="17" t="n">
        <f aca="false">L24+K25</f>
        <v>3</v>
      </c>
      <c r="M25" s="17" t="n">
        <f aca="false">L25*Annahmen!$B$124</f>
        <v>0.6</v>
      </c>
      <c r="N25" s="18" t="n">
        <f aca="false">M25*Annahmen!$B$127/(1+Annahmen!$B$10)*Annahmen!$B$138</f>
        <v>1.46901869158878</v>
      </c>
      <c r="O25" s="17" t="n">
        <f aca="false">IF($A25&gt;=Annahmen!$B$134,Annahmen!$B$135,0)</f>
        <v>0</v>
      </c>
      <c r="P25" s="24" t="n">
        <f aca="false">O25*Annahmen!$B$136</f>
        <v>0</v>
      </c>
      <c r="Q25" s="24" t="n">
        <f aca="false">F25+J25+N25+P25</f>
        <v>4.46158878504673</v>
      </c>
      <c r="R25" s="24" t="n">
        <f aca="false">O25*Annahmen!$B$48+(C25+G25+K25)*Annahmen!$B$137</f>
        <v>0</v>
      </c>
      <c r="S25" s="24" t="n">
        <f aca="false">SUMPRODUCT((((Annahmen!$C$161:$C$174="monatlich")*(Annahmen!$D$161:$D$174&lt;=$A25))+((Annahmen!$C$161:$C$174="einmalig")*(Annahmen!$D$161:$D$174=$A25)))*Annahmen!$B$161:$B$174*Annahmen!$G$161:$G$174)</f>
        <v>28.3604931653712</v>
      </c>
      <c r="T25" s="24" t="n">
        <f aca="false">IF($A25&gt;=Annahmen!$B$118,Annahmen!$B$145,0)</f>
        <v>0</v>
      </c>
      <c r="U25" s="24" t="n">
        <f aca="false">Q25-R25-S25-T25</f>
        <v>-23.8989043803245</v>
      </c>
      <c r="V25" s="24" t="n">
        <f aca="false">V24+U25</f>
        <v>-916.807877330098</v>
      </c>
      <c r="W25" s="7" t="n">
        <f aca="false">IF(U25&gt;0,1,0)</f>
        <v>0</v>
      </c>
      <c r="X25" s="7" t="n">
        <f aca="false">IF(V25&gt;=0,1,0)</f>
        <v>0</v>
      </c>
    </row>
    <row r="26" customFormat="false" ht="15" hidden="false" customHeight="false" outlineLevel="0" collapsed="false">
      <c r="A26" s="7" t="n">
        <v>9</v>
      </c>
      <c r="B26" s="7" t="s">
        <v>398</v>
      </c>
      <c r="C26" s="17" t="n">
        <f aca="false">IF($A26&gt;=Annahmen!$B$118,Annahmen!$B$119,0)</f>
        <v>2</v>
      </c>
      <c r="D26" s="17" t="n">
        <f aca="false">D25+C26</f>
        <v>8</v>
      </c>
      <c r="E26" s="17" t="n">
        <f aca="false">D26*Annahmen!$B$122</f>
        <v>1.6</v>
      </c>
      <c r="F26" s="18" t="n">
        <f aca="false">E26*Annahmen!$B$125/(1+Annahmen!$B$10)*Annahmen!$B$138</f>
        <v>2.34728971962617</v>
      </c>
      <c r="G26" s="17" t="n">
        <f aca="false">IF($A26&gt;=Annahmen!$B$118,Annahmen!$B$120,0)</f>
        <v>1</v>
      </c>
      <c r="H26" s="17" t="n">
        <f aca="false">H25+G26</f>
        <v>4</v>
      </c>
      <c r="I26" s="17" t="n">
        <f aca="false">H26*Annahmen!$B$123</f>
        <v>0.4</v>
      </c>
      <c r="J26" s="18" t="n">
        <f aca="false">I26*Annahmen!$B$126/(1+Annahmen!$B$10)*Annahmen!$B$139</f>
        <v>1.64280373831776</v>
      </c>
      <c r="K26" s="17" t="n">
        <f aca="false">IF($A26&gt;=Annahmen!$B$118,Annahmen!$B$121,0)</f>
        <v>1</v>
      </c>
      <c r="L26" s="17" t="n">
        <f aca="false">L25+K26</f>
        <v>4</v>
      </c>
      <c r="M26" s="17" t="n">
        <f aca="false">L26*Annahmen!$B$124</f>
        <v>0.8</v>
      </c>
      <c r="N26" s="18" t="n">
        <f aca="false">M26*Annahmen!$B$127/(1+Annahmen!$B$10)*Annahmen!$B$138</f>
        <v>1.95869158878505</v>
      </c>
      <c r="O26" s="17" t="n">
        <f aca="false">IF($A26&gt;=Annahmen!$B$134,Annahmen!$B$135,0)</f>
        <v>0</v>
      </c>
      <c r="P26" s="24" t="n">
        <f aca="false">O26*Annahmen!$B$136</f>
        <v>0</v>
      </c>
      <c r="Q26" s="24" t="n">
        <f aca="false">F26+J26+N26+P26</f>
        <v>5.94878504672897</v>
      </c>
      <c r="R26" s="24" t="n">
        <f aca="false">O26*Annahmen!$B$48+(C26+G26+K26)*Annahmen!$B$137</f>
        <v>0</v>
      </c>
      <c r="S26" s="24" t="n">
        <f aca="false">SUMPRODUCT((((Annahmen!$C$161:$C$174="monatlich")*(Annahmen!$D$161:$D$174&lt;=$A26))+((Annahmen!$C$161:$C$174="einmalig")*(Annahmen!$D$161:$D$174=$A26)))*Annahmen!$B$161:$B$174*Annahmen!$G$161:$G$174)</f>
        <v>28.3604931653712</v>
      </c>
      <c r="T26" s="24" t="n">
        <f aca="false">IF($A26&gt;=Annahmen!$B$118,Annahmen!$B$145,0)</f>
        <v>0</v>
      </c>
      <c r="U26" s="24" t="n">
        <f aca="false">Q26-R26-S26-T26</f>
        <v>-22.4117081186422</v>
      </c>
      <c r="V26" s="24" t="n">
        <f aca="false">V25+U26</f>
        <v>-939.21958544874</v>
      </c>
      <c r="W26" s="7" t="n">
        <f aca="false">IF(U26&gt;0,1,0)</f>
        <v>0</v>
      </c>
      <c r="X26" s="7" t="n">
        <f aca="false">IF(V26&gt;=0,1,0)</f>
        <v>0</v>
      </c>
    </row>
    <row r="27" customFormat="false" ht="15" hidden="false" customHeight="false" outlineLevel="0" collapsed="false">
      <c r="A27" s="7" t="n">
        <v>10</v>
      </c>
      <c r="B27" s="7" t="s">
        <v>399</v>
      </c>
      <c r="C27" s="17" t="n">
        <f aca="false">IF($A27&gt;=Annahmen!$B$118,Annahmen!$B$119,0)</f>
        <v>2</v>
      </c>
      <c r="D27" s="17" t="n">
        <f aca="false">D26+C27</f>
        <v>10</v>
      </c>
      <c r="E27" s="17" t="n">
        <f aca="false">D27*Annahmen!$B$122</f>
        <v>2</v>
      </c>
      <c r="F27" s="18" t="n">
        <f aca="false">E27*Annahmen!$B$125/(1+Annahmen!$B$10)*Annahmen!$B$138</f>
        <v>2.93411214953271</v>
      </c>
      <c r="G27" s="17" t="n">
        <f aca="false">IF($A27&gt;=Annahmen!$B$118,Annahmen!$B$120,0)</f>
        <v>1</v>
      </c>
      <c r="H27" s="17" t="n">
        <f aca="false">H26+G27</f>
        <v>5</v>
      </c>
      <c r="I27" s="17" t="n">
        <f aca="false">H27*Annahmen!$B$123</f>
        <v>0.5</v>
      </c>
      <c r="J27" s="18" t="n">
        <f aca="false">I27*Annahmen!$B$126/(1+Annahmen!$B$10)*Annahmen!$B$139</f>
        <v>2.0535046728972</v>
      </c>
      <c r="K27" s="17" t="n">
        <f aca="false">IF($A27&gt;=Annahmen!$B$118,Annahmen!$B$121,0)</f>
        <v>1</v>
      </c>
      <c r="L27" s="17" t="n">
        <f aca="false">L26+K27</f>
        <v>5</v>
      </c>
      <c r="M27" s="17" t="n">
        <f aca="false">L27*Annahmen!$B$124</f>
        <v>1</v>
      </c>
      <c r="N27" s="18" t="n">
        <f aca="false">M27*Annahmen!$B$127/(1+Annahmen!$B$10)*Annahmen!$B$138</f>
        <v>2.44836448598131</v>
      </c>
      <c r="O27" s="17" t="n">
        <f aca="false">IF($A27&gt;=Annahmen!$B$134,Annahmen!$B$135,0)</f>
        <v>0</v>
      </c>
      <c r="P27" s="24" t="n">
        <f aca="false">O27*Annahmen!$B$136</f>
        <v>0</v>
      </c>
      <c r="Q27" s="24" t="n">
        <f aca="false">F27+J27+N27+P27</f>
        <v>7.43598130841122</v>
      </c>
      <c r="R27" s="24" t="n">
        <f aca="false">O27*Annahmen!$B$48+(C27+G27+K27)*Annahmen!$B$137</f>
        <v>0</v>
      </c>
      <c r="S27" s="24" t="n">
        <f aca="false">SUMPRODUCT((((Annahmen!$C$161:$C$174="monatlich")*(Annahmen!$D$161:$D$174&lt;=$A27))+((Annahmen!$C$161:$C$174="einmalig")*(Annahmen!$D$161:$D$174=$A27)))*Annahmen!$B$161:$B$174*Annahmen!$G$161:$G$174)</f>
        <v>28.3604931653712</v>
      </c>
      <c r="T27" s="24" t="n">
        <f aca="false">IF($A27&gt;=Annahmen!$B$118,Annahmen!$B$145,0)</f>
        <v>0</v>
      </c>
      <c r="U27" s="24" t="n">
        <f aca="false">Q27-R27-S27-T27</f>
        <v>-20.92451185696</v>
      </c>
      <c r="V27" s="24" t="n">
        <f aca="false">V26+U27</f>
        <v>-960.1440973057</v>
      </c>
      <c r="W27" s="7" t="n">
        <f aca="false">IF(U27&gt;0,1,0)</f>
        <v>0</v>
      </c>
      <c r="X27" s="7" t="n">
        <f aca="false">IF(V27&gt;=0,1,0)</f>
        <v>0</v>
      </c>
    </row>
    <row r="28" customFormat="false" ht="15" hidden="false" customHeight="false" outlineLevel="0" collapsed="false">
      <c r="A28" s="7" t="n">
        <v>11</v>
      </c>
      <c r="B28" s="7" t="s">
        <v>400</v>
      </c>
      <c r="C28" s="17" t="n">
        <f aca="false">IF($A28&gt;=Annahmen!$B$118,Annahmen!$B$119,0)</f>
        <v>2</v>
      </c>
      <c r="D28" s="17" t="n">
        <f aca="false">D27+C28</f>
        <v>12</v>
      </c>
      <c r="E28" s="17" t="n">
        <f aca="false">D28*Annahmen!$B$122</f>
        <v>2.4</v>
      </c>
      <c r="F28" s="18" t="n">
        <f aca="false">E28*Annahmen!$B$125/(1+Annahmen!$B$10)*Annahmen!$B$138</f>
        <v>3.52093457943925</v>
      </c>
      <c r="G28" s="17" t="n">
        <f aca="false">IF($A28&gt;=Annahmen!$B$118,Annahmen!$B$120,0)</f>
        <v>1</v>
      </c>
      <c r="H28" s="17" t="n">
        <f aca="false">H27+G28</f>
        <v>6</v>
      </c>
      <c r="I28" s="17" t="n">
        <f aca="false">H28*Annahmen!$B$123</f>
        <v>0.6</v>
      </c>
      <c r="J28" s="18" t="n">
        <f aca="false">I28*Annahmen!$B$126/(1+Annahmen!$B$10)*Annahmen!$B$139</f>
        <v>2.46420560747664</v>
      </c>
      <c r="K28" s="17" t="n">
        <f aca="false">IF($A28&gt;=Annahmen!$B$118,Annahmen!$B$121,0)</f>
        <v>1</v>
      </c>
      <c r="L28" s="17" t="n">
        <f aca="false">L27+K28</f>
        <v>6</v>
      </c>
      <c r="M28" s="17" t="n">
        <f aca="false">L28*Annahmen!$B$124</f>
        <v>1.2</v>
      </c>
      <c r="N28" s="18" t="n">
        <f aca="false">M28*Annahmen!$B$127/(1+Annahmen!$B$10)*Annahmen!$B$138</f>
        <v>2.93803738317757</v>
      </c>
      <c r="O28" s="17" t="n">
        <f aca="false">IF($A28&gt;=Annahmen!$B$134,Annahmen!$B$135,0)</f>
        <v>0</v>
      </c>
      <c r="P28" s="24" t="n">
        <f aca="false">O28*Annahmen!$B$136</f>
        <v>0</v>
      </c>
      <c r="Q28" s="24" t="n">
        <f aca="false">F28+J28+N28+P28</f>
        <v>8.92317757009346</v>
      </c>
      <c r="R28" s="24" t="n">
        <f aca="false">O28*Annahmen!$B$48+(C28+G28+K28)*Annahmen!$B$137</f>
        <v>0</v>
      </c>
      <c r="S28" s="24" t="n">
        <f aca="false">SUMPRODUCT((((Annahmen!$C$161:$C$174="monatlich")*(Annahmen!$D$161:$D$174&lt;=$A28))+((Annahmen!$C$161:$C$174="einmalig")*(Annahmen!$D$161:$D$174=$A28)))*Annahmen!$B$161:$B$174*Annahmen!$G$161:$G$174)</f>
        <v>28.3604931653712</v>
      </c>
      <c r="T28" s="24" t="n">
        <f aca="false">IF($A28&gt;=Annahmen!$B$118,Annahmen!$B$145,0)</f>
        <v>0</v>
      </c>
      <c r="U28" s="24" t="n">
        <f aca="false">Q28-R28-S28-T28</f>
        <v>-19.4373155952778</v>
      </c>
      <c r="V28" s="24" t="n">
        <f aca="false">V27+U28</f>
        <v>-979.581412900978</v>
      </c>
      <c r="W28" s="7" t="n">
        <f aca="false">IF(U28&gt;0,1,0)</f>
        <v>0</v>
      </c>
      <c r="X28" s="7" t="n">
        <f aca="false">IF(V28&gt;=0,1,0)</f>
        <v>0</v>
      </c>
    </row>
    <row r="29" customFormat="false" ht="15" hidden="false" customHeight="false" outlineLevel="0" collapsed="false">
      <c r="A29" s="7" t="n">
        <v>12</v>
      </c>
      <c r="B29" s="7" t="s">
        <v>401</v>
      </c>
      <c r="C29" s="17" t="n">
        <f aca="false">IF($A29&gt;=Annahmen!$B$118,Annahmen!$B$119,0)</f>
        <v>2</v>
      </c>
      <c r="D29" s="17" t="n">
        <f aca="false">D28+C29</f>
        <v>14</v>
      </c>
      <c r="E29" s="17" t="n">
        <f aca="false">D29*Annahmen!$B$122</f>
        <v>2.8</v>
      </c>
      <c r="F29" s="18" t="n">
        <f aca="false">E29*Annahmen!$B$125/(1+Annahmen!$B$10)*Annahmen!$B$138</f>
        <v>4.1077570093458</v>
      </c>
      <c r="G29" s="17" t="n">
        <f aca="false">IF($A29&gt;=Annahmen!$B$118,Annahmen!$B$120,0)</f>
        <v>1</v>
      </c>
      <c r="H29" s="17" t="n">
        <f aca="false">H28+G29</f>
        <v>7</v>
      </c>
      <c r="I29" s="17" t="n">
        <f aca="false">H29*Annahmen!$B$123</f>
        <v>0.7</v>
      </c>
      <c r="J29" s="18" t="n">
        <f aca="false">I29*Annahmen!$B$126/(1+Annahmen!$B$10)*Annahmen!$B$139</f>
        <v>2.87490654205608</v>
      </c>
      <c r="K29" s="17" t="n">
        <f aca="false">IF($A29&gt;=Annahmen!$B$118,Annahmen!$B$121,0)</f>
        <v>1</v>
      </c>
      <c r="L29" s="17" t="n">
        <f aca="false">L28+K29</f>
        <v>7</v>
      </c>
      <c r="M29" s="17" t="n">
        <f aca="false">L29*Annahmen!$B$124</f>
        <v>1.4</v>
      </c>
      <c r="N29" s="18" t="n">
        <f aca="false">M29*Annahmen!$B$127/(1+Annahmen!$B$10)*Annahmen!$B$138</f>
        <v>3.42771028037383</v>
      </c>
      <c r="O29" s="17" t="n">
        <f aca="false">IF($A29&gt;=Annahmen!$B$134,Annahmen!$B$135,0)</f>
        <v>0</v>
      </c>
      <c r="P29" s="24" t="n">
        <f aca="false">O29*Annahmen!$B$136</f>
        <v>0</v>
      </c>
      <c r="Q29" s="24" t="n">
        <f aca="false">F29+J29+N29+P29</f>
        <v>10.4103738317757</v>
      </c>
      <c r="R29" s="24" t="n">
        <f aca="false">O29*Annahmen!$B$48+(C29+G29+K29)*Annahmen!$B$137</f>
        <v>0</v>
      </c>
      <c r="S29" s="24" t="n">
        <f aca="false">SUMPRODUCT((((Annahmen!$C$161:$C$174="monatlich")*(Annahmen!$D$161:$D$174&lt;=$A29))+((Annahmen!$C$161:$C$174="einmalig")*(Annahmen!$D$161:$D$174=$A29)))*Annahmen!$B$161:$B$174*Annahmen!$G$161:$G$174)</f>
        <v>28.3604931653712</v>
      </c>
      <c r="T29" s="24" t="n">
        <f aca="false">IF($A29&gt;=Annahmen!$B$118,Annahmen!$B$145,0)</f>
        <v>0</v>
      </c>
      <c r="U29" s="24" t="n">
        <f aca="false">Q29-R29-S29-T29</f>
        <v>-17.9501193335955</v>
      </c>
      <c r="V29" s="24" t="n">
        <f aca="false">V28+U29</f>
        <v>-997.531532234573</v>
      </c>
      <c r="W29" s="7" t="n">
        <f aca="false">IF(U29&gt;0,1,0)</f>
        <v>0</v>
      </c>
      <c r="X29" s="7" t="n">
        <f aca="false">IF(V29&gt;=0,1,0)</f>
        <v>0</v>
      </c>
    </row>
    <row r="30" customFormat="false" ht="15" hidden="false" customHeight="false" outlineLevel="0" collapsed="false">
      <c r="A30" s="7" t="n">
        <v>13</v>
      </c>
      <c r="B30" s="7" t="s">
        <v>402</v>
      </c>
      <c r="C30" s="17" t="n">
        <f aca="false">IF($A30&gt;=Annahmen!$B$118,Annahmen!$B$119,0)</f>
        <v>2</v>
      </c>
      <c r="D30" s="17" t="n">
        <f aca="false">D29+C30</f>
        <v>16</v>
      </c>
      <c r="E30" s="17" t="n">
        <f aca="false">D30*Annahmen!$B$122</f>
        <v>3.2</v>
      </c>
      <c r="F30" s="18" t="n">
        <f aca="false">E30*Annahmen!$B$125/(1+Annahmen!$B$10)*Annahmen!$B$138</f>
        <v>4.69457943925234</v>
      </c>
      <c r="G30" s="17" t="n">
        <f aca="false">IF($A30&gt;=Annahmen!$B$118,Annahmen!$B$120,0)</f>
        <v>1</v>
      </c>
      <c r="H30" s="17" t="n">
        <f aca="false">H29+G30</f>
        <v>8</v>
      </c>
      <c r="I30" s="17" t="n">
        <f aca="false">H30*Annahmen!$B$123</f>
        <v>0.8</v>
      </c>
      <c r="J30" s="18" t="n">
        <f aca="false">I30*Annahmen!$B$126/(1+Annahmen!$B$10)*Annahmen!$B$139</f>
        <v>3.28560747663551</v>
      </c>
      <c r="K30" s="17" t="n">
        <f aca="false">IF($A30&gt;=Annahmen!$B$118,Annahmen!$B$121,0)</f>
        <v>1</v>
      </c>
      <c r="L30" s="17" t="n">
        <f aca="false">L29+K30</f>
        <v>8</v>
      </c>
      <c r="M30" s="17" t="n">
        <f aca="false">L30*Annahmen!$B$124</f>
        <v>1.6</v>
      </c>
      <c r="N30" s="18" t="n">
        <f aca="false">M30*Annahmen!$B$127/(1+Annahmen!$B$10)*Annahmen!$B$138</f>
        <v>3.91738317757009</v>
      </c>
      <c r="O30" s="17" t="n">
        <f aca="false">IF($A30&gt;=Annahmen!$B$134,Annahmen!$B$135,0)</f>
        <v>0</v>
      </c>
      <c r="P30" s="24" t="n">
        <f aca="false">O30*Annahmen!$B$136</f>
        <v>0</v>
      </c>
      <c r="Q30" s="24" t="n">
        <f aca="false">F30+J30+N30+P30</f>
        <v>11.8975700934579</v>
      </c>
      <c r="R30" s="24" t="n">
        <f aca="false">O30*Annahmen!$B$48+(C30+G30+K30)*Annahmen!$B$137</f>
        <v>0</v>
      </c>
      <c r="S30" s="24" t="n">
        <f aca="false">SUMPRODUCT((((Annahmen!$C$161:$C$174="monatlich")*(Annahmen!$D$161:$D$174&lt;=$A30))+((Annahmen!$C$161:$C$174="einmalig")*(Annahmen!$D$161:$D$174=$A30)))*Annahmen!$B$161:$B$174*Annahmen!$G$161:$G$174)</f>
        <v>28.3604931653712</v>
      </c>
      <c r="T30" s="24" t="n">
        <f aca="false">IF($A30&gt;=Annahmen!$B$118,Annahmen!$B$145,0)</f>
        <v>0</v>
      </c>
      <c r="U30" s="24" t="n">
        <f aca="false">Q30-R30-S30-T30</f>
        <v>-16.4629230719133</v>
      </c>
      <c r="V30" s="24" t="n">
        <f aca="false">V29+U30</f>
        <v>-1013.99445530649</v>
      </c>
      <c r="W30" s="7" t="n">
        <f aca="false">IF(U30&gt;0,1,0)</f>
        <v>0</v>
      </c>
      <c r="X30" s="7" t="n">
        <f aca="false">IF(V30&gt;=0,1,0)</f>
        <v>0</v>
      </c>
    </row>
    <row r="31" customFormat="false" ht="15" hidden="false" customHeight="false" outlineLevel="0" collapsed="false">
      <c r="A31" s="7" t="n">
        <v>14</v>
      </c>
      <c r="B31" s="7" t="s">
        <v>403</v>
      </c>
      <c r="C31" s="17" t="n">
        <f aca="false">IF($A31&gt;=Annahmen!$B$118,Annahmen!$B$119,0)</f>
        <v>2</v>
      </c>
      <c r="D31" s="17" t="n">
        <f aca="false">D30+C31</f>
        <v>18</v>
      </c>
      <c r="E31" s="17" t="n">
        <f aca="false">D31*Annahmen!$B$122</f>
        <v>3.6</v>
      </c>
      <c r="F31" s="18" t="n">
        <f aca="false">E31*Annahmen!$B$125/(1+Annahmen!$B$10)*Annahmen!$B$138</f>
        <v>5.28140186915888</v>
      </c>
      <c r="G31" s="17" t="n">
        <f aca="false">IF($A31&gt;=Annahmen!$B$118,Annahmen!$B$120,0)</f>
        <v>1</v>
      </c>
      <c r="H31" s="17" t="n">
        <f aca="false">H30+G31</f>
        <v>9</v>
      </c>
      <c r="I31" s="17" t="n">
        <f aca="false">H31*Annahmen!$B$123</f>
        <v>0.9</v>
      </c>
      <c r="J31" s="18" t="n">
        <f aca="false">I31*Annahmen!$B$126/(1+Annahmen!$B$10)*Annahmen!$B$139</f>
        <v>3.69630841121495</v>
      </c>
      <c r="K31" s="17" t="n">
        <f aca="false">IF($A31&gt;=Annahmen!$B$118,Annahmen!$B$121,0)</f>
        <v>1</v>
      </c>
      <c r="L31" s="17" t="n">
        <f aca="false">L30+K31</f>
        <v>9</v>
      </c>
      <c r="M31" s="17" t="n">
        <f aca="false">L31*Annahmen!$B$124</f>
        <v>1.8</v>
      </c>
      <c r="N31" s="18" t="n">
        <f aca="false">M31*Annahmen!$B$127/(1+Annahmen!$B$10)*Annahmen!$B$138</f>
        <v>4.40705607476636</v>
      </c>
      <c r="O31" s="17" t="n">
        <f aca="false">IF($A31&gt;=Annahmen!$B$134,Annahmen!$B$135,0)</f>
        <v>0</v>
      </c>
      <c r="P31" s="24" t="n">
        <f aca="false">O31*Annahmen!$B$136</f>
        <v>0</v>
      </c>
      <c r="Q31" s="24" t="n">
        <f aca="false">F31+J31+N31+P31</f>
        <v>13.3847663551402</v>
      </c>
      <c r="R31" s="24" t="n">
        <f aca="false">O31*Annahmen!$B$48+(C31+G31+K31)*Annahmen!$B$137</f>
        <v>0</v>
      </c>
      <c r="S31" s="24" t="n">
        <f aca="false">SUMPRODUCT((((Annahmen!$C$161:$C$174="monatlich")*(Annahmen!$D$161:$D$174&lt;=$A31))+((Annahmen!$C$161:$C$174="einmalig")*(Annahmen!$D$161:$D$174=$A31)))*Annahmen!$B$161:$B$174*Annahmen!$G$161:$G$174)</f>
        <v>28.3604931653712</v>
      </c>
      <c r="T31" s="24" t="n">
        <f aca="false">IF($A31&gt;=Annahmen!$B$118,Annahmen!$B$145,0)</f>
        <v>0</v>
      </c>
      <c r="U31" s="24" t="n">
        <f aca="false">Q31-R31-S31-T31</f>
        <v>-14.975726810231</v>
      </c>
      <c r="V31" s="24" t="n">
        <f aca="false">V30+U31</f>
        <v>-1028.97018211672</v>
      </c>
      <c r="W31" s="7" t="n">
        <f aca="false">IF(U31&gt;0,1,0)</f>
        <v>0</v>
      </c>
      <c r="X31" s="7" t="n">
        <f aca="false">IF(V31&gt;=0,1,0)</f>
        <v>0</v>
      </c>
    </row>
    <row r="32" customFormat="false" ht="15" hidden="false" customHeight="false" outlineLevel="0" collapsed="false">
      <c r="A32" s="7" t="n">
        <v>15</v>
      </c>
      <c r="B32" s="7" t="s">
        <v>404</v>
      </c>
      <c r="C32" s="17" t="n">
        <f aca="false">IF($A32&gt;=Annahmen!$B$118,Annahmen!$B$119,0)</f>
        <v>2</v>
      </c>
      <c r="D32" s="17" t="n">
        <f aca="false">D31+C32</f>
        <v>20</v>
      </c>
      <c r="E32" s="17" t="n">
        <f aca="false">D32*Annahmen!$B$122</f>
        <v>4</v>
      </c>
      <c r="F32" s="18" t="n">
        <f aca="false">E32*Annahmen!$B$125/(1+Annahmen!$B$10)*Annahmen!$B$138</f>
        <v>5.86822429906542</v>
      </c>
      <c r="G32" s="17" t="n">
        <f aca="false">IF($A32&gt;=Annahmen!$B$118,Annahmen!$B$120,0)</f>
        <v>1</v>
      </c>
      <c r="H32" s="17" t="n">
        <f aca="false">H31+G32</f>
        <v>10</v>
      </c>
      <c r="I32" s="17" t="n">
        <f aca="false">H32*Annahmen!$B$123</f>
        <v>1</v>
      </c>
      <c r="J32" s="18" t="n">
        <f aca="false">I32*Annahmen!$B$126/(1+Annahmen!$B$10)*Annahmen!$B$139</f>
        <v>4.10700934579439</v>
      </c>
      <c r="K32" s="17" t="n">
        <f aca="false">IF($A32&gt;=Annahmen!$B$118,Annahmen!$B$121,0)</f>
        <v>1</v>
      </c>
      <c r="L32" s="17" t="n">
        <f aca="false">L31+K32</f>
        <v>10</v>
      </c>
      <c r="M32" s="17" t="n">
        <f aca="false">L32*Annahmen!$B$124</f>
        <v>2</v>
      </c>
      <c r="N32" s="18" t="n">
        <f aca="false">M32*Annahmen!$B$127/(1+Annahmen!$B$10)*Annahmen!$B$138</f>
        <v>4.89672897196262</v>
      </c>
      <c r="O32" s="17" t="n">
        <f aca="false">IF($A32&gt;=Annahmen!$B$134,Annahmen!$B$135,0)</f>
        <v>0</v>
      </c>
      <c r="P32" s="24" t="n">
        <f aca="false">O32*Annahmen!$B$136</f>
        <v>0</v>
      </c>
      <c r="Q32" s="24" t="n">
        <f aca="false">F32+J32+N32+P32</f>
        <v>14.8719626168224</v>
      </c>
      <c r="R32" s="24" t="n">
        <f aca="false">O32*Annahmen!$B$48+(C32+G32+K32)*Annahmen!$B$137</f>
        <v>0</v>
      </c>
      <c r="S32" s="24" t="n">
        <f aca="false">SUMPRODUCT((((Annahmen!$C$161:$C$174="monatlich")*(Annahmen!$D$161:$D$174&lt;=$A32))+((Annahmen!$C$161:$C$174="einmalig")*(Annahmen!$D$161:$D$174=$A32)))*Annahmen!$B$161:$B$174*Annahmen!$G$161:$G$174)</f>
        <v>28.3604931653712</v>
      </c>
      <c r="T32" s="24" t="n">
        <f aca="false">IF($A32&gt;=Annahmen!$B$118,Annahmen!$B$145,0)</f>
        <v>0</v>
      </c>
      <c r="U32" s="24" t="n">
        <f aca="false">Q32-R32-S32-T32</f>
        <v>-13.4885305485488</v>
      </c>
      <c r="V32" s="24" t="n">
        <f aca="false">V31+U32</f>
        <v>-1042.45871266527</v>
      </c>
      <c r="W32" s="7" t="n">
        <f aca="false">IF(U32&gt;0,1,0)</f>
        <v>0</v>
      </c>
      <c r="X32" s="7" t="n">
        <f aca="false">IF(V32&gt;=0,1,0)</f>
        <v>0</v>
      </c>
    </row>
    <row r="33" customFormat="false" ht="15" hidden="false" customHeight="false" outlineLevel="0" collapsed="false">
      <c r="A33" s="7" t="n">
        <v>16</v>
      </c>
      <c r="B33" s="7" t="s">
        <v>405</v>
      </c>
      <c r="C33" s="17" t="n">
        <f aca="false">IF($A33&gt;=Annahmen!$B$118,Annahmen!$B$119,0)</f>
        <v>2</v>
      </c>
      <c r="D33" s="17" t="n">
        <f aca="false">D32+C33</f>
        <v>22</v>
      </c>
      <c r="E33" s="17" t="n">
        <f aca="false">D33*Annahmen!$B$122</f>
        <v>4.4</v>
      </c>
      <c r="F33" s="18" t="n">
        <f aca="false">E33*Annahmen!$B$125/(1+Annahmen!$B$10)*Annahmen!$B$138</f>
        <v>6.45504672897196</v>
      </c>
      <c r="G33" s="17" t="n">
        <f aca="false">IF($A33&gt;=Annahmen!$B$118,Annahmen!$B$120,0)</f>
        <v>1</v>
      </c>
      <c r="H33" s="17" t="n">
        <f aca="false">H32+G33</f>
        <v>11</v>
      </c>
      <c r="I33" s="17" t="n">
        <f aca="false">H33*Annahmen!$B$123</f>
        <v>1.1</v>
      </c>
      <c r="J33" s="18" t="n">
        <f aca="false">I33*Annahmen!$B$126/(1+Annahmen!$B$10)*Annahmen!$B$139</f>
        <v>4.51771028037383</v>
      </c>
      <c r="K33" s="17" t="n">
        <f aca="false">IF($A33&gt;=Annahmen!$B$118,Annahmen!$B$121,0)</f>
        <v>1</v>
      </c>
      <c r="L33" s="17" t="n">
        <f aca="false">L32+K33</f>
        <v>11</v>
      </c>
      <c r="M33" s="17" t="n">
        <f aca="false">L33*Annahmen!$B$124</f>
        <v>2.2</v>
      </c>
      <c r="N33" s="18" t="n">
        <f aca="false">M33*Annahmen!$B$127/(1+Annahmen!$B$10)*Annahmen!$B$138</f>
        <v>5.38640186915888</v>
      </c>
      <c r="O33" s="17" t="n">
        <f aca="false">IF($A33&gt;=Annahmen!$B$134,Annahmen!$B$135,0)</f>
        <v>0</v>
      </c>
      <c r="P33" s="24" t="n">
        <f aca="false">O33*Annahmen!$B$136</f>
        <v>0</v>
      </c>
      <c r="Q33" s="24" t="n">
        <f aca="false">F33+J33+N33+P33</f>
        <v>16.3591588785047</v>
      </c>
      <c r="R33" s="24" t="n">
        <f aca="false">O33*Annahmen!$B$48+(C33+G33+K33)*Annahmen!$B$137</f>
        <v>0</v>
      </c>
      <c r="S33" s="24" t="n">
        <f aca="false">SUMPRODUCT((((Annahmen!$C$161:$C$174="monatlich")*(Annahmen!$D$161:$D$174&lt;=$A33))+((Annahmen!$C$161:$C$174="einmalig")*(Annahmen!$D$161:$D$174=$A33)))*Annahmen!$B$161:$B$174*Annahmen!$G$161:$G$174)</f>
        <v>28.3604931653712</v>
      </c>
      <c r="T33" s="24" t="n">
        <f aca="false">IF($A33&gt;=Annahmen!$B$118,Annahmen!$B$145,0)</f>
        <v>0</v>
      </c>
      <c r="U33" s="24" t="n">
        <f aca="false">Q33-R33-S33-T33</f>
        <v>-12.0013342868665</v>
      </c>
      <c r="V33" s="24" t="n">
        <f aca="false">V32+U33</f>
        <v>-1054.46004695213</v>
      </c>
      <c r="W33" s="7" t="n">
        <f aca="false">IF(U33&gt;0,1,0)</f>
        <v>0</v>
      </c>
      <c r="X33" s="7" t="n">
        <f aca="false">IF(V33&gt;=0,1,0)</f>
        <v>0</v>
      </c>
    </row>
    <row r="34" customFormat="false" ht="15" hidden="false" customHeight="false" outlineLevel="0" collapsed="false">
      <c r="A34" s="7" t="n">
        <v>17</v>
      </c>
      <c r="B34" s="7" t="s">
        <v>406</v>
      </c>
      <c r="C34" s="17" t="n">
        <f aca="false">IF($A34&gt;=Annahmen!$B$118,Annahmen!$B$119,0)</f>
        <v>2</v>
      </c>
      <c r="D34" s="17" t="n">
        <f aca="false">D33+C34</f>
        <v>24</v>
      </c>
      <c r="E34" s="17" t="n">
        <f aca="false">D34*Annahmen!$B$122</f>
        <v>4.8</v>
      </c>
      <c r="F34" s="18" t="n">
        <f aca="false">E34*Annahmen!$B$125/(1+Annahmen!$B$10)*Annahmen!$B$138</f>
        <v>7.04186915887851</v>
      </c>
      <c r="G34" s="17" t="n">
        <f aca="false">IF($A34&gt;=Annahmen!$B$118,Annahmen!$B$120,0)</f>
        <v>1</v>
      </c>
      <c r="H34" s="17" t="n">
        <f aca="false">H33+G34</f>
        <v>12</v>
      </c>
      <c r="I34" s="17" t="n">
        <f aca="false">H34*Annahmen!$B$123</f>
        <v>1.2</v>
      </c>
      <c r="J34" s="18" t="n">
        <f aca="false">I34*Annahmen!$B$126/(1+Annahmen!$B$10)*Annahmen!$B$139</f>
        <v>4.92841121495327</v>
      </c>
      <c r="K34" s="17" t="n">
        <f aca="false">IF($A34&gt;=Annahmen!$B$118,Annahmen!$B$121,0)</f>
        <v>1</v>
      </c>
      <c r="L34" s="17" t="n">
        <f aca="false">L33+K34</f>
        <v>12</v>
      </c>
      <c r="M34" s="17" t="n">
        <f aca="false">L34*Annahmen!$B$124</f>
        <v>2.4</v>
      </c>
      <c r="N34" s="18" t="n">
        <f aca="false">M34*Annahmen!$B$127/(1+Annahmen!$B$10)*Annahmen!$B$138</f>
        <v>5.87607476635514</v>
      </c>
      <c r="O34" s="17" t="n">
        <f aca="false">IF($A34&gt;=Annahmen!$B$134,Annahmen!$B$135,0)</f>
        <v>0</v>
      </c>
      <c r="P34" s="24" t="n">
        <f aca="false">O34*Annahmen!$B$136</f>
        <v>0</v>
      </c>
      <c r="Q34" s="24" t="n">
        <f aca="false">F34+J34+N34+P34</f>
        <v>17.8463551401869</v>
      </c>
      <c r="R34" s="24" t="n">
        <f aca="false">O34*Annahmen!$B$48+(C34+G34+K34)*Annahmen!$B$137</f>
        <v>0</v>
      </c>
      <c r="S34" s="24" t="n">
        <f aca="false">SUMPRODUCT((((Annahmen!$C$161:$C$174="monatlich")*(Annahmen!$D$161:$D$174&lt;=$A34))+((Annahmen!$C$161:$C$174="einmalig")*(Annahmen!$D$161:$D$174=$A34)))*Annahmen!$B$161:$B$174*Annahmen!$G$161:$G$174)</f>
        <v>28.3604931653712</v>
      </c>
      <c r="T34" s="24" t="n">
        <f aca="false">IF($A34&gt;=Annahmen!$B$118,Annahmen!$B$145,0)</f>
        <v>0</v>
      </c>
      <c r="U34" s="24" t="n">
        <f aca="false">Q34-R34-S34-T34</f>
        <v>-10.5141380251843</v>
      </c>
      <c r="V34" s="24" t="n">
        <f aca="false">V33+U34</f>
        <v>-1064.97418497732</v>
      </c>
      <c r="W34" s="7" t="n">
        <f aca="false">IF(U34&gt;0,1,0)</f>
        <v>0</v>
      </c>
      <c r="X34" s="7" t="n">
        <f aca="false">IF(V34&gt;=0,1,0)</f>
        <v>0</v>
      </c>
    </row>
    <row r="35" customFormat="false" ht="15" hidden="false" customHeight="false" outlineLevel="0" collapsed="false">
      <c r="A35" s="7" t="n">
        <v>18</v>
      </c>
      <c r="B35" s="7" t="s">
        <v>407</v>
      </c>
      <c r="C35" s="17" t="n">
        <f aca="false">IF($A35&gt;=Annahmen!$B$118,Annahmen!$B$119,0)</f>
        <v>2</v>
      </c>
      <c r="D35" s="17" t="n">
        <f aca="false">D34+C35</f>
        <v>26</v>
      </c>
      <c r="E35" s="17" t="n">
        <f aca="false">D35*Annahmen!$B$122</f>
        <v>5.2</v>
      </c>
      <c r="F35" s="18" t="n">
        <f aca="false">E35*Annahmen!$B$125/(1+Annahmen!$B$10)*Annahmen!$B$138</f>
        <v>7.62869158878505</v>
      </c>
      <c r="G35" s="17" t="n">
        <f aca="false">IF($A35&gt;=Annahmen!$B$118,Annahmen!$B$120,0)</f>
        <v>1</v>
      </c>
      <c r="H35" s="17" t="n">
        <f aca="false">H34+G35</f>
        <v>13</v>
      </c>
      <c r="I35" s="17" t="n">
        <f aca="false">H35*Annahmen!$B$123</f>
        <v>1.3</v>
      </c>
      <c r="J35" s="18" t="n">
        <f aca="false">I35*Annahmen!$B$126/(1+Annahmen!$B$10)*Annahmen!$B$139</f>
        <v>5.33911214953271</v>
      </c>
      <c r="K35" s="17" t="n">
        <f aca="false">IF($A35&gt;=Annahmen!$B$118,Annahmen!$B$121,0)</f>
        <v>1</v>
      </c>
      <c r="L35" s="17" t="n">
        <f aca="false">L34+K35</f>
        <v>13</v>
      </c>
      <c r="M35" s="17" t="n">
        <f aca="false">L35*Annahmen!$B$124</f>
        <v>2.6</v>
      </c>
      <c r="N35" s="18" t="n">
        <f aca="false">M35*Annahmen!$B$127/(1+Annahmen!$B$10)*Annahmen!$B$138</f>
        <v>6.3657476635514</v>
      </c>
      <c r="O35" s="17" t="n">
        <f aca="false">IF($A35&gt;=Annahmen!$B$134,Annahmen!$B$135,0)</f>
        <v>0</v>
      </c>
      <c r="P35" s="24" t="n">
        <f aca="false">O35*Annahmen!$B$136</f>
        <v>0</v>
      </c>
      <c r="Q35" s="24" t="n">
        <f aca="false">F35+J35+N35+P35</f>
        <v>19.3335514018692</v>
      </c>
      <c r="R35" s="24" t="n">
        <f aca="false">O35*Annahmen!$B$48+(C35+G35+K35)*Annahmen!$B$137</f>
        <v>0</v>
      </c>
      <c r="S35" s="24" t="n">
        <f aca="false">SUMPRODUCT((((Annahmen!$C$161:$C$174="monatlich")*(Annahmen!$D$161:$D$174&lt;=$A35))+((Annahmen!$C$161:$C$174="einmalig")*(Annahmen!$D$161:$D$174=$A35)))*Annahmen!$B$161:$B$174*Annahmen!$G$161:$G$174)</f>
        <v>28.3604931653712</v>
      </c>
      <c r="T35" s="24" t="n">
        <f aca="false">IF($A35&gt;=Annahmen!$B$118,Annahmen!$B$145,0)</f>
        <v>0</v>
      </c>
      <c r="U35" s="24" t="n">
        <f aca="false">Q35-R35-S35-T35</f>
        <v>-9.02694176350206</v>
      </c>
      <c r="V35" s="24" t="n">
        <f aca="false">V34+U35</f>
        <v>-1074.00112674082</v>
      </c>
      <c r="W35" s="7" t="n">
        <f aca="false">IF(U35&gt;0,1,0)</f>
        <v>0</v>
      </c>
      <c r="X35" s="7" t="n">
        <f aca="false">IF(V35&gt;=0,1,0)</f>
        <v>0</v>
      </c>
    </row>
    <row r="36" customFormat="false" ht="15" hidden="false" customHeight="false" outlineLevel="0" collapsed="false">
      <c r="A36" s="7" t="n">
        <v>19</v>
      </c>
      <c r="B36" s="7" t="s">
        <v>408</v>
      </c>
      <c r="C36" s="17" t="n">
        <f aca="false">IF($A36&gt;=Annahmen!$B$118,Annahmen!$B$119,0)</f>
        <v>2</v>
      </c>
      <c r="D36" s="17" t="n">
        <f aca="false">D35+C36</f>
        <v>28</v>
      </c>
      <c r="E36" s="17" t="n">
        <f aca="false">D36*Annahmen!$B$122</f>
        <v>5.6</v>
      </c>
      <c r="F36" s="18" t="n">
        <f aca="false">E36*Annahmen!$B$125/(1+Annahmen!$B$10)*Annahmen!$B$138</f>
        <v>8.21551401869159</v>
      </c>
      <c r="G36" s="17" t="n">
        <f aca="false">IF($A36&gt;=Annahmen!$B$118,Annahmen!$B$120,0)</f>
        <v>1</v>
      </c>
      <c r="H36" s="17" t="n">
        <f aca="false">H35+G36</f>
        <v>14</v>
      </c>
      <c r="I36" s="17" t="n">
        <f aca="false">H36*Annahmen!$B$123</f>
        <v>1.4</v>
      </c>
      <c r="J36" s="18" t="n">
        <f aca="false">I36*Annahmen!$B$126/(1+Annahmen!$B$10)*Annahmen!$B$139</f>
        <v>5.74981308411215</v>
      </c>
      <c r="K36" s="17" t="n">
        <f aca="false">IF($A36&gt;=Annahmen!$B$118,Annahmen!$B$121,0)</f>
        <v>1</v>
      </c>
      <c r="L36" s="17" t="n">
        <f aca="false">L35+K36</f>
        <v>14</v>
      </c>
      <c r="M36" s="17" t="n">
        <f aca="false">L36*Annahmen!$B$124</f>
        <v>2.8</v>
      </c>
      <c r="N36" s="18" t="n">
        <f aca="false">M36*Annahmen!$B$127/(1+Annahmen!$B$10)*Annahmen!$B$138</f>
        <v>6.85542056074766</v>
      </c>
      <c r="O36" s="17" t="n">
        <f aca="false">IF($A36&gt;=Annahmen!$B$134,Annahmen!$B$135,0)</f>
        <v>0</v>
      </c>
      <c r="P36" s="24" t="n">
        <f aca="false">O36*Annahmen!$B$136</f>
        <v>0</v>
      </c>
      <c r="Q36" s="24" t="n">
        <f aca="false">F36+J36+N36+P36</f>
        <v>20.8207476635514</v>
      </c>
      <c r="R36" s="24" t="n">
        <f aca="false">O36*Annahmen!$B$48+(C36+G36+K36)*Annahmen!$B$137</f>
        <v>0</v>
      </c>
      <c r="S36" s="24" t="n">
        <f aca="false">SUMPRODUCT((((Annahmen!$C$161:$C$174="monatlich")*(Annahmen!$D$161:$D$174&lt;=$A36))+((Annahmen!$C$161:$C$174="einmalig")*(Annahmen!$D$161:$D$174=$A36)))*Annahmen!$B$161:$B$174*Annahmen!$G$161:$G$174)</f>
        <v>28.3604931653712</v>
      </c>
      <c r="T36" s="24" t="n">
        <f aca="false">IF($A36&gt;=Annahmen!$B$118,Annahmen!$B$145,0)</f>
        <v>0</v>
      </c>
      <c r="U36" s="24" t="n">
        <f aca="false">Q36-R36-S36-T36</f>
        <v>-7.53974550181981</v>
      </c>
      <c r="V36" s="24" t="n">
        <f aca="false">V35+U36</f>
        <v>-1081.54087224264</v>
      </c>
      <c r="W36" s="7" t="n">
        <f aca="false">IF(U36&gt;0,1,0)</f>
        <v>0</v>
      </c>
      <c r="X36" s="7" t="n">
        <f aca="false">IF(V36&gt;=0,1,0)</f>
        <v>0</v>
      </c>
    </row>
    <row r="37" customFormat="false" ht="15" hidden="false" customHeight="false" outlineLevel="0" collapsed="false">
      <c r="A37" s="7" t="n">
        <v>20</v>
      </c>
      <c r="B37" s="7" t="s">
        <v>409</v>
      </c>
      <c r="C37" s="17" t="n">
        <f aca="false">IF($A37&gt;=Annahmen!$B$118,Annahmen!$B$119,0)</f>
        <v>2</v>
      </c>
      <c r="D37" s="17" t="n">
        <f aca="false">D36+C37</f>
        <v>30</v>
      </c>
      <c r="E37" s="17" t="n">
        <f aca="false">D37*Annahmen!$B$122</f>
        <v>6</v>
      </c>
      <c r="F37" s="18" t="n">
        <f aca="false">E37*Annahmen!$B$125/(1+Annahmen!$B$10)*Annahmen!$B$138</f>
        <v>8.80233644859813</v>
      </c>
      <c r="G37" s="17" t="n">
        <f aca="false">IF($A37&gt;=Annahmen!$B$118,Annahmen!$B$120,0)</f>
        <v>1</v>
      </c>
      <c r="H37" s="17" t="n">
        <f aca="false">H36+G37</f>
        <v>15</v>
      </c>
      <c r="I37" s="17" t="n">
        <f aca="false">H37*Annahmen!$B$123</f>
        <v>1.5</v>
      </c>
      <c r="J37" s="18" t="n">
        <f aca="false">I37*Annahmen!$B$126/(1+Annahmen!$B$10)*Annahmen!$B$139</f>
        <v>6.16051401869159</v>
      </c>
      <c r="K37" s="17" t="n">
        <f aca="false">IF($A37&gt;=Annahmen!$B$118,Annahmen!$B$121,0)</f>
        <v>1</v>
      </c>
      <c r="L37" s="17" t="n">
        <f aca="false">L36+K37</f>
        <v>15</v>
      </c>
      <c r="M37" s="17" t="n">
        <f aca="false">L37*Annahmen!$B$124</f>
        <v>3</v>
      </c>
      <c r="N37" s="18" t="n">
        <f aca="false">M37*Annahmen!$B$127/(1+Annahmen!$B$10)*Annahmen!$B$138</f>
        <v>7.34509345794392</v>
      </c>
      <c r="O37" s="17" t="n">
        <f aca="false">IF($A37&gt;=Annahmen!$B$134,Annahmen!$B$135,0)</f>
        <v>0</v>
      </c>
      <c r="P37" s="24" t="n">
        <f aca="false">O37*Annahmen!$B$136</f>
        <v>0</v>
      </c>
      <c r="Q37" s="24" t="n">
        <f aca="false">F37+J37+N37+P37</f>
        <v>22.3079439252336</v>
      </c>
      <c r="R37" s="24" t="n">
        <f aca="false">O37*Annahmen!$B$48+(C37+G37+K37)*Annahmen!$B$137</f>
        <v>0</v>
      </c>
      <c r="S37" s="24" t="n">
        <f aca="false">SUMPRODUCT((((Annahmen!$C$161:$C$174="monatlich")*(Annahmen!$D$161:$D$174&lt;=$A37))+((Annahmen!$C$161:$C$174="einmalig")*(Annahmen!$D$161:$D$174=$A37)))*Annahmen!$B$161:$B$174*Annahmen!$G$161:$G$174)</f>
        <v>28.3604931653712</v>
      </c>
      <c r="T37" s="24" t="n">
        <f aca="false">IF($A37&gt;=Annahmen!$B$118,Annahmen!$B$145,0)</f>
        <v>0</v>
      </c>
      <c r="U37" s="24" t="n">
        <f aca="false">Q37-R37-S37-T37</f>
        <v>-6.05254924013757</v>
      </c>
      <c r="V37" s="24" t="n">
        <f aca="false">V36+U37</f>
        <v>-1087.59342148278</v>
      </c>
      <c r="W37" s="7" t="n">
        <f aca="false">IF(U37&gt;0,1,0)</f>
        <v>0</v>
      </c>
      <c r="X37" s="7" t="n">
        <f aca="false">IF(V37&gt;=0,1,0)</f>
        <v>0</v>
      </c>
    </row>
    <row r="38" customFormat="false" ht="15" hidden="false" customHeight="false" outlineLevel="0" collapsed="false">
      <c r="A38" s="7" t="n">
        <v>21</v>
      </c>
      <c r="B38" s="7" t="s">
        <v>410</v>
      </c>
      <c r="C38" s="17" t="n">
        <f aca="false">IF($A38&gt;=Annahmen!$B$118,Annahmen!$B$119,0)</f>
        <v>2</v>
      </c>
      <c r="D38" s="17" t="n">
        <f aca="false">D37+C38</f>
        <v>32</v>
      </c>
      <c r="E38" s="17" t="n">
        <f aca="false">D38*Annahmen!$B$122</f>
        <v>6.4</v>
      </c>
      <c r="F38" s="18" t="n">
        <f aca="false">E38*Annahmen!$B$125/(1+Annahmen!$B$10)*Annahmen!$B$138</f>
        <v>9.38915887850467</v>
      </c>
      <c r="G38" s="17" t="n">
        <f aca="false">IF($A38&gt;=Annahmen!$B$118,Annahmen!$B$120,0)</f>
        <v>1</v>
      </c>
      <c r="H38" s="17" t="n">
        <f aca="false">H37+G38</f>
        <v>16</v>
      </c>
      <c r="I38" s="17" t="n">
        <f aca="false">H38*Annahmen!$B$123</f>
        <v>1.6</v>
      </c>
      <c r="J38" s="18" t="n">
        <f aca="false">I38*Annahmen!$B$126/(1+Annahmen!$B$10)*Annahmen!$B$139</f>
        <v>6.57121495327103</v>
      </c>
      <c r="K38" s="17" t="n">
        <f aca="false">IF($A38&gt;=Annahmen!$B$118,Annahmen!$B$121,0)</f>
        <v>1</v>
      </c>
      <c r="L38" s="17" t="n">
        <f aca="false">L37+K38</f>
        <v>16</v>
      </c>
      <c r="M38" s="17" t="n">
        <f aca="false">L38*Annahmen!$B$124</f>
        <v>3.2</v>
      </c>
      <c r="N38" s="18" t="n">
        <f aca="false">M38*Annahmen!$B$127/(1+Annahmen!$B$10)*Annahmen!$B$138</f>
        <v>7.83476635514019</v>
      </c>
      <c r="O38" s="17" t="n">
        <f aca="false">IF($A38&gt;=Annahmen!$B$134,Annahmen!$B$135,0)</f>
        <v>0</v>
      </c>
      <c r="P38" s="24" t="n">
        <f aca="false">O38*Annahmen!$B$136</f>
        <v>0</v>
      </c>
      <c r="Q38" s="24" t="n">
        <f aca="false">F38+J38+N38+P38</f>
        <v>23.7951401869159</v>
      </c>
      <c r="R38" s="24" t="n">
        <f aca="false">O38*Annahmen!$B$48+(C38+G38+K38)*Annahmen!$B$137</f>
        <v>0</v>
      </c>
      <c r="S38" s="24" t="n">
        <f aca="false">SUMPRODUCT((((Annahmen!$C$161:$C$174="monatlich")*(Annahmen!$D$161:$D$174&lt;=$A38))+((Annahmen!$C$161:$C$174="einmalig")*(Annahmen!$D$161:$D$174=$A38)))*Annahmen!$B$161:$B$174*Annahmen!$G$161:$G$174)</f>
        <v>28.3604931653712</v>
      </c>
      <c r="T38" s="24" t="n">
        <f aca="false">IF($A38&gt;=Annahmen!$B$118,Annahmen!$B$145,0)</f>
        <v>0</v>
      </c>
      <c r="U38" s="24" t="n">
        <f aca="false">Q38-R38-S38-T38</f>
        <v>-4.56535297845533</v>
      </c>
      <c r="V38" s="24" t="n">
        <f aca="false">V37+U38</f>
        <v>-1092.15877446123</v>
      </c>
      <c r="W38" s="7" t="n">
        <f aca="false">IF(U38&gt;0,1,0)</f>
        <v>0</v>
      </c>
      <c r="X38" s="7" t="n">
        <f aca="false">IF(V38&gt;=0,1,0)</f>
        <v>0</v>
      </c>
    </row>
    <row r="39" customFormat="false" ht="15" hidden="false" customHeight="false" outlineLevel="0" collapsed="false">
      <c r="A39" s="7" t="n">
        <v>22</v>
      </c>
      <c r="B39" s="7" t="s">
        <v>411</v>
      </c>
      <c r="C39" s="17" t="n">
        <f aca="false">IF($A39&gt;=Annahmen!$B$118,Annahmen!$B$119,0)</f>
        <v>2</v>
      </c>
      <c r="D39" s="17" t="n">
        <f aca="false">D38+C39</f>
        <v>34</v>
      </c>
      <c r="E39" s="17" t="n">
        <f aca="false">D39*Annahmen!$B$122</f>
        <v>6.8</v>
      </c>
      <c r="F39" s="18" t="n">
        <f aca="false">E39*Annahmen!$B$125/(1+Annahmen!$B$10)*Annahmen!$B$138</f>
        <v>9.97598130841121</v>
      </c>
      <c r="G39" s="17" t="n">
        <f aca="false">IF($A39&gt;=Annahmen!$B$118,Annahmen!$B$120,0)</f>
        <v>1</v>
      </c>
      <c r="H39" s="17" t="n">
        <f aca="false">H38+G39</f>
        <v>17</v>
      </c>
      <c r="I39" s="17" t="n">
        <f aca="false">H39*Annahmen!$B$123</f>
        <v>1.7</v>
      </c>
      <c r="J39" s="18" t="n">
        <f aca="false">I39*Annahmen!$B$126/(1+Annahmen!$B$10)*Annahmen!$B$139</f>
        <v>6.98191588785047</v>
      </c>
      <c r="K39" s="17" t="n">
        <f aca="false">IF($A39&gt;=Annahmen!$B$118,Annahmen!$B$121,0)</f>
        <v>1</v>
      </c>
      <c r="L39" s="17" t="n">
        <f aca="false">L38+K39</f>
        <v>17</v>
      </c>
      <c r="M39" s="17" t="n">
        <f aca="false">L39*Annahmen!$B$124</f>
        <v>3.4</v>
      </c>
      <c r="N39" s="18" t="n">
        <f aca="false">M39*Annahmen!$B$127/(1+Annahmen!$B$10)*Annahmen!$B$138</f>
        <v>8.32443925233645</v>
      </c>
      <c r="O39" s="17" t="n">
        <f aca="false">IF($A39&gt;=Annahmen!$B$134,Annahmen!$B$135,0)</f>
        <v>0</v>
      </c>
      <c r="P39" s="24" t="n">
        <f aca="false">O39*Annahmen!$B$136</f>
        <v>0</v>
      </c>
      <c r="Q39" s="24" t="n">
        <f aca="false">F39+J39+N39+P39</f>
        <v>25.2823364485981</v>
      </c>
      <c r="R39" s="24" t="n">
        <f aca="false">O39*Annahmen!$B$48+(C39+G39+K39)*Annahmen!$B$137</f>
        <v>0</v>
      </c>
      <c r="S39" s="24" t="n">
        <f aca="false">SUMPRODUCT((((Annahmen!$C$161:$C$174="monatlich")*(Annahmen!$D$161:$D$174&lt;=$A39))+((Annahmen!$C$161:$C$174="einmalig")*(Annahmen!$D$161:$D$174=$A39)))*Annahmen!$B$161:$B$174*Annahmen!$G$161:$G$174)</f>
        <v>28.3604931653712</v>
      </c>
      <c r="T39" s="24" t="n">
        <f aca="false">IF($A39&gt;=Annahmen!$B$118,Annahmen!$B$145,0)</f>
        <v>0</v>
      </c>
      <c r="U39" s="24" t="n">
        <f aca="false">Q39-R39-S39-T39</f>
        <v>-3.07815671677308</v>
      </c>
      <c r="V39" s="24" t="n">
        <f aca="false">V38+U39</f>
        <v>-1095.236931178</v>
      </c>
      <c r="W39" s="7" t="n">
        <f aca="false">IF(U39&gt;0,1,0)</f>
        <v>0</v>
      </c>
      <c r="X39" s="7" t="n">
        <f aca="false">IF(V39&gt;=0,1,0)</f>
        <v>0</v>
      </c>
    </row>
    <row r="40" customFormat="false" ht="15" hidden="false" customHeight="false" outlineLevel="0" collapsed="false">
      <c r="A40" s="7" t="n">
        <v>23</v>
      </c>
      <c r="B40" s="7" t="s">
        <v>412</v>
      </c>
      <c r="C40" s="17" t="n">
        <f aca="false">IF($A40&gt;=Annahmen!$B$118,Annahmen!$B$119,0)</f>
        <v>2</v>
      </c>
      <c r="D40" s="17" t="n">
        <f aca="false">D39+C40</f>
        <v>36</v>
      </c>
      <c r="E40" s="17" t="n">
        <f aca="false">D40*Annahmen!$B$122</f>
        <v>7.2</v>
      </c>
      <c r="F40" s="18" t="n">
        <f aca="false">E40*Annahmen!$B$125/(1+Annahmen!$B$10)*Annahmen!$B$138</f>
        <v>10.5628037383178</v>
      </c>
      <c r="G40" s="17" t="n">
        <f aca="false">IF($A40&gt;=Annahmen!$B$118,Annahmen!$B$120,0)</f>
        <v>1</v>
      </c>
      <c r="H40" s="17" t="n">
        <f aca="false">H39+G40</f>
        <v>18</v>
      </c>
      <c r="I40" s="17" t="n">
        <f aca="false">H40*Annahmen!$B$123</f>
        <v>1.8</v>
      </c>
      <c r="J40" s="18" t="n">
        <f aca="false">I40*Annahmen!$B$126/(1+Annahmen!$B$10)*Annahmen!$B$139</f>
        <v>7.39261682242991</v>
      </c>
      <c r="K40" s="17" t="n">
        <f aca="false">IF($A40&gt;=Annahmen!$B$118,Annahmen!$B$121,0)</f>
        <v>1</v>
      </c>
      <c r="L40" s="17" t="n">
        <f aca="false">L39+K40</f>
        <v>18</v>
      </c>
      <c r="M40" s="17" t="n">
        <f aca="false">L40*Annahmen!$B$124</f>
        <v>3.6</v>
      </c>
      <c r="N40" s="18" t="n">
        <f aca="false">M40*Annahmen!$B$127/(1+Annahmen!$B$10)*Annahmen!$B$138</f>
        <v>8.81411214953271</v>
      </c>
      <c r="O40" s="17" t="n">
        <f aca="false">IF($A40&gt;=Annahmen!$B$134,Annahmen!$B$135,0)</f>
        <v>0</v>
      </c>
      <c r="P40" s="24" t="n">
        <f aca="false">O40*Annahmen!$B$136</f>
        <v>0</v>
      </c>
      <c r="Q40" s="24" t="n">
        <f aca="false">F40+J40+N40+P40</f>
        <v>26.7695327102804</v>
      </c>
      <c r="R40" s="24" t="n">
        <f aca="false">O40*Annahmen!$B$48+(C40+G40+K40)*Annahmen!$B$137</f>
        <v>0</v>
      </c>
      <c r="S40" s="24" t="n">
        <f aca="false">SUMPRODUCT((((Annahmen!$C$161:$C$174="monatlich")*(Annahmen!$D$161:$D$174&lt;=$A40))+((Annahmen!$C$161:$C$174="einmalig")*(Annahmen!$D$161:$D$174=$A40)))*Annahmen!$B$161:$B$174*Annahmen!$G$161:$G$174)</f>
        <v>28.3604931653712</v>
      </c>
      <c r="T40" s="24" t="n">
        <f aca="false">IF($A40&gt;=Annahmen!$B$118,Annahmen!$B$145,0)</f>
        <v>0</v>
      </c>
      <c r="U40" s="24" t="n">
        <f aca="false">Q40-R40-S40-T40</f>
        <v>-1.59096045509084</v>
      </c>
      <c r="V40" s="24" t="n">
        <f aca="false">V39+U40</f>
        <v>-1096.8278916331</v>
      </c>
      <c r="W40" s="7" t="n">
        <f aca="false">IF(U40&gt;0,1,0)</f>
        <v>0</v>
      </c>
      <c r="X40" s="7" t="n">
        <f aca="false">IF(V40&gt;=0,1,0)</f>
        <v>0</v>
      </c>
    </row>
    <row r="41" customFormat="false" ht="15" hidden="false" customHeight="false" outlineLevel="0" collapsed="false">
      <c r="A41" s="7" t="n">
        <v>24</v>
      </c>
      <c r="B41" s="7" t="s">
        <v>413</v>
      </c>
      <c r="C41" s="17" t="n">
        <f aca="false">IF($A41&gt;=Annahmen!$B$118,Annahmen!$B$119,0)</f>
        <v>2</v>
      </c>
      <c r="D41" s="17" t="n">
        <f aca="false">D40+C41</f>
        <v>38</v>
      </c>
      <c r="E41" s="17" t="n">
        <f aca="false">D41*Annahmen!$B$122</f>
        <v>7.6</v>
      </c>
      <c r="F41" s="18" t="n">
        <f aca="false">E41*Annahmen!$B$125/(1+Annahmen!$B$10)*Annahmen!$B$138</f>
        <v>11.1496261682243</v>
      </c>
      <c r="G41" s="17" t="n">
        <f aca="false">IF($A41&gt;=Annahmen!$B$118,Annahmen!$B$120,0)</f>
        <v>1</v>
      </c>
      <c r="H41" s="17" t="n">
        <f aca="false">H40+G41</f>
        <v>19</v>
      </c>
      <c r="I41" s="17" t="n">
        <f aca="false">H41*Annahmen!$B$123</f>
        <v>1.9</v>
      </c>
      <c r="J41" s="18" t="n">
        <f aca="false">I41*Annahmen!$B$126/(1+Annahmen!$B$10)*Annahmen!$B$139</f>
        <v>7.80331775700935</v>
      </c>
      <c r="K41" s="17" t="n">
        <f aca="false">IF($A41&gt;=Annahmen!$B$118,Annahmen!$B$121,0)</f>
        <v>1</v>
      </c>
      <c r="L41" s="17" t="n">
        <f aca="false">L40+K41</f>
        <v>19</v>
      </c>
      <c r="M41" s="17" t="n">
        <f aca="false">L41*Annahmen!$B$124</f>
        <v>3.8</v>
      </c>
      <c r="N41" s="18" t="n">
        <f aca="false">M41*Annahmen!$B$127/(1+Annahmen!$B$10)*Annahmen!$B$138</f>
        <v>9.30378504672897</v>
      </c>
      <c r="O41" s="17" t="n">
        <f aca="false">IF($A41&gt;=Annahmen!$B$134,Annahmen!$B$135,0)</f>
        <v>0</v>
      </c>
      <c r="P41" s="24" t="n">
        <f aca="false">O41*Annahmen!$B$136</f>
        <v>0</v>
      </c>
      <c r="Q41" s="24" t="n">
        <f aca="false">F41+J41+N41+P41</f>
        <v>28.2567289719626</v>
      </c>
      <c r="R41" s="24" t="n">
        <f aca="false">O41*Annahmen!$B$48+(C41+G41+K41)*Annahmen!$B$137</f>
        <v>0</v>
      </c>
      <c r="S41" s="24" t="n">
        <f aca="false">SUMPRODUCT((((Annahmen!$C$161:$C$174="monatlich")*(Annahmen!$D$161:$D$174&lt;=$A41))+((Annahmen!$C$161:$C$174="einmalig")*(Annahmen!$D$161:$D$174=$A41)))*Annahmen!$B$161:$B$174*Annahmen!$G$161:$G$174)</f>
        <v>28.3604931653712</v>
      </c>
      <c r="T41" s="24" t="n">
        <f aca="false">IF($A41&gt;=Annahmen!$B$118,Annahmen!$B$145,0)</f>
        <v>0</v>
      </c>
      <c r="U41" s="24" t="n">
        <f aca="false">Q41-R41-S41-T41</f>
        <v>-0.103764193408598</v>
      </c>
      <c r="V41" s="24" t="n">
        <f aca="false">V40+U41</f>
        <v>-1096.9316558265</v>
      </c>
      <c r="W41" s="7" t="n">
        <f aca="false">IF(U41&gt;0,1,0)</f>
        <v>0</v>
      </c>
      <c r="X41" s="7" t="n">
        <f aca="false">IF(V41&gt;=0,1,0)</f>
        <v>0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customFormat="false" ht="15" hidden="false" customHeight="false" outlineLevel="0" collapsed="false">
      <c r="A45" s="5" t="str">
        <f aca="false">"Szenario mittel – "&amp;Annahmen!$C$142</f>
        <v>Szenario mittel – profitabler Nebenerwerb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2"/>
      <c r="X45" s="2"/>
    </row>
    <row r="46" customFormat="false" ht="42" hidden="false" customHeight="true" outlineLevel="0" collapsed="false">
      <c r="A46" s="35" t="s">
        <v>99</v>
      </c>
      <c r="B46" s="35" t="s">
        <v>359</v>
      </c>
      <c r="C46" s="35" t="s">
        <v>451</v>
      </c>
      <c r="D46" s="35" t="s">
        <v>452</v>
      </c>
      <c r="E46" s="35" t="s">
        <v>453</v>
      </c>
      <c r="F46" s="35" t="s">
        <v>454</v>
      </c>
      <c r="G46" s="35" t="s">
        <v>455</v>
      </c>
      <c r="H46" s="35" t="s">
        <v>456</v>
      </c>
      <c r="I46" s="35" t="s">
        <v>457</v>
      </c>
      <c r="J46" s="35" t="s">
        <v>458</v>
      </c>
      <c r="K46" s="35" t="s">
        <v>459</v>
      </c>
      <c r="L46" s="35" t="s">
        <v>460</v>
      </c>
      <c r="M46" s="35" t="s">
        <v>461</v>
      </c>
      <c r="N46" s="35" t="s">
        <v>462</v>
      </c>
      <c r="O46" s="35" t="s">
        <v>463</v>
      </c>
      <c r="P46" s="35" t="s">
        <v>464</v>
      </c>
      <c r="Q46" s="35" t="s">
        <v>441</v>
      </c>
      <c r="R46" s="35" t="s">
        <v>465</v>
      </c>
      <c r="S46" s="35" t="s">
        <v>378</v>
      </c>
      <c r="T46" s="35" t="s">
        <v>379</v>
      </c>
      <c r="U46" s="35" t="s">
        <v>382</v>
      </c>
      <c r="V46" s="35" t="s">
        <v>383</v>
      </c>
      <c r="W46" s="35" t="s">
        <v>388</v>
      </c>
      <c r="X46" s="35" t="s">
        <v>389</v>
      </c>
    </row>
    <row r="47" customFormat="false" ht="15" hidden="false" customHeight="false" outlineLevel="0" collapsed="false">
      <c r="A47" s="7" t="n">
        <v>1</v>
      </c>
      <c r="B47" s="7" t="s">
        <v>390</v>
      </c>
      <c r="C47" s="17" t="n">
        <f aca="false">IF($A47&gt;=Annahmen!$C$118,Annahmen!$C$119,0)</f>
        <v>0</v>
      </c>
      <c r="D47" s="17" t="n">
        <f aca="false">C47</f>
        <v>0</v>
      </c>
      <c r="E47" s="17" t="n">
        <f aca="false">D47*Annahmen!$C$122</f>
        <v>0</v>
      </c>
      <c r="F47" s="18" t="n">
        <f aca="false">E47*Annahmen!$B$125/(1+Annahmen!$B$10)*Annahmen!$B$138</f>
        <v>0</v>
      </c>
      <c r="G47" s="17" t="n">
        <f aca="false">IF($A47&gt;=Annahmen!$C$118,Annahmen!$C$120,0)</f>
        <v>0</v>
      </c>
      <c r="H47" s="17" t="n">
        <f aca="false">G47</f>
        <v>0</v>
      </c>
      <c r="I47" s="17" t="n">
        <f aca="false">H47*Annahmen!$C$123</f>
        <v>0</v>
      </c>
      <c r="J47" s="18" t="n">
        <f aca="false">I47*Annahmen!$B$126/(1+Annahmen!$B$10)*Annahmen!$B$139</f>
        <v>0</v>
      </c>
      <c r="K47" s="17" t="n">
        <f aca="false">IF($A47&gt;=Annahmen!$C$118,Annahmen!$C$121,0)</f>
        <v>0</v>
      </c>
      <c r="L47" s="17" t="n">
        <f aca="false">K47</f>
        <v>0</v>
      </c>
      <c r="M47" s="17" t="n">
        <f aca="false">L47*Annahmen!$C$124</f>
        <v>0</v>
      </c>
      <c r="N47" s="18" t="n">
        <f aca="false">M47*Annahmen!$B$127/(1+Annahmen!$B$10)*Annahmen!$B$138</f>
        <v>0</v>
      </c>
      <c r="O47" s="17" t="n">
        <f aca="false">IF($A47&gt;=Annahmen!$C$134,Annahmen!$C$135,0)</f>
        <v>0</v>
      </c>
      <c r="P47" s="24" t="n">
        <f aca="false">O47*Annahmen!$B$136</f>
        <v>0</v>
      </c>
      <c r="Q47" s="24" t="n">
        <f aca="false">F47+J47+N47+P47</f>
        <v>0</v>
      </c>
      <c r="R47" s="24" t="n">
        <f aca="false">O47*Annahmen!$B$48+(C47+G47+K47)*Annahmen!$B$137</f>
        <v>0</v>
      </c>
      <c r="S47" s="24" t="n">
        <f aca="false">SUMPRODUCT((((Annahmen!$C$161:$C$174="monatlich")*(Annahmen!$D$161:$D$174&lt;=$A47))+((Annahmen!$C$161:$C$174="einmalig")*(Annahmen!$D$161:$D$174=$A47)))*Annahmen!$B$161:$B$174*Annahmen!$G$161:$G$174)</f>
        <v>657.207602742593</v>
      </c>
      <c r="T47" s="24" t="n">
        <f aca="false">IF($A47&gt;=Annahmen!$C$118,Annahmen!$C$145,0)</f>
        <v>0</v>
      </c>
      <c r="U47" s="24" t="n">
        <f aca="false">Q47-R47-S47-T47</f>
        <v>-657.207602742593</v>
      </c>
      <c r="V47" s="24" t="n">
        <f aca="false">U47</f>
        <v>-657.207602742593</v>
      </c>
      <c r="W47" s="7" t="n">
        <f aca="false">IF(U47&gt;0,1,0)</f>
        <v>0</v>
      </c>
      <c r="X47" s="7" t="n">
        <f aca="false">IF(V47&gt;=0,1,0)</f>
        <v>0</v>
      </c>
    </row>
    <row r="48" customFormat="false" ht="15" hidden="false" customHeight="false" outlineLevel="0" collapsed="false">
      <c r="A48" s="7" t="n">
        <v>2</v>
      </c>
      <c r="B48" s="7" t="s">
        <v>391</v>
      </c>
      <c r="C48" s="17" t="n">
        <f aca="false">IF($A48&gt;=Annahmen!$C$118,Annahmen!$C$119,0)</f>
        <v>0</v>
      </c>
      <c r="D48" s="17" t="n">
        <f aca="false">D47+C48</f>
        <v>0</v>
      </c>
      <c r="E48" s="17" t="n">
        <f aca="false">D48*Annahmen!$C$122</f>
        <v>0</v>
      </c>
      <c r="F48" s="18" t="n">
        <f aca="false">E48*Annahmen!$B$125/(1+Annahmen!$B$10)*Annahmen!$B$138</f>
        <v>0</v>
      </c>
      <c r="G48" s="17" t="n">
        <f aca="false">IF($A48&gt;=Annahmen!$C$118,Annahmen!$C$120,0)</f>
        <v>0</v>
      </c>
      <c r="H48" s="17" t="n">
        <f aca="false">H47+G48</f>
        <v>0</v>
      </c>
      <c r="I48" s="17" t="n">
        <f aca="false">H48*Annahmen!$C$123</f>
        <v>0</v>
      </c>
      <c r="J48" s="18" t="n">
        <f aca="false">I48*Annahmen!$B$126/(1+Annahmen!$B$10)*Annahmen!$B$139</f>
        <v>0</v>
      </c>
      <c r="K48" s="17" t="n">
        <f aca="false">IF($A48&gt;=Annahmen!$C$118,Annahmen!$C$121,0)</f>
        <v>0</v>
      </c>
      <c r="L48" s="17" t="n">
        <f aca="false">L47+K48</f>
        <v>0</v>
      </c>
      <c r="M48" s="17" t="n">
        <f aca="false">L48*Annahmen!$C$124</f>
        <v>0</v>
      </c>
      <c r="N48" s="18" t="n">
        <f aca="false">M48*Annahmen!$B$127/(1+Annahmen!$B$10)*Annahmen!$B$138</f>
        <v>0</v>
      </c>
      <c r="O48" s="17" t="n">
        <f aca="false">IF($A48&gt;=Annahmen!$C$134,Annahmen!$C$135,0)</f>
        <v>0</v>
      </c>
      <c r="P48" s="24" t="n">
        <f aca="false">O48*Annahmen!$B$136</f>
        <v>0</v>
      </c>
      <c r="Q48" s="24" t="n">
        <f aca="false">F48+J48+N48+P48</f>
        <v>0</v>
      </c>
      <c r="R48" s="24" t="n">
        <f aca="false">O48*Annahmen!$B$48+(C48+G48+K48)*Annahmen!$B$137</f>
        <v>0</v>
      </c>
      <c r="S48" s="24" t="n">
        <f aca="false">SUMPRODUCT((((Annahmen!$C$161:$C$174="monatlich")*(Annahmen!$D$161:$D$174&lt;=$A48))+((Annahmen!$C$161:$C$174="einmalig")*(Annahmen!$D$161:$D$174=$A48)))*Annahmen!$B$161:$B$174*Annahmen!$G$161:$G$174)</f>
        <v>28.3604931653712</v>
      </c>
      <c r="T48" s="24" t="n">
        <f aca="false">IF($A48&gt;=Annahmen!$C$118,Annahmen!$C$145,0)</f>
        <v>0</v>
      </c>
      <c r="U48" s="24" t="n">
        <f aca="false">Q48-R48-S48-T48</f>
        <v>-28.3604931653712</v>
      </c>
      <c r="V48" s="24" t="n">
        <f aca="false">V47+U48</f>
        <v>-685.568095907964</v>
      </c>
      <c r="W48" s="7" t="n">
        <f aca="false">IF(U48&gt;0,1,0)</f>
        <v>0</v>
      </c>
      <c r="X48" s="7" t="n">
        <f aca="false">IF(V48&gt;=0,1,0)</f>
        <v>0</v>
      </c>
    </row>
    <row r="49" customFormat="false" ht="15" hidden="false" customHeight="false" outlineLevel="0" collapsed="false">
      <c r="A49" s="7" t="n">
        <v>3</v>
      </c>
      <c r="B49" s="7" t="s">
        <v>392</v>
      </c>
      <c r="C49" s="17" t="n">
        <f aca="false">IF($A49&gt;=Annahmen!$C$118,Annahmen!$C$119,0)</f>
        <v>0</v>
      </c>
      <c r="D49" s="17" t="n">
        <f aca="false">D48+C49</f>
        <v>0</v>
      </c>
      <c r="E49" s="17" t="n">
        <f aca="false">D49*Annahmen!$C$122</f>
        <v>0</v>
      </c>
      <c r="F49" s="18" t="n">
        <f aca="false">E49*Annahmen!$B$125/(1+Annahmen!$B$10)*Annahmen!$B$138</f>
        <v>0</v>
      </c>
      <c r="G49" s="17" t="n">
        <f aca="false">IF($A49&gt;=Annahmen!$C$118,Annahmen!$C$120,0)</f>
        <v>0</v>
      </c>
      <c r="H49" s="17" t="n">
        <f aca="false">H48+G49</f>
        <v>0</v>
      </c>
      <c r="I49" s="17" t="n">
        <f aca="false">H49*Annahmen!$C$123</f>
        <v>0</v>
      </c>
      <c r="J49" s="18" t="n">
        <f aca="false">I49*Annahmen!$B$126/(1+Annahmen!$B$10)*Annahmen!$B$139</f>
        <v>0</v>
      </c>
      <c r="K49" s="17" t="n">
        <f aca="false">IF($A49&gt;=Annahmen!$C$118,Annahmen!$C$121,0)</f>
        <v>0</v>
      </c>
      <c r="L49" s="17" t="n">
        <f aca="false">L48+K49</f>
        <v>0</v>
      </c>
      <c r="M49" s="17" t="n">
        <f aca="false">L49*Annahmen!$C$124</f>
        <v>0</v>
      </c>
      <c r="N49" s="18" t="n">
        <f aca="false">M49*Annahmen!$B$127/(1+Annahmen!$B$10)*Annahmen!$B$138</f>
        <v>0</v>
      </c>
      <c r="O49" s="17" t="n">
        <f aca="false">IF($A49&gt;=Annahmen!$C$134,Annahmen!$C$135,0)</f>
        <v>0</v>
      </c>
      <c r="P49" s="24" t="n">
        <f aca="false">O49*Annahmen!$B$136</f>
        <v>0</v>
      </c>
      <c r="Q49" s="24" t="n">
        <f aca="false">F49+J49+N49+P49</f>
        <v>0</v>
      </c>
      <c r="R49" s="24" t="n">
        <f aca="false">O49*Annahmen!$B$48+(C49+G49+K49)*Annahmen!$B$137</f>
        <v>0</v>
      </c>
      <c r="S49" s="24" t="n">
        <f aca="false">SUMPRODUCT((((Annahmen!$C$161:$C$174="monatlich")*(Annahmen!$D$161:$D$174&lt;=$A49))+((Annahmen!$C$161:$C$174="einmalig")*(Annahmen!$D$161:$D$174=$A49)))*Annahmen!$B$161:$B$174*Annahmen!$G$161:$G$174)</f>
        <v>98.3604931653712</v>
      </c>
      <c r="T49" s="24" t="n">
        <f aca="false">IF($A49&gt;=Annahmen!$C$118,Annahmen!$C$145,0)</f>
        <v>0</v>
      </c>
      <c r="U49" s="24" t="n">
        <f aca="false">Q49-R49-S49-T49</f>
        <v>-98.3604931653712</v>
      </c>
      <c r="V49" s="24" t="n">
        <f aca="false">V48+U49</f>
        <v>-783.928589073335</v>
      </c>
      <c r="W49" s="7" t="n">
        <f aca="false">IF(U49&gt;0,1,0)</f>
        <v>0</v>
      </c>
      <c r="X49" s="7" t="n">
        <f aca="false">IF(V49&gt;=0,1,0)</f>
        <v>0</v>
      </c>
    </row>
    <row r="50" customFormat="false" ht="15" hidden="false" customHeight="false" outlineLevel="0" collapsed="false">
      <c r="A50" s="7" t="n">
        <v>4</v>
      </c>
      <c r="B50" s="7" t="s">
        <v>393</v>
      </c>
      <c r="C50" s="17" t="n">
        <f aca="false">IF($A50&gt;=Annahmen!$C$118,Annahmen!$C$119,0)</f>
        <v>5</v>
      </c>
      <c r="D50" s="17" t="n">
        <f aca="false">D49+C50</f>
        <v>5</v>
      </c>
      <c r="E50" s="17" t="n">
        <f aca="false">D50*Annahmen!$C$122</f>
        <v>2</v>
      </c>
      <c r="F50" s="18" t="n">
        <f aca="false">E50*Annahmen!$B$125/(1+Annahmen!$B$10)*Annahmen!$B$138</f>
        <v>2.93411214953271</v>
      </c>
      <c r="G50" s="17" t="n">
        <f aca="false">IF($A50&gt;=Annahmen!$C$118,Annahmen!$C$120,0)</f>
        <v>3</v>
      </c>
      <c r="H50" s="17" t="n">
        <f aca="false">H49+G50</f>
        <v>3</v>
      </c>
      <c r="I50" s="17" t="n">
        <f aca="false">H50*Annahmen!$C$123</f>
        <v>0.9</v>
      </c>
      <c r="J50" s="18" t="n">
        <f aca="false">I50*Annahmen!$B$126/(1+Annahmen!$B$10)*Annahmen!$B$139</f>
        <v>3.69630841121495</v>
      </c>
      <c r="K50" s="17" t="n">
        <f aca="false">IF($A50&gt;=Annahmen!$C$118,Annahmen!$C$121,0)</f>
        <v>3</v>
      </c>
      <c r="L50" s="17" t="n">
        <f aca="false">L49+K50</f>
        <v>3</v>
      </c>
      <c r="M50" s="17" t="n">
        <f aca="false">L50*Annahmen!$C$124</f>
        <v>1.2</v>
      </c>
      <c r="N50" s="18" t="n">
        <f aca="false">M50*Annahmen!$B$127/(1+Annahmen!$B$10)*Annahmen!$B$138</f>
        <v>2.93803738317757</v>
      </c>
      <c r="O50" s="17" t="n">
        <f aca="false">IF($A50&gt;=Annahmen!$C$134,Annahmen!$C$135,0)</f>
        <v>0</v>
      </c>
      <c r="P50" s="24" t="n">
        <f aca="false">O50*Annahmen!$B$136</f>
        <v>0</v>
      </c>
      <c r="Q50" s="24" t="n">
        <f aca="false">F50+J50+N50+P50</f>
        <v>9.56845794392523</v>
      </c>
      <c r="R50" s="24" t="n">
        <f aca="false">O50*Annahmen!$B$48+(C50+G50+K50)*Annahmen!$B$137</f>
        <v>0</v>
      </c>
      <c r="S50" s="24" t="n">
        <f aca="false">SUMPRODUCT((((Annahmen!$C$161:$C$174="monatlich")*(Annahmen!$D$161:$D$174&lt;=$A50))+((Annahmen!$C$161:$C$174="einmalig")*(Annahmen!$D$161:$D$174=$A50)))*Annahmen!$B$161:$B$174*Annahmen!$G$161:$G$174)</f>
        <v>28.3604931653712</v>
      </c>
      <c r="T50" s="24" t="n">
        <f aca="false">IF($A50&gt;=Annahmen!$C$118,Annahmen!$C$145,0)</f>
        <v>100</v>
      </c>
      <c r="U50" s="24" t="n">
        <f aca="false">Q50-R50-S50-T50</f>
        <v>-118.792035221446</v>
      </c>
      <c r="V50" s="24" t="n">
        <f aca="false">V49+U50</f>
        <v>-902.720624294781</v>
      </c>
      <c r="W50" s="7" t="n">
        <f aca="false">IF(U50&gt;0,1,0)</f>
        <v>0</v>
      </c>
      <c r="X50" s="7" t="n">
        <f aca="false">IF(V50&gt;=0,1,0)</f>
        <v>0</v>
      </c>
    </row>
    <row r="51" customFormat="false" ht="15" hidden="false" customHeight="false" outlineLevel="0" collapsed="false">
      <c r="A51" s="7" t="n">
        <v>5</v>
      </c>
      <c r="B51" s="7" t="s">
        <v>394</v>
      </c>
      <c r="C51" s="17" t="n">
        <f aca="false">IF($A51&gt;=Annahmen!$C$118,Annahmen!$C$119,0)</f>
        <v>5</v>
      </c>
      <c r="D51" s="17" t="n">
        <f aca="false">D50+C51</f>
        <v>10</v>
      </c>
      <c r="E51" s="17" t="n">
        <f aca="false">D51*Annahmen!$C$122</f>
        <v>4</v>
      </c>
      <c r="F51" s="18" t="n">
        <f aca="false">E51*Annahmen!$B$125/(1+Annahmen!$B$10)*Annahmen!$B$138</f>
        <v>5.86822429906542</v>
      </c>
      <c r="G51" s="17" t="n">
        <f aca="false">IF($A51&gt;=Annahmen!$C$118,Annahmen!$C$120,0)</f>
        <v>3</v>
      </c>
      <c r="H51" s="17" t="n">
        <f aca="false">H50+G51</f>
        <v>6</v>
      </c>
      <c r="I51" s="17" t="n">
        <f aca="false">H51*Annahmen!$C$123</f>
        <v>1.8</v>
      </c>
      <c r="J51" s="18" t="n">
        <f aca="false">I51*Annahmen!$B$126/(1+Annahmen!$B$10)*Annahmen!$B$139</f>
        <v>7.39261682242991</v>
      </c>
      <c r="K51" s="17" t="n">
        <f aca="false">IF($A51&gt;=Annahmen!$C$118,Annahmen!$C$121,0)</f>
        <v>3</v>
      </c>
      <c r="L51" s="17" t="n">
        <f aca="false">L50+K51</f>
        <v>6</v>
      </c>
      <c r="M51" s="17" t="n">
        <f aca="false">L51*Annahmen!$C$124</f>
        <v>2.4</v>
      </c>
      <c r="N51" s="18" t="n">
        <f aca="false">M51*Annahmen!$B$127/(1+Annahmen!$B$10)*Annahmen!$B$138</f>
        <v>5.87607476635514</v>
      </c>
      <c r="O51" s="17" t="n">
        <f aca="false">IF($A51&gt;=Annahmen!$C$134,Annahmen!$C$135,0)</f>
        <v>0</v>
      </c>
      <c r="P51" s="24" t="n">
        <f aca="false">O51*Annahmen!$B$136</f>
        <v>0</v>
      </c>
      <c r="Q51" s="24" t="n">
        <f aca="false">F51+J51+N51+P51</f>
        <v>19.1369158878505</v>
      </c>
      <c r="R51" s="24" t="n">
        <f aca="false">O51*Annahmen!$B$48+(C51+G51+K51)*Annahmen!$B$137</f>
        <v>0</v>
      </c>
      <c r="S51" s="24" t="n">
        <f aca="false">SUMPRODUCT((((Annahmen!$C$161:$C$174="monatlich")*(Annahmen!$D$161:$D$174&lt;=$A51))+((Annahmen!$C$161:$C$174="einmalig")*(Annahmen!$D$161:$D$174=$A51)))*Annahmen!$B$161:$B$174*Annahmen!$G$161:$G$174)</f>
        <v>28.3604931653712</v>
      </c>
      <c r="T51" s="24" t="n">
        <f aca="false">IF($A51&gt;=Annahmen!$C$118,Annahmen!$C$145,0)</f>
        <v>100</v>
      </c>
      <c r="U51" s="24" t="n">
        <f aca="false">Q51-R51-S51-T51</f>
        <v>-109.223577277521</v>
      </c>
      <c r="V51" s="24" t="n">
        <f aca="false">V50+U51</f>
        <v>-1011.9442015723</v>
      </c>
      <c r="W51" s="7" t="n">
        <f aca="false">IF(U51&gt;0,1,0)</f>
        <v>0</v>
      </c>
      <c r="X51" s="7" t="n">
        <f aca="false">IF(V51&gt;=0,1,0)</f>
        <v>0</v>
      </c>
    </row>
    <row r="52" customFormat="false" ht="15" hidden="false" customHeight="false" outlineLevel="0" collapsed="false">
      <c r="A52" s="7" t="n">
        <v>6</v>
      </c>
      <c r="B52" s="7" t="s">
        <v>395</v>
      </c>
      <c r="C52" s="17" t="n">
        <f aca="false">IF($A52&gt;=Annahmen!$C$118,Annahmen!$C$119,0)</f>
        <v>5</v>
      </c>
      <c r="D52" s="17" t="n">
        <f aca="false">D51+C52</f>
        <v>15</v>
      </c>
      <c r="E52" s="17" t="n">
        <f aca="false">D52*Annahmen!$C$122</f>
        <v>6</v>
      </c>
      <c r="F52" s="18" t="n">
        <f aca="false">E52*Annahmen!$B$125/(1+Annahmen!$B$10)*Annahmen!$B$138</f>
        <v>8.80233644859813</v>
      </c>
      <c r="G52" s="17" t="n">
        <f aca="false">IF($A52&gt;=Annahmen!$C$118,Annahmen!$C$120,0)</f>
        <v>3</v>
      </c>
      <c r="H52" s="17" t="n">
        <f aca="false">H51+G52</f>
        <v>9</v>
      </c>
      <c r="I52" s="17" t="n">
        <f aca="false">H52*Annahmen!$C$123</f>
        <v>2.7</v>
      </c>
      <c r="J52" s="18" t="n">
        <f aca="false">I52*Annahmen!$B$126/(1+Annahmen!$B$10)*Annahmen!$B$139</f>
        <v>11.0889252336449</v>
      </c>
      <c r="K52" s="17" t="n">
        <f aca="false">IF($A52&gt;=Annahmen!$C$118,Annahmen!$C$121,0)</f>
        <v>3</v>
      </c>
      <c r="L52" s="17" t="n">
        <f aca="false">L51+K52</f>
        <v>9</v>
      </c>
      <c r="M52" s="17" t="n">
        <f aca="false">L52*Annahmen!$C$124</f>
        <v>3.6</v>
      </c>
      <c r="N52" s="18" t="n">
        <f aca="false">M52*Annahmen!$B$127/(1+Annahmen!$B$10)*Annahmen!$B$138</f>
        <v>8.81411214953271</v>
      </c>
      <c r="O52" s="17" t="n">
        <f aca="false">IF($A52&gt;=Annahmen!$C$134,Annahmen!$C$135,0)</f>
        <v>0</v>
      </c>
      <c r="P52" s="24" t="n">
        <f aca="false">O52*Annahmen!$B$136</f>
        <v>0</v>
      </c>
      <c r="Q52" s="24" t="n">
        <f aca="false">F52+J52+N52+P52</f>
        <v>28.7053738317757</v>
      </c>
      <c r="R52" s="24" t="n">
        <f aca="false">O52*Annahmen!$B$48+(C52+G52+K52)*Annahmen!$B$137</f>
        <v>0</v>
      </c>
      <c r="S52" s="24" t="n">
        <f aca="false">SUMPRODUCT((((Annahmen!$C$161:$C$174="monatlich")*(Annahmen!$D$161:$D$174&lt;=$A52))+((Annahmen!$C$161:$C$174="einmalig")*(Annahmen!$D$161:$D$174=$A52)))*Annahmen!$B$161:$B$174*Annahmen!$G$161:$G$174)</f>
        <v>28.3604931653712</v>
      </c>
      <c r="T52" s="24" t="n">
        <f aca="false">IF($A52&gt;=Annahmen!$C$118,Annahmen!$C$145,0)</f>
        <v>100</v>
      </c>
      <c r="U52" s="24" t="n">
        <f aca="false">Q52-R52-S52-T52</f>
        <v>-99.6551193335955</v>
      </c>
      <c r="V52" s="24" t="n">
        <f aca="false">V51+U52</f>
        <v>-1111.5993209059</v>
      </c>
      <c r="W52" s="7" t="n">
        <f aca="false">IF(U52&gt;0,1,0)</f>
        <v>0</v>
      </c>
      <c r="X52" s="7" t="n">
        <f aca="false">IF(V52&gt;=0,1,0)</f>
        <v>0</v>
      </c>
    </row>
    <row r="53" customFormat="false" ht="15" hidden="false" customHeight="false" outlineLevel="0" collapsed="false">
      <c r="A53" s="7" t="n">
        <v>7</v>
      </c>
      <c r="B53" s="7" t="s">
        <v>396</v>
      </c>
      <c r="C53" s="17" t="n">
        <f aca="false">IF($A53&gt;=Annahmen!$C$118,Annahmen!$C$119,0)</f>
        <v>5</v>
      </c>
      <c r="D53" s="17" t="n">
        <f aca="false">D52+C53</f>
        <v>20</v>
      </c>
      <c r="E53" s="17" t="n">
        <f aca="false">D53*Annahmen!$C$122</f>
        <v>8</v>
      </c>
      <c r="F53" s="18" t="n">
        <f aca="false">E53*Annahmen!$B$125/(1+Annahmen!$B$10)*Annahmen!$B$138</f>
        <v>11.7364485981308</v>
      </c>
      <c r="G53" s="17" t="n">
        <f aca="false">IF($A53&gt;=Annahmen!$C$118,Annahmen!$C$120,0)</f>
        <v>3</v>
      </c>
      <c r="H53" s="17" t="n">
        <f aca="false">H52+G53</f>
        <v>12</v>
      </c>
      <c r="I53" s="17" t="n">
        <f aca="false">H53*Annahmen!$C$123</f>
        <v>3.6</v>
      </c>
      <c r="J53" s="18" t="n">
        <f aca="false">I53*Annahmen!$B$126/(1+Annahmen!$B$10)*Annahmen!$B$139</f>
        <v>14.7852336448598</v>
      </c>
      <c r="K53" s="17" t="n">
        <f aca="false">IF($A53&gt;=Annahmen!$C$118,Annahmen!$C$121,0)</f>
        <v>3</v>
      </c>
      <c r="L53" s="17" t="n">
        <f aca="false">L52+K53</f>
        <v>12</v>
      </c>
      <c r="M53" s="17" t="n">
        <f aca="false">L53*Annahmen!$C$124</f>
        <v>4.8</v>
      </c>
      <c r="N53" s="18" t="n">
        <f aca="false">M53*Annahmen!$B$127/(1+Annahmen!$B$10)*Annahmen!$B$138</f>
        <v>11.7521495327103</v>
      </c>
      <c r="O53" s="17" t="n">
        <f aca="false">IF($A53&gt;=Annahmen!$C$134,Annahmen!$C$135,0)</f>
        <v>0</v>
      </c>
      <c r="P53" s="24" t="n">
        <f aca="false">O53*Annahmen!$B$136</f>
        <v>0</v>
      </c>
      <c r="Q53" s="24" t="n">
        <f aca="false">F53+J53+N53+P53</f>
        <v>38.2738317757009</v>
      </c>
      <c r="R53" s="24" t="n">
        <f aca="false">O53*Annahmen!$B$48+(C53+G53+K53)*Annahmen!$B$137</f>
        <v>0</v>
      </c>
      <c r="S53" s="24" t="n">
        <f aca="false">SUMPRODUCT((((Annahmen!$C$161:$C$174="monatlich")*(Annahmen!$D$161:$D$174&lt;=$A53))+((Annahmen!$C$161:$C$174="einmalig")*(Annahmen!$D$161:$D$174=$A53)))*Annahmen!$B$161:$B$174*Annahmen!$G$161:$G$174)</f>
        <v>28.3604931653712</v>
      </c>
      <c r="T53" s="24" t="n">
        <f aca="false">IF($A53&gt;=Annahmen!$C$118,Annahmen!$C$145,0)</f>
        <v>100</v>
      </c>
      <c r="U53" s="24" t="n">
        <f aca="false">Q53-R53-S53-T53</f>
        <v>-90.0866613896703</v>
      </c>
      <c r="V53" s="24" t="n">
        <f aca="false">V52+U53</f>
        <v>-1201.68598229557</v>
      </c>
      <c r="W53" s="7" t="n">
        <f aca="false">IF(U53&gt;0,1,0)</f>
        <v>0</v>
      </c>
      <c r="X53" s="7" t="n">
        <f aca="false">IF(V53&gt;=0,1,0)</f>
        <v>0</v>
      </c>
    </row>
    <row r="54" customFormat="false" ht="15" hidden="false" customHeight="false" outlineLevel="0" collapsed="false">
      <c r="A54" s="7" t="n">
        <v>8</v>
      </c>
      <c r="B54" s="7" t="s">
        <v>397</v>
      </c>
      <c r="C54" s="17" t="n">
        <f aca="false">IF($A54&gt;=Annahmen!$C$118,Annahmen!$C$119,0)</f>
        <v>5</v>
      </c>
      <c r="D54" s="17" t="n">
        <f aca="false">D53+C54</f>
        <v>25</v>
      </c>
      <c r="E54" s="17" t="n">
        <f aca="false">D54*Annahmen!$C$122</f>
        <v>10</v>
      </c>
      <c r="F54" s="18" t="n">
        <f aca="false">E54*Annahmen!$B$125/(1+Annahmen!$B$10)*Annahmen!$B$138</f>
        <v>14.6705607476636</v>
      </c>
      <c r="G54" s="17" t="n">
        <f aca="false">IF($A54&gt;=Annahmen!$C$118,Annahmen!$C$120,0)</f>
        <v>3</v>
      </c>
      <c r="H54" s="17" t="n">
        <f aca="false">H53+G54</f>
        <v>15</v>
      </c>
      <c r="I54" s="17" t="n">
        <f aca="false">H54*Annahmen!$C$123</f>
        <v>4.5</v>
      </c>
      <c r="J54" s="18" t="n">
        <f aca="false">I54*Annahmen!$B$126/(1+Annahmen!$B$10)*Annahmen!$B$139</f>
        <v>18.4815420560748</v>
      </c>
      <c r="K54" s="17" t="n">
        <f aca="false">IF($A54&gt;=Annahmen!$C$118,Annahmen!$C$121,0)</f>
        <v>3</v>
      </c>
      <c r="L54" s="17" t="n">
        <f aca="false">L53+K54</f>
        <v>15</v>
      </c>
      <c r="M54" s="17" t="n">
        <f aca="false">L54*Annahmen!$C$124</f>
        <v>6</v>
      </c>
      <c r="N54" s="18" t="n">
        <f aca="false">M54*Annahmen!$B$127/(1+Annahmen!$B$10)*Annahmen!$B$138</f>
        <v>14.6901869158878</v>
      </c>
      <c r="O54" s="17" t="n">
        <f aca="false">IF($A54&gt;=Annahmen!$C$134,Annahmen!$C$135,0)</f>
        <v>0</v>
      </c>
      <c r="P54" s="24" t="n">
        <f aca="false">O54*Annahmen!$B$136</f>
        <v>0</v>
      </c>
      <c r="Q54" s="24" t="n">
        <f aca="false">F54+J54+N54+P54</f>
        <v>47.8422897196262</v>
      </c>
      <c r="R54" s="24" t="n">
        <f aca="false">O54*Annahmen!$B$48+(C54+G54+K54)*Annahmen!$B$137</f>
        <v>0</v>
      </c>
      <c r="S54" s="24" t="n">
        <f aca="false">SUMPRODUCT((((Annahmen!$C$161:$C$174="monatlich")*(Annahmen!$D$161:$D$174&lt;=$A54))+((Annahmen!$C$161:$C$174="einmalig")*(Annahmen!$D$161:$D$174=$A54)))*Annahmen!$B$161:$B$174*Annahmen!$G$161:$G$174)</f>
        <v>28.3604931653712</v>
      </c>
      <c r="T54" s="24" t="n">
        <f aca="false">IF($A54&gt;=Annahmen!$C$118,Annahmen!$C$145,0)</f>
        <v>100</v>
      </c>
      <c r="U54" s="24" t="n">
        <f aca="false">Q54-R54-S54-T54</f>
        <v>-80.518203445745</v>
      </c>
      <c r="V54" s="24" t="n">
        <f aca="false">V53+U54</f>
        <v>-1282.20418574131</v>
      </c>
      <c r="W54" s="7" t="n">
        <f aca="false">IF(U54&gt;0,1,0)</f>
        <v>0</v>
      </c>
      <c r="X54" s="7" t="n">
        <f aca="false">IF(V54&gt;=0,1,0)</f>
        <v>0</v>
      </c>
    </row>
    <row r="55" customFormat="false" ht="15" hidden="false" customHeight="false" outlineLevel="0" collapsed="false">
      <c r="A55" s="7" t="n">
        <v>9</v>
      </c>
      <c r="B55" s="7" t="s">
        <v>398</v>
      </c>
      <c r="C55" s="17" t="n">
        <f aca="false">IF($A55&gt;=Annahmen!$C$118,Annahmen!$C$119,0)</f>
        <v>5</v>
      </c>
      <c r="D55" s="17" t="n">
        <f aca="false">D54+C55</f>
        <v>30</v>
      </c>
      <c r="E55" s="17" t="n">
        <f aca="false">D55*Annahmen!$C$122</f>
        <v>12</v>
      </c>
      <c r="F55" s="18" t="n">
        <f aca="false">E55*Annahmen!$B$125/(1+Annahmen!$B$10)*Annahmen!$B$138</f>
        <v>17.6046728971963</v>
      </c>
      <c r="G55" s="17" t="n">
        <f aca="false">IF($A55&gt;=Annahmen!$C$118,Annahmen!$C$120,0)</f>
        <v>3</v>
      </c>
      <c r="H55" s="17" t="n">
        <f aca="false">H54+G55</f>
        <v>18</v>
      </c>
      <c r="I55" s="17" t="n">
        <f aca="false">H55*Annahmen!$C$123</f>
        <v>5.4</v>
      </c>
      <c r="J55" s="18" t="n">
        <f aca="false">I55*Annahmen!$B$126/(1+Annahmen!$B$10)*Annahmen!$B$139</f>
        <v>22.1778504672897</v>
      </c>
      <c r="K55" s="17" t="n">
        <f aca="false">IF($A55&gt;=Annahmen!$C$118,Annahmen!$C$121,0)</f>
        <v>3</v>
      </c>
      <c r="L55" s="17" t="n">
        <f aca="false">L54+K55</f>
        <v>18</v>
      </c>
      <c r="M55" s="17" t="n">
        <f aca="false">L55*Annahmen!$C$124</f>
        <v>7.2</v>
      </c>
      <c r="N55" s="18" t="n">
        <f aca="false">M55*Annahmen!$B$127/(1+Annahmen!$B$10)*Annahmen!$B$138</f>
        <v>17.6282242990654</v>
      </c>
      <c r="O55" s="17" t="n">
        <f aca="false">IF($A55&gt;=Annahmen!$C$134,Annahmen!$C$135,0)</f>
        <v>0</v>
      </c>
      <c r="P55" s="24" t="n">
        <f aca="false">O55*Annahmen!$B$136</f>
        <v>0</v>
      </c>
      <c r="Q55" s="24" t="n">
        <f aca="false">F55+J55+N55+P55</f>
        <v>57.4107476635514</v>
      </c>
      <c r="R55" s="24" t="n">
        <f aca="false">O55*Annahmen!$B$48+(C55+G55+K55)*Annahmen!$B$137</f>
        <v>0</v>
      </c>
      <c r="S55" s="24" t="n">
        <f aca="false">SUMPRODUCT((((Annahmen!$C$161:$C$174="monatlich")*(Annahmen!$D$161:$D$174&lt;=$A55))+((Annahmen!$C$161:$C$174="einmalig")*(Annahmen!$D$161:$D$174=$A55)))*Annahmen!$B$161:$B$174*Annahmen!$G$161:$G$174)</f>
        <v>28.3604931653712</v>
      </c>
      <c r="T55" s="24" t="n">
        <f aca="false">IF($A55&gt;=Annahmen!$C$118,Annahmen!$C$145,0)</f>
        <v>100</v>
      </c>
      <c r="U55" s="24" t="n">
        <f aca="false">Q55-R55-S55-T55</f>
        <v>-70.9497455018198</v>
      </c>
      <c r="V55" s="24" t="n">
        <f aca="false">V54+U55</f>
        <v>-1353.15393124313</v>
      </c>
      <c r="W55" s="7" t="n">
        <f aca="false">IF(U55&gt;0,1,0)</f>
        <v>0</v>
      </c>
      <c r="X55" s="7" t="n">
        <f aca="false">IF(V55&gt;=0,1,0)</f>
        <v>0</v>
      </c>
    </row>
    <row r="56" customFormat="false" ht="15" hidden="false" customHeight="false" outlineLevel="0" collapsed="false">
      <c r="A56" s="7" t="n">
        <v>10</v>
      </c>
      <c r="B56" s="7" t="s">
        <v>399</v>
      </c>
      <c r="C56" s="17" t="n">
        <f aca="false">IF($A56&gt;=Annahmen!$C$118,Annahmen!$C$119,0)</f>
        <v>5</v>
      </c>
      <c r="D56" s="17" t="n">
        <f aca="false">D55+C56</f>
        <v>35</v>
      </c>
      <c r="E56" s="17" t="n">
        <f aca="false">D56*Annahmen!$C$122</f>
        <v>14</v>
      </c>
      <c r="F56" s="18" t="n">
        <f aca="false">E56*Annahmen!$B$125/(1+Annahmen!$B$10)*Annahmen!$B$138</f>
        <v>20.538785046729</v>
      </c>
      <c r="G56" s="17" t="n">
        <f aca="false">IF($A56&gt;=Annahmen!$C$118,Annahmen!$C$120,0)</f>
        <v>3</v>
      </c>
      <c r="H56" s="17" t="n">
        <f aca="false">H55+G56</f>
        <v>21</v>
      </c>
      <c r="I56" s="17" t="n">
        <f aca="false">H56*Annahmen!$C$123</f>
        <v>6.3</v>
      </c>
      <c r="J56" s="18" t="n">
        <f aca="false">I56*Annahmen!$B$126/(1+Annahmen!$B$10)*Annahmen!$B$139</f>
        <v>25.8741588785047</v>
      </c>
      <c r="K56" s="17" t="n">
        <f aca="false">IF($A56&gt;=Annahmen!$C$118,Annahmen!$C$121,0)</f>
        <v>3</v>
      </c>
      <c r="L56" s="17" t="n">
        <f aca="false">L55+K56</f>
        <v>21</v>
      </c>
      <c r="M56" s="17" t="n">
        <f aca="false">L56*Annahmen!$C$124</f>
        <v>8.4</v>
      </c>
      <c r="N56" s="18" t="n">
        <f aca="false">M56*Annahmen!$B$127/(1+Annahmen!$B$10)*Annahmen!$B$138</f>
        <v>20.566261682243</v>
      </c>
      <c r="O56" s="17" t="n">
        <f aca="false">IF($A56&gt;=Annahmen!$C$134,Annahmen!$C$135,0)</f>
        <v>0.5</v>
      </c>
      <c r="P56" s="24" t="n">
        <f aca="false">O56*Annahmen!$B$136</f>
        <v>195</v>
      </c>
      <c r="Q56" s="24" t="n">
        <f aca="false">F56+J56+N56+P56</f>
        <v>261.979205607477</v>
      </c>
      <c r="R56" s="24" t="n">
        <f aca="false">O56*Annahmen!$B$48+(C56+G56+K56)*Annahmen!$B$137</f>
        <v>4.33587163568827</v>
      </c>
      <c r="S56" s="24" t="n">
        <f aca="false">SUMPRODUCT((((Annahmen!$C$161:$C$174="monatlich")*(Annahmen!$D$161:$D$174&lt;=$A56))+((Annahmen!$C$161:$C$174="einmalig")*(Annahmen!$D$161:$D$174=$A56)))*Annahmen!$B$161:$B$174*Annahmen!$G$161:$G$174)</f>
        <v>28.3604931653712</v>
      </c>
      <c r="T56" s="24" t="n">
        <f aca="false">IF($A56&gt;=Annahmen!$C$118,Annahmen!$C$145,0)</f>
        <v>100</v>
      </c>
      <c r="U56" s="24" t="n">
        <f aca="false">Q56-R56-S56-T56</f>
        <v>129.282840806417</v>
      </c>
      <c r="V56" s="24" t="n">
        <f aca="false">V55+U56</f>
        <v>-1223.87109043672</v>
      </c>
      <c r="W56" s="7" t="n">
        <f aca="false">IF(U56&gt;0,1,0)</f>
        <v>1</v>
      </c>
      <c r="X56" s="7" t="n">
        <f aca="false">IF(V56&gt;=0,1,0)</f>
        <v>0</v>
      </c>
    </row>
    <row r="57" customFormat="false" ht="15" hidden="false" customHeight="false" outlineLevel="0" collapsed="false">
      <c r="A57" s="7" t="n">
        <v>11</v>
      </c>
      <c r="B57" s="7" t="s">
        <v>400</v>
      </c>
      <c r="C57" s="17" t="n">
        <f aca="false">IF($A57&gt;=Annahmen!$C$118,Annahmen!$C$119,0)</f>
        <v>5</v>
      </c>
      <c r="D57" s="17" t="n">
        <f aca="false">D56+C57</f>
        <v>40</v>
      </c>
      <c r="E57" s="17" t="n">
        <f aca="false">D57*Annahmen!$C$122</f>
        <v>16</v>
      </c>
      <c r="F57" s="18" t="n">
        <f aca="false">E57*Annahmen!$B$125/(1+Annahmen!$B$10)*Annahmen!$B$138</f>
        <v>23.4728971962617</v>
      </c>
      <c r="G57" s="17" t="n">
        <f aca="false">IF($A57&gt;=Annahmen!$C$118,Annahmen!$C$120,0)</f>
        <v>3</v>
      </c>
      <c r="H57" s="17" t="n">
        <f aca="false">H56+G57</f>
        <v>24</v>
      </c>
      <c r="I57" s="17" t="n">
        <f aca="false">H57*Annahmen!$C$123</f>
        <v>7.2</v>
      </c>
      <c r="J57" s="18" t="n">
        <f aca="false">I57*Annahmen!$B$126/(1+Annahmen!$B$10)*Annahmen!$B$139</f>
        <v>29.5704672897196</v>
      </c>
      <c r="K57" s="17" t="n">
        <f aca="false">IF($A57&gt;=Annahmen!$C$118,Annahmen!$C$121,0)</f>
        <v>3</v>
      </c>
      <c r="L57" s="17" t="n">
        <f aca="false">L56+K57</f>
        <v>24</v>
      </c>
      <c r="M57" s="17" t="n">
        <f aca="false">L57*Annahmen!$C$124</f>
        <v>9.6</v>
      </c>
      <c r="N57" s="18" t="n">
        <f aca="false">M57*Annahmen!$B$127/(1+Annahmen!$B$10)*Annahmen!$B$138</f>
        <v>23.5042990654206</v>
      </c>
      <c r="O57" s="17" t="n">
        <f aca="false">IF($A57&gt;=Annahmen!$C$134,Annahmen!$C$135,0)</f>
        <v>0.5</v>
      </c>
      <c r="P57" s="24" t="n">
        <f aca="false">O57*Annahmen!$B$136</f>
        <v>195</v>
      </c>
      <c r="Q57" s="24" t="n">
        <f aca="false">F57+J57+N57+P57</f>
        <v>271.547663551402</v>
      </c>
      <c r="R57" s="24" t="n">
        <f aca="false">O57*Annahmen!$B$48+(C57+G57+K57)*Annahmen!$B$137</f>
        <v>4.33587163568827</v>
      </c>
      <c r="S57" s="24" t="n">
        <f aca="false">SUMPRODUCT((((Annahmen!$C$161:$C$174="monatlich")*(Annahmen!$D$161:$D$174&lt;=$A57))+((Annahmen!$C$161:$C$174="einmalig")*(Annahmen!$D$161:$D$174=$A57)))*Annahmen!$B$161:$B$174*Annahmen!$G$161:$G$174)</f>
        <v>28.3604931653712</v>
      </c>
      <c r="T57" s="24" t="n">
        <f aca="false">IF($A57&gt;=Annahmen!$C$118,Annahmen!$C$145,0)</f>
        <v>100</v>
      </c>
      <c r="U57" s="24" t="n">
        <f aca="false">Q57-R57-S57-T57</f>
        <v>138.851298750342</v>
      </c>
      <c r="V57" s="24" t="n">
        <f aca="false">V56+U57</f>
        <v>-1085.01979168637</v>
      </c>
      <c r="W57" s="7" t="n">
        <f aca="false">IF(U57&gt;0,1,0)</f>
        <v>1</v>
      </c>
      <c r="X57" s="7" t="n">
        <f aca="false">IF(V57&gt;=0,1,0)</f>
        <v>0</v>
      </c>
    </row>
    <row r="58" customFormat="false" ht="15" hidden="false" customHeight="false" outlineLevel="0" collapsed="false">
      <c r="A58" s="7" t="n">
        <v>12</v>
      </c>
      <c r="B58" s="7" t="s">
        <v>401</v>
      </c>
      <c r="C58" s="17" t="n">
        <f aca="false">IF($A58&gt;=Annahmen!$C$118,Annahmen!$C$119,0)</f>
        <v>5</v>
      </c>
      <c r="D58" s="17" t="n">
        <f aca="false">D57+C58</f>
        <v>45</v>
      </c>
      <c r="E58" s="17" t="n">
        <f aca="false">D58*Annahmen!$C$122</f>
        <v>18</v>
      </c>
      <c r="F58" s="18" t="n">
        <f aca="false">E58*Annahmen!$B$125/(1+Annahmen!$B$10)*Annahmen!$B$138</f>
        <v>26.4070093457944</v>
      </c>
      <c r="G58" s="17" t="n">
        <f aca="false">IF($A58&gt;=Annahmen!$C$118,Annahmen!$C$120,0)</f>
        <v>3</v>
      </c>
      <c r="H58" s="17" t="n">
        <f aca="false">H57+G58</f>
        <v>27</v>
      </c>
      <c r="I58" s="17" t="n">
        <f aca="false">H58*Annahmen!$C$123</f>
        <v>8.1</v>
      </c>
      <c r="J58" s="18" t="n">
        <f aca="false">I58*Annahmen!$B$126/(1+Annahmen!$B$10)*Annahmen!$B$139</f>
        <v>33.2667757009346</v>
      </c>
      <c r="K58" s="17" t="n">
        <f aca="false">IF($A58&gt;=Annahmen!$C$118,Annahmen!$C$121,0)</f>
        <v>3</v>
      </c>
      <c r="L58" s="17" t="n">
        <f aca="false">L57+K58</f>
        <v>27</v>
      </c>
      <c r="M58" s="17" t="n">
        <f aca="false">L58*Annahmen!$C$124</f>
        <v>10.8</v>
      </c>
      <c r="N58" s="18" t="n">
        <f aca="false">M58*Annahmen!$B$127/(1+Annahmen!$B$10)*Annahmen!$B$138</f>
        <v>26.4423364485981</v>
      </c>
      <c r="O58" s="17" t="n">
        <f aca="false">IF($A58&gt;=Annahmen!$C$134,Annahmen!$C$135,0)</f>
        <v>0.5</v>
      </c>
      <c r="P58" s="24" t="n">
        <f aca="false">O58*Annahmen!$B$136</f>
        <v>195</v>
      </c>
      <c r="Q58" s="24" t="n">
        <f aca="false">F58+J58+N58+P58</f>
        <v>281.116121495327</v>
      </c>
      <c r="R58" s="24" t="n">
        <f aca="false">O58*Annahmen!$B$48+(C58+G58+K58)*Annahmen!$B$137</f>
        <v>4.33587163568827</v>
      </c>
      <c r="S58" s="24" t="n">
        <f aca="false">SUMPRODUCT((((Annahmen!$C$161:$C$174="monatlich")*(Annahmen!$D$161:$D$174&lt;=$A58))+((Annahmen!$C$161:$C$174="einmalig")*(Annahmen!$D$161:$D$174=$A58)))*Annahmen!$B$161:$B$174*Annahmen!$G$161:$G$174)</f>
        <v>28.3604931653712</v>
      </c>
      <c r="T58" s="24" t="n">
        <f aca="false">IF($A58&gt;=Annahmen!$C$118,Annahmen!$C$145,0)</f>
        <v>100</v>
      </c>
      <c r="U58" s="24" t="n">
        <f aca="false">Q58-R58-S58-T58</f>
        <v>148.419756694268</v>
      </c>
      <c r="V58" s="24" t="n">
        <f aca="false">V57+U58</f>
        <v>-936.600034992106</v>
      </c>
      <c r="W58" s="7" t="n">
        <f aca="false">IF(U58&gt;0,1,0)</f>
        <v>1</v>
      </c>
      <c r="X58" s="7" t="n">
        <f aca="false">IF(V58&gt;=0,1,0)</f>
        <v>0</v>
      </c>
    </row>
    <row r="59" customFormat="false" ht="15" hidden="false" customHeight="false" outlineLevel="0" collapsed="false">
      <c r="A59" s="7" t="n">
        <v>13</v>
      </c>
      <c r="B59" s="7" t="s">
        <v>402</v>
      </c>
      <c r="C59" s="17" t="n">
        <f aca="false">IF($A59&gt;=Annahmen!$C$118,Annahmen!$C$119,0)</f>
        <v>5</v>
      </c>
      <c r="D59" s="17" t="n">
        <f aca="false">D58+C59</f>
        <v>50</v>
      </c>
      <c r="E59" s="17" t="n">
        <f aca="false">D59*Annahmen!$C$122</f>
        <v>20</v>
      </c>
      <c r="F59" s="18" t="n">
        <f aca="false">E59*Annahmen!$B$125/(1+Annahmen!$B$10)*Annahmen!$B$138</f>
        <v>29.3411214953271</v>
      </c>
      <c r="G59" s="17" t="n">
        <f aca="false">IF($A59&gt;=Annahmen!$C$118,Annahmen!$C$120,0)</f>
        <v>3</v>
      </c>
      <c r="H59" s="17" t="n">
        <f aca="false">H58+G59</f>
        <v>30</v>
      </c>
      <c r="I59" s="17" t="n">
        <f aca="false">H59*Annahmen!$C$123</f>
        <v>9</v>
      </c>
      <c r="J59" s="18" t="n">
        <f aca="false">I59*Annahmen!$B$126/(1+Annahmen!$B$10)*Annahmen!$B$139</f>
        <v>36.9630841121495</v>
      </c>
      <c r="K59" s="17" t="n">
        <f aca="false">IF($A59&gt;=Annahmen!$C$118,Annahmen!$C$121,0)</f>
        <v>3</v>
      </c>
      <c r="L59" s="17" t="n">
        <f aca="false">L58+K59</f>
        <v>30</v>
      </c>
      <c r="M59" s="17" t="n">
        <f aca="false">L59*Annahmen!$C$124</f>
        <v>12</v>
      </c>
      <c r="N59" s="18" t="n">
        <f aca="false">M59*Annahmen!$B$127/(1+Annahmen!$B$10)*Annahmen!$B$138</f>
        <v>29.3803738317757</v>
      </c>
      <c r="O59" s="17" t="n">
        <f aca="false">IF($A59&gt;=Annahmen!$C$134,Annahmen!$C$135,0)</f>
        <v>0.5</v>
      </c>
      <c r="P59" s="24" t="n">
        <f aca="false">O59*Annahmen!$B$136</f>
        <v>195</v>
      </c>
      <c r="Q59" s="24" t="n">
        <f aca="false">F59+J59+N59+P59</f>
        <v>290.684579439252</v>
      </c>
      <c r="R59" s="24" t="n">
        <f aca="false">O59*Annahmen!$B$48+(C59+G59+K59)*Annahmen!$B$137</f>
        <v>4.33587163568827</v>
      </c>
      <c r="S59" s="24" t="n">
        <f aca="false">SUMPRODUCT((((Annahmen!$C$161:$C$174="monatlich")*(Annahmen!$D$161:$D$174&lt;=$A59))+((Annahmen!$C$161:$C$174="einmalig")*(Annahmen!$D$161:$D$174=$A59)))*Annahmen!$B$161:$B$174*Annahmen!$G$161:$G$174)</f>
        <v>28.3604931653712</v>
      </c>
      <c r="T59" s="24" t="n">
        <f aca="false">IF($A59&gt;=Annahmen!$C$118,Annahmen!$C$145,0)</f>
        <v>100</v>
      </c>
      <c r="U59" s="24" t="n">
        <f aca="false">Q59-R59-S59-T59</f>
        <v>157.988214638193</v>
      </c>
      <c r="V59" s="24" t="n">
        <f aca="false">V58+U59</f>
        <v>-778.611820353913</v>
      </c>
      <c r="W59" s="7" t="n">
        <f aca="false">IF(U59&gt;0,1,0)</f>
        <v>1</v>
      </c>
      <c r="X59" s="7" t="n">
        <f aca="false">IF(V59&gt;=0,1,0)</f>
        <v>0</v>
      </c>
    </row>
    <row r="60" customFormat="false" ht="15" hidden="false" customHeight="false" outlineLevel="0" collapsed="false">
      <c r="A60" s="7" t="n">
        <v>14</v>
      </c>
      <c r="B60" s="7" t="s">
        <v>403</v>
      </c>
      <c r="C60" s="17" t="n">
        <f aca="false">IF($A60&gt;=Annahmen!$C$118,Annahmen!$C$119,0)</f>
        <v>5</v>
      </c>
      <c r="D60" s="17" t="n">
        <f aca="false">D59+C60</f>
        <v>55</v>
      </c>
      <c r="E60" s="17" t="n">
        <f aca="false">D60*Annahmen!$C$122</f>
        <v>22</v>
      </c>
      <c r="F60" s="18" t="n">
        <f aca="false">E60*Annahmen!$B$125/(1+Annahmen!$B$10)*Annahmen!$B$138</f>
        <v>32.2752336448598</v>
      </c>
      <c r="G60" s="17" t="n">
        <f aca="false">IF($A60&gt;=Annahmen!$C$118,Annahmen!$C$120,0)</f>
        <v>3</v>
      </c>
      <c r="H60" s="17" t="n">
        <f aca="false">H59+G60</f>
        <v>33</v>
      </c>
      <c r="I60" s="17" t="n">
        <f aca="false">H60*Annahmen!$C$123</f>
        <v>9.9</v>
      </c>
      <c r="J60" s="18" t="n">
        <f aca="false">I60*Annahmen!$B$126/(1+Annahmen!$B$10)*Annahmen!$B$139</f>
        <v>40.6593925233645</v>
      </c>
      <c r="K60" s="17" t="n">
        <f aca="false">IF($A60&gt;=Annahmen!$C$118,Annahmen!$C$121,0)</f>
        <v>3</v>
      </c>
      <c r="L60" s="17" t="n">
        <f aca="false">L59+K60</f>
        <v>33</v>
      </c>
      <c r="M60" s="17" t="n">
        <f aca="false">L60*Annahmen!$C$124</f>
        <v>13.2</v>
      </c>
      <c r="N60" s="18" t="n">
        <f aca="false">M60*Annahmen!$B$127/(1+Annahmen!$B$10)*Annahmen!$B$138</f>
        <v>32.3184112149533</v>
      </c>
      <c r="O60" s="17" t="n">
        <f aca="false">IF($A60&gt;=Annahmen!$C$134,Annahmen!$C$135,0)</f>
        <v>0.5</v>
      </c>
      <c r="P60" s="24" t="n">
        <f aca="false">O60*Annahmen!$B$136</f>
        <v>195</v>
      </c>
      <c r="Q60" s="24" t="n">
        <f aca="false">F60+J60+N60+P60</f>
        <v>300.253037383178</v>
      </c>
      <c r="R60" s="24" t="n">
        <f aca="false">O60*Annahmen!$B$48+(C60+G60+K60)*Annahmen!$B$137</f>
        <v>4.33587163568827</v>
      </c>
      <c r="S60" s="24" t="n">
        <f aca="false">SUMPRODUCT((((Annahmen!$C$161:$C$174="monatlich")*(Annahmen!$D$161:$D$174&lt;=$A60))+((Annahmen!$C$161:$C$174="einmalig")*(Annahmen!$D$161:$D$174=$A60)))*Annahmen!$B$161:$B$174*Annahmen!$G$161:$G$174)</f>
        <v>28.3604931653712</v>
      </c>
      <c r="T60" s="24" t="n">
        <f aca="false">IF($A60&gt;=Annahmen!$C$118,Annahmen!$C$145,0)</f>
        <v>100</v>
      </c>
      <c r="U60" s="24" t="n">
        <f aca="false">Q60-R60-S60-T60</f>
        <v>167.556672582118</v>
      </c>
      <c r="V60" s="24" t="n">
        <f aca="false">V59+U60</f>
        <v>-611.055147771795</v>
      </c>
      <c r="W60" s="7" t="n">
        <f aca="false">IF(U60&gt;0,1,0)</f>
        <v>1</v>
      </c>
      <c r="X60" s="7" t="n">
        <f aca="false">IF(V60&gt;=0,1,0)</f>
        <v>0</v>
      </c>
    </row>
    <row r="61" customFormat="false" ht="15" hidden="false" customHeight="false" outlineLevel="0" collapsed="false">
      <c r="A61" s="7" t="n">
        <v>15</v>
      </c>
      <c r="B61" s="7" t="s">
        <v>404</v>
      </c>
      <c r="C61" s="17" t="n">
        <f aca="false">IF($A61&gt;=Annahmen!$C$118,Annahmen!$C$119,0)</f>
        <v>5</v>
      </c>
      <c r="D61" s="17" t="n">
        <f aca="false">D60+C61</f>
        <v>60</v>
      </c>
      <c r="E61" s="17" t="n">
        <f aca="false">D61*Annahmen!$C$122</f>
        <v>24</v>
      </c>
      <c r="F61" s="18" t="n">
        <f aca="false">E61*Annahmen!$B$125/(1+Annahmen!$B$10)*Annahmen!$B$138</f>
        <v>35.2093457943925</v>
      </c>
      <c r="G61" s="17" t="n">
        <f aca="false">IF($A61&gt;=Annahmen!$C$118,Annahmen!$C$120,0)</f>
        <v>3</v>
      </c>
      <c r="H61" s="17" t="n">
        <f aca="false">H60+G61</f>
        <v>36</v>
      </c>
      <c r="I61" s="17" t="n">
        <f aca="false">H61*Annahmen!$C$123</f>
        <v>10.8</v>
      </c>
      <c r="J61" s="18" t="n">
        <f aca="false">I61*Annahmen!$B$126/(1+Annahmen!$B$10)*Annahmen!$B$139</f>
        <v>44.3557009345794</v>
      </c>
      <c r="K61" s="17" t="n">
        <f aca="false">IF($A61&gt;=Annahmen!$C$118,Annahmen!$C$121,0)</f>
        <v>3</v>
      </c>
      <c r="L61" s="17" t="n">
        <f aca="false">L60+K61</f>
        <v>36</v>
      </c>
      <c r="M61" s="17" t="n">
        <f aca="false">L61*Annahmen!$C$124</f>
        <v>14.4</v>
      </c>
      <c r="N61" s="18" t="n">
        <f aca="false">M61*Annahmen!$B$127/(1+Annahmen!$B$10)*Annahmen!$B$138</f>
        <v>35.2564485981308</v>
      </c>
      <c r="O61" s="17" t="n">
        <f aca="false">IF($A61&gt;=Annahmen!$C$134,Annahmen!$C$135,0)</f>
        <v>0.5</v>
      </c>
      <c r="P61" s="24" t="n">
        <f aca="false">O61*Annahmen!$B$136</f>
        <v>195</v>
      </c>
      <c r="Q61" s="24" t="n">
        <f aca="false">F61+J61+N61+P61</f>
        <v>309.821495327103</v>
      </c>
      <c r="R61" s="24" t="n">
        <f aca="false">O61*Annahmen!$B$48+(C61+G61+K61)*Annahmen!$B$137</f>
        <v>4.33587163568827</v>
      </c>
      <c r="S61" s="24" t="n">
        <f aca="false">SUMPRODUCT((((Annahmen!$C$161:$C$174="monatlich")*(Annahmen!$D$161:$D$174&lt;=$A61))+((Annahmen!$C$161:$C$174="einmalig")*(Annahmen!$D$161:$D$174=$A61)))*Annahmen!$B$161:$B$174*Annahmen!$G$161:$G$174)</f>
        <v>28.3604931653712</v>
      </c>
      <c r="T61" s="24" t="n">
        <f aca="false">IF($A61&gt;=Annahmen!$C$118,Annahmen!$C$145,0)</f>
        <v>100</v>
      </c>
      <c r="U61" s="24" t="n">
        <f aca="false">Q61-R61-S61-T61</f>
        <v>177.125130526043</v>
      </c>
      <c r="V61" s="24" t="n">
        <f aca="false">V60+U61</f>
        <v>-433.930017245751</v>
      </c>
      <c r="W61" s="7" t="n">
        <f aca="false">IF(U61&gt;0,1,0)</f>
        <v>1</v>
      </c>
      <c r="X61" s="7" t="n">
        <f aca="false">IF(V61&gt;=0,1,0)</f>
        <v>0</v>
      </c>
    </row>
    <row r="62" customFormat="false" ht="15" hidden="false" customHeight="false" outlineLevel="0" collapsed="false">
      <c r="A62" s="7" t="n">
        <v>16</v>
      </c>
      <c r="B62" s="7" t="s">
        <v>405</v>
      </c>
      <c r="C62" s="17" t="n">
        <f aca="false">IF($A62&gt;=Annahmen!$C$118,Annahmen!$C$119,0)</f>
        <v>5</v>
      </c>
      <c r="D62" s="17" t="n">
        <f aca="false">D61+C62</f>
        <v>65</v>
      </c>
      <c r="E62" s="17" t="n">
        <f aca="false">D62*Annahmen!$C$122</f>
        <v>26</v>
      </c>
      <c r="F62" s="18" t="n">
        <f aca="false">E62*Annahmen!$B$125/(1+Annahmen!$B$10)*Annahmen!$B$138</f>
        <v>38.1434579439252</v>
      </c>
      <c r="G62" s="17" t="n">
        <f aca="false">IF($A62&gt;=Annahmen!$C$118,Annahmen!$C$120,0)</f>
        <v>3</v>
      </c>
      <c r="H62" s="17" t="n">
        <f aca="false">H61+G62</f>
        <v>39</v>
      </c>
      <c r="I62" s="17" t="n">
        <f aca="false">H62*Annahmen!$C$123</f>
        <v>11.7</v>
      </c>
      <c r="J62" s="18" t="n">
        <f aca="false">I62*Annahmen!$B$126/(1+Annahmen!$B$10)*Annahmen!$B$139</f>
        <v>48.0520093457944</v>
      </c>
      <c r="K62" s="17" t="n">
        <f aca="false">IF($A62&gt;=Annahmen!$C$118,Annahmen!$C$121,0)</f>
        <v>3</v>
      </c>
      <c r="L62" s="17" t="n">
        <f aca="false">L61+K62</f>
        <v>39</v>
      </c>
      <c r="M62" s="17" t="n">
        <f aca="false">L62*Annahmen!$C$124</f>
        <v>15.6</v>
      </c>
      <c r="N62" s="18" t="n">
        <f aca="false">M62*Annahmen!$B$127/(1+Annahmen!$B$10)*Annahmen!$B$138</f>
        <v>38.1944859813084</v>
      </c>
      <c r="O62" s="17" t="n">
        <f aca="false">IF($A62&gt;=Annahmen!$C$134,Annahmen!$C$135,0)</f>
        <v>0.5</v>
      </c>
      <c r="P62" s="24" t="n">
        <f aca="false">O62*Annahmen!$B$136</f>
        <v>195</v>
      </c>
      <c r="Q62" s="24" t="n">
        <f aca="false">F62+J62+N62+P62</f>
        <v>319.389953271028</v>
      </c>
      <c r="R62" s="24" t="n">
        <f aca="false">O62*Annahmen!$B$48+(C62+G62+K62)*Annahmen!$B$137</f>
        <v>4.33587163568827</v>
      </c>
      <c r="S62" s="24" t="n">
        <f aca="false">SUMPRODUCT((((Annahmen!$C$161:$C$174="monatlich")*(Annahmen!$D$161:$D$174&lt;=$A62))+((Annahmen!$C$161:$C$174="einmalig")*(Annahmen!$D$161:$D$174=$A62)))*Annahmen!$B$161:$B$174*Annahmen!$G$161:$G$174)</f>
        <v>28.3604931653712</v>
      </c>
      <c r="T62" s="24" t="n">
        <f aca="false">IF($A62&gt;=Annahmen!$C$118,Annahmen!$C$145,0)</f>
        <v>100</v>
      </c>
      <c r="U62" s="24" t="n">
        <f aca="false">Q62-R62-S62-T62</f>
        <v>186.693588469969</v>
      </c>
      <c r="V62" s="24" t="n">
        <f aca="false">V61+U62</f>
        <v>-247.236428775783</v>
      </c>
      <c r="W62" s="7" t="n">
        <f aca="false">IF(U62&gt;0,1,0)</f>
        <v>1</v>
      </c>
      <c r="X62" s="7" t="n">
        <f aca="false">IF(V62&gt;=0,1,0)</f>
        <v>0</v>
      </c>
    </row>
    <row r="63" customFormat="false" ht="15" hidden="false" customHeight="false" outlineLevel="0" collapsed="false">
      <c r="A63" s="7" t="n">
        <v>17</v>
      </c>
      <c r="B63" s="7" t="s">
        <v>406</v>
      </c>
      <c r="C63" s="17" t="n">
        <f aca="false">IF($A63&gt;=Annahmen!$C$118,Annahmen!$C$119,0)</f>
        <v>5</v>
      </c>
      <c r="D63" s="17" t="n">
        <f aca="false">D62+C63</f>
        <v>70</v>
      </c>
      <c r="E63" s="17" t="n">
        <f aca="false">D63*Annahmen!$C$122</f>
        <v>28</v>
      </c>
      <c r="F63" s="18" t="n">
        <f aca="false">E63*Annahmen!$B$125/(1+Annahmen!$B$10)*Annahmen!$B$138</f>
        <v>41.0775700934579</v>
      </c>
      <c r="G63" s="17" t="n">
        <f aca="false">IF($A63&gt;=Annahmen!$C$118,Annahmen!$C$120,0)</f>
        <v>3</v>
      </c>
      <c r="H63" s="17" t="n">
        <f aca="false">H62+G63</f>
        <v>42</v>
      </c>
      <c r="I63" s="17" t="n">
        <f aca="false">H63*Annahmen!$C$123</f>
        <v>12.6</v>
      </c>
      <c r="J63" s="18" t="n">
        <f aca="false">I63*Annahmen!$B$126/(1+Annahmen!$B$10)*Annahmen!$B$139</f>
        <v>51.7483177570094</v>
      </c>
      <c r="K63" s="17" t="n">
        <f aca="false">IF($A63&gt;=Annahmen!$C$118,Annahmen!$C$121,0)</f>
        <v>3</v>
      </c>
      <c r="L63" s="17" t="n">
        <f aca="false">L62+K63</f>
        <v>42</v>
      </c>
      <c r="M63" s="17" t="n">
        <f aca="false">L63*Annahmen!$C$124</f>
        <v>16.8</v>
      </c>
      <c r="N63" s="18" t="n">
        <f aca="false">M63*Annahmen!$B$127/(1+Annahmen!$B$10)*Annahmen!$B$138</f>
        <v>41.132523364486</v>
      </c>
      <c r="O63" s="17" t="n">
        <f aca="false">IF($A63&gt;=Annahmen!$C$134,Annahmen!$C$135,0)</f>
        <v>0.5</v>
      </c>
      <c r="P63" s="24" t="n">
        <f aca="false">O63*Annahmen!$B$136</f>
        <v>195</v>
      </c>
      <c r="Q63" s="24" t="n">
        <f aca="false">F63+J63+N63+P63</f>
        <v>328.958411214953</v>
      </c>
      <c r="R63" s="24" t="n">
        <f aca="false">O63*Annahmen!$B$48+(C63+G63+K63)*Annahmen!$B$137</f>
        <v>4.33587163568827</v>
      </c>
      <c r="S63" s="24" t="n">
        <f aca="false">SUMPRODUCT((((Annahmen!$C$161:$C$174="monatlich")*(Annahmen!$D$161:$D$174&lt;=$A63))+((Annahmen!$C$161:$C$174="einmalig")*(Annahmen!$D$161:$D$174=$A63)))*Annahmen!$B$161:$B$174*Annahmen!$G$161:$G$174)</f>
        <v>28.3604931653712</v>
      </c>
      <c r="T63" s="24" t="n">
        <f aca="false">IF($A63&gt;=Annahmen!$C$118,Annahmen!$C$145,0)</f>
        <v>100</v>
      </c>
      <c r="U63" s="24" t="n">
        <f aca="false">Q63-R63-S63-T63</f>
        <v>196.262046413894</v>
      </c>
      <c r="V63" s="24" t="n">
        <f aca="false">V62+U63</f>
        <v>-50.9743823618888</v>
      </c>
      <c r="W63" s="7" t="n">
        <f aca="false">IF(U63&gt;0,1,0)</f>
        <v>1</v>
      </c>
      <c r="X63" s="7" t="n">
        <f aca="false">IF(V63&gt;=0,1,0)</f>
        <v>0</v>
      </c>
    </row>
    <row r="64" customFormat="false" ht="15" hidden="false" customHeight="false" outlineLevel="0" collapsed="false">
      <c r="A64" s="7" t="n">
        <v>18</v>
      </c>
      <c r="B64" s="7" t="s">
        <v>407</v>
      </c>
      <c r="C64" s="17" t="n">
        <f aca="false">IF($A64&gt;=Annahmen!$C$118,Annahmen!$C$119,0)</f>
        <v>5</v>
      </c>
      <c r="D64" s="17" t="n">
        <f aca="false">D63+C64</f>
        <v>75</v>
      </c>
      <c r="E64" s="17" t="n">
        <f aca="false">D64*Annahmen!$C$122</f>
        <v>30</v>
      </c>
      <c r="F64" s="18" t="n">
        <f aca="false">E64*Annahmen!$B$125/(1+Annahmen!$B$10)*Annahmen!$B$138</f>
        <v>44.0116822429906</v>
      </c>
      <c r="G64" s="17" t="n">
        <f aca="false">IF($A64&gt;=Annahmen!$C$118,Annahmen!$C$120,0)</f>
        <v>3</v>
      </c>
      <c r="H64" s="17" t="n">
        <f aca="false">H63+G64</f>
        <v>45</v>
      </c>
      <c r="I64" s="17" t="n">
        <f aca="false">H64*Annahmen!$C$123</f>
        <v>13.5</v>
      </c>
      <c r="J64" s="18" t="n">
        <f aca="false">I64*Annahmen!$B$126/(1+Annahmen!$B$10)*Annahmen!$B$139</f>
        <v>55.4446261682243</v>
      </c>
      <c r="K64" s="17" t="n">
        <f aca="false">IF($A64&gt;=Annahmen!$C$118,Annahmen!$C$121,0)</f>
        <v>3</v>
      </c>
      <c r="L64" s="17" t="n">
        <f aca="false">L63+K64</f>
        <v>45</v>
      </c>
      <c r="M64" s="17" t="n">
        <f aca="false">L64*Annahmen!$C$124</f>
        <v>18</v>
      </c>
      <c r="N64" s="18" t="n">
        <f aca="false">M64*Annahmen!$B$127/(1+Annahmen!$B$10)*Annahmen!$B$138</f>
        <v>44.0705607476635</v>
      </c>
      <c r="O64" s="17" t="n">
        <f aca="false">IF($A64&gt;=Annahmen!$C$134,Annahmen!$C$135,0)</f>
        <v>0.5</v>
      </c>
      <c r="P64" s="24" t="n">
        <f aca="false">O64*Annahmen!$B$136</f>
        <v>195</v>
      </c>
      <c r="Q64" s="24" t="n">
        <f aca="false">F64+J64+N64+P64</f>
        <v>338.526869158879</v>
      </c>
      <c r="R64" s="24" t="n">
        <f aca="false">O64*Annahmen!$B$48+(C64+G64+K64)*Annahmen!$B$137</f>
        <v>4.33587163568827</v>
      </c>
      <c r="S64" s="24" t="n">
        <f aca="false">SUMPRODUCT((((Annahmen!$C$161:$C$174="monatlich")*(Annahmen!$D$161:$D$174&lt;=$A64))+((Annahmen!$C$161:$C$174="einmalig")*(Annahmen!$D$161:$D$174=$A64)))*Annahmen!$B$161:$B$174*Annahmen!$G$161:$G$174)</f>
        <v>28.3604931653712</v>
      </c>
      <c r="T64" s="24" t="n">
        <f aca="false">IF($A64&gt;=Annahmen!$C$118,Annahmen!$C$145,0)</f>
        <v>100</v>
      </c>
      <c r="U64" s="24" t="n">
        <f aca="false">Q64-R64-S64-T64</f>
        <v>205.830504357819</v>
      </c>
      <c r="V64" s="24" t="n">
        <f aca="false">V63+U64</f>
        <v>154.85612199593</v>
      </c>
      <c r="W64" s="7" t="n">
        <f aca="false">IF(U64&gt;0,1,0)</f>
        <v>1</v>
      </c>
      <c r="X64" s="7" t="n">
        <f aca="false">IF(V64&gt;=0,1,0)</f>
        <v>1</v>
      </c>
    </row>
    <row r="65" customFormat="false" ht="15" hidden="false" customHeight="false" outlineLevel="0" collapsed="false">
      <c r="A65" s="7" t="n">
        <v>19</v>
      </c>
      <c r="B65" s="7" t="s">
        <v>408</v>
      </c>
      <c r="C65" s="17" t="n">
        <f aca="false">IF($A65&gt;=Annahmen!$C$118,Annahmen!$C$119,0)</f>
        <v>5</v>
      </c>
      <c r="D65" s="17" t="n">
        <f aca="false">D64+C65</f>
        <v>80</v>
      </c>
      <c r="E65" s="17" t="n">
        <f aca="false">D65*Annahmen!$C$122</f>
        <v>32</v>
      </c>
      <c r="F65" s="18" t="n">
        <f aca="false">E65*Annahmen!$B$125/(1+Annahmen!$B$10)*Annahmen!$B$138</f>
        <v>46.9457943925234</v>
      </c>
      <c r="G65" s="17" t="n">
        <f aca="false">IF($A65&gt;=Annahmen!$C$118,Annahmen!$C$120,0)</f>
        <v>3</v>
      </c>
      <c r="H65" s="17" t="n">
        <f aca="false">H64+G65</f>
        <v>48</v>
      </c>
      <c r="I65" s="17" t="n">
        <f aca="false">H65*Annahmen!$C$123</f>
        <v>14.4</v>
      </c>
      <c r="J65" s="18" t="n">
        <f aca="false">I65*Annahmen!$B$126/(1+Annahmen!$B$10)*Annahmen!$B$139</f>
        <v>59.1409345794393</v>
      </c>
      <c r="K65" s="17" t="n">
        <f aca="false">IF($A65&gt;=Annahmen!$C$118,Annahmen!$C$121,0)</f>
        <v>3</v>
      </c>
      <c r="L65" s="17" t="n">
        <f aca="false">L64+K65</f>
        <v>48</v>
      </c>
      <c r="M65" s="17" t="n">
        <f aca="false">L65*Annahmen!$C$124</f>
        <v>19.2</v>
      </c>
      <c r="N65" s="18" t="n">
        <f aca="false">M65*Annahmen!$B$127/(1+Annahmen!$B$10)*Annahmen!$B$138</f>
        <v>47.0085981308411</v>
      </c>
      <c r="O65" s="17" t="n">
        <f aca="false">IF($A65&gt;=Annahmen!$C$134,Annahmen!$C$135,0)</f>
        <v>0.5</v>
      </c>
      <c r="P65" s="24" t="n">
        <f aca="false">O65*Annahmen!$B$136</f>
        <v>195</v>
      </c>
      <c r="Q65" s="24" t="n">
        <f aca="false">F65+J65+N65+P65</f>
        <v>348.095327102804</v>
      </c>
      <c r="R65" s="24" t="n">
        <f aca="false">O65*Annahmen!$B$48+(C65+G65+K65)*Annahmen!$B$137</f>
        <v>4.33587163568827</v>
      </c>
      <c r="S65" s="24" t="n">
        <f aca="false">SUMPRODUCT((((Annahmen!$C$161:$C$174="monatlich")*(Annahmen!$D$161:$D$174&lt;=$A65))+((Annahmen!$C$161:$C$174="einmalig")*(Annahmen!$D$161:$D$174=$A65)))*Annahmen!$B$161:$B$174*Annahmen!$G$161:$G$174)</f>
        <v>28.3604931653712</v>
      </c>
      <c r="T65" s="24" t="n">
        <f aca="false">IF($A65&gt;=Annahmen!$C$118,Annahmen!$C$145,0)</f>
        <v>100</v>
      </c>
      <c r="U65" s="24" t="n">
        <f aca="false">Q65-R65-S65-T65</f>
        <v>215.398962301744</v>
      </c>
      <c r="V65" s="24" t="n">
        <f aca="false">V64+U65</f>
        <v>370.255084297674</v>
      </c>
      <c r="W65" s="7" t="n">
        <f aca="false">IF(U65&gt;0,1,0)</f>
        <v>1</v>
      </c>
      <c r="X65" s="7" t="n">
        <f aca="false">IF(V65&gt;=0,1,0)</f>
        <v>1</v>
      </c>
    </row>
    <row r="66" customFormat="false" ht="15" hidden="false" customHeight="false" outlineLevel="0" collapsed="false">
      <c r="A66" s="7" t="n">
        <v>20</v>
      </c>
      <c r="B66" s="7" t="s">
        <v>409</v>
      </c>
      <c r="C66" s="17" t="n">
        <f aca="false">IF($A66&gt;=Annahmen!$C$118,Annahmen!$C$119,0)</f>
        <v>5</v>
      </c>
      <c r="D66" s="17" t="n">
        <f aca="false">D65+C66</f>
        <v>85</v>
      </c>
      <c r="E66" s="17" t="n">
        <f aca="false">D66*Annahmen!$C$122</f>
        <v>34</v>
      </c>
      <c r="F66" s="18" t="n">
        <f aca="false">E66*Annahmen!$B$125/(1+Annahmen!$B$10)*Annahmen!$B$138</f>
        <v>49.8799065420561</v>
      </c>
      <c r="G66" s="17" t="n">
        <f aca="false">IF($A66&gt;=Annahmen!$C$118,Annahmen!$C$120,0)</f>
        <v>3</v>
      </c>
      <c r="H66" s="17" t="n">
        <f aca="false">H65+G66</f>
        <v>51</v>
      </c>
      <c r="I66" s="17" t="n">
        <f aca="false">H66*Annahmen!$C$123</f>
        <v>15.3</v>
      </c>
      <c r="J66" s="18" t="n">
        <f aca="false">I66*Annahmen!$B$126/(1+Annahmen!$B$10)*Annahmen!$B$139</f>
        <v>62.8372429906542</v>
      </c>
      <c r="K66" s="17" t="n">
        <f aca="false">IF($A66&gt;=Annahmen!$C$118,Annahmen!$C$121,0)</f>
        <v>3</v>
      </c>
      <c r="L66" s="17" t="n">
        <f aca="false">L65+K66</f>
        <v>51</v>
      </c>
      <c r="M66" s="17" t="n">
        <f aca="false">L66*Annahmen!$C$124</f>
        <v>20.4</v>
      </c>
      <c r="N66" s="18" t="n">
        <f aca="false">M66*Annahmen!$B$127/(1+Annahmen!$B$10)*Annahmen!$B$138</f>
        <v>49.9466355140187</v>
      </c>
      <c r="O66" s="17" t="n">
        <f aca="false">IF($A66&gt;=Annahmen!$C$134,Annahmen!$C$135,0)</f>
        <v>0.5</v>
      </c>
      <c r="P66" s="24" t="n">
        <f aca="false">O66*Annahmen!$B$136</f>
        <v>195</v>
      </c>
      <c r="Q66" s="24" t="n">
        <f aca="false">F66+J66+N66+P66</f>
        <v>357.663785046729</v>
      </c>
      <c r="R66" s="24" t="n">
        <f aca="false">O66*Annahmen!$B$48+(C66+G66+K66)*Annahmen!$B$137</f>
        <v>4.33587163568827</v>
      </c>
      <c r="S66" s="24" t="n">
        <f aca="false">SUMPRODUCT((((Annahmen!$C$161:$C$174="monatlich")*(Annahmen!$D$161:$D$174&lt;=$A66))+((Annahmen!$C$161:$C$174="einmalig")*(Annahmen!$D$161:$D$174=$A66)))*Annahmen!$B$161:$B$174*Annahmen!$G$161:$G$174)</f>
        <v>28.3604931653712</v>
      </c>
      <c r="T66" s="24" t="n">
        <f aca="false">IF($A66&gt;=Annahmen!$C$118,Annahmen!$C$145,0)</f>
        <v>100</v>
      </c>
      <c r="U66" s="24" t="n">
        <f aca="false">Q66-R66-S66-T66</f>
        <v>224.967420245669</v>
      </c>
      <c r="V66" s="24" t="n">
        <f aca="false">V65+U66</f>
        <v>595.222504543344</v>
      </c>
      <c r="W66" s="7" t="n">
        <f aca="false">IF(U66&gt;0,1,0)</f>
        <v>1</v>
      </c>
      <c r="X66" s="7" t="n">
        <f aca="false">IF(V66&gt;=0,1,0)</f>
        <v>1</v>
      </c>
    </row>
    <row r="67" customFormat="false" ht="15" hidden="false" customHeight="false" outlineLevel="0" collapsed="false">
      <c r="A67" s="7" t="n">
        <v>21</v>
      </c>
      <c r="B67" s="7" t="s">
        <v>410</v>
      </c>
      <c r="C67" s="17" t="n">
        <f aca="false">IF($A67&gt;=Annahmen!$C$118,Annahmen!$C$119,0)</f>
        <v>5</v>
      </c>
      <c r="D67" s="17" t="n">
        <f aca="false">D66+C67</f>
        <v>90</v>
      </c>
      <c r="E67" s="17" t="n">
        <f aca="false">D67*Annahmen!$C$122</f>
        <v>36</v>
      </c>
      <c r="F67" s="18" t="n">
        <f aca="false">E67*Annahmen!$B$125/(1+Annahmen!$B$10)*Annahmen!$B$138</f>
        <v>52.8140186915888</v>
      </c>
      <c r="G67" s="17" t="n">
        <f aca="false">IF($A67&gt;=Annahmen!$C$118,Annahmen!$C$120,0)</f>
        <v>3</v>
      </c>
      <c r="H67" s="17" t="n">
        <f aca="false">H66+G67</f>
        <v>54</v>
      </c>
      <c r="I67" s="17" t="n">
        <f aca="false">H67*Annahmen!$C$123</f>
        <v>16.2</v>
      </c>
      <c r="J67" s="18" t="n">
        <f aca="false">I67*Annahmen!$B$126/(1+Annahmen!$B$10)*Annahmen!$B$139</f>
        <v>66.5335514018692</v>
      </c>
      <c r="K67" s="17" t="n">
        <f aca="false">IF($A67&gt;=Annahmen!$C$118,Annahmen!$C$121,0)</f>
        <v>3</v>
      </c>
      <c r="L67" s="17" t="n">
        <f aca="false">L66+K67</f>
        <v>54</v>
      </c>
      <c r="M67" s="17" t="n">
        <f aca="false">L67*Annahmen!$C$124</f>
        <v>21.6</v>
      </c>
      <c r="N67" s="18" t="n">
        <f aca="false">M67*Annahmen!$B$127/(1+Annahmen!$B$10)*Annahmen!$B$138</f>
        <v>52.8846728971963</v>
      </c>
      <c r="O67" s="17" t="n">
        <f aca="false">IF($A67&gt;=Annahmen!$C$134,Annahmen!$C$135,0)</f>
        <v>0.5</v>
      </c>
      <c r="P67" s="24" t="n">
        <f aca="false">O67*Annahmen!$B$136</f>
        <v>195</v>
      </c>
      <c r="Q67" s="24" t="n">
        <f aca="false">F67+J67+N67+P67</f>
        <v>367.232242990654</v>
      </c>
      <c r="R67" s="24" t="n">
        <f aca="false">O67*Annahmen!$B$48+(C67+G67+K67)*Annahmen!$B$137</f>
        <v>4.33587163568827</v>
      </c>
      <c r="S67" s="24" t="n">
        <f aca="false">SUMPRODUCT((((Annahmen!$C$161:$C$174="monatlich")*(Annahmen!$D$161:$D$174&lt;=$A67))+((Annahmen!$C$161:$C$174="einmalig")*(Annahmen!$D$161:$D$174=$A67)))*Annahmen!$B$161:$B$174*Annahmen!$G$161:$G$174)</f>
        <v>28.3604931653712</v>
      </c>
      <c r="T67" s="24" t="n">
        <f aca="false">IF($A67&gt;=Annahmen!$C$118,Annahmen!$C$145,0)</f>
        <v>100</v>
      </c>
      <c r="U67" s="24" t="n">
        <f aca="false">Q67-R67-S67-T67</f>
        <v>234.535878189595</v>
      </c>
      <c r="V67" s="24" t="n">
        <f aca="false">V66+U67</f>
        <v>829.758382732939</v>
      </c>
      <c r="W67" s="7" t="n">
        <f aca="false">IF(U67&gt;0,1,0)</f>
        <v>1</v>
      </c>
      <c r="X67" s="7" t="n">
        <f aca="false">IF(V67&gt;=0,1,0)</f>
        <v>1</v>
      </c>
    </row>
    <row r="68" customFormat="false" ht="15" hidden="false" customHeight="false" outlineLevel="0" collapsed="false">
      <c r="A68" s="7" t="n">
        <v>22</v>
      </c>
      <c r="B68" s="7" t="s">
        <v>411</v>
      </c>
      <c r="C68" s="17" t="n">
        <f aca="false">IF($A68&gt;=Annahmen!$C$118,Annahmen!$C$119,0)</f>
        <v>5</v>
      </c>
      <c r="D68" s="17" t="n">
        <f aca="false">D67+C68</f>
        <v>95</v>
      </c>
      <c r="E68" s="17" t="n">
        <f aca="false">D68*Annahmen!$C$122</f>
        <v>38</v>
      </c>
      <c r="F68" s="18" t="n">
        <f aca="false">E68*Annahmen!$B$125/(1+Annahmen!$B$10)*Annahmen!$B$138</f>
        <v>55.7481308411215</v>
      </c>
      <c r="G68" s="17" t="n">
        <f aca="false">IF($A68&gt;=Annahmen!$C$118,Annahmen!$C$120,0)</f>
        <v>3</v>
      </c>
      <c r="H68" s="17" t="n">
        <f aca="false">H67+G68</f>
        <v>57</v>
      </c>
      <c r="I68" s="17" t="n">
        <f aca="false">H68*Annahmen!$C$123</f>
        <v>17.1</v>
      </c>
      <c r="J68" s="18" t="n">
        <f aca="false">I68*Annahmen!$B$126/(1+Annahmen!$B$10)*Annahmen!$B$139</f>
        <v>70.2298598130841</v>
      </c>
      <c r="K68" s="17" t="n">
        <f aca="false">IF($A68&gt;=Annahmen!$C$118,Annahmen!$C$121,0)</f>
        <v>3</v>
      </c>
      <c r="L68" s="17" t="n">
        <f aca="false">L67+K68</f>
        <v>57</v>
      </c>
      <c r="M68" s="17" t="n">
        <f aca="false">L68*Annahmen!$C$124</f>
        <v>22.8</v>
      </c>
      <c r="N68" s="18" t="n">
        <f aca="false">M68*Annahmen!$B$127/(1+Annahmen!$B$10)*Annahmen!$B$138</f>
        <v>55.8227102803738</v>
      </c>
      <c r="O68" s="17" t="n">
        <f aca="false">IF($A68&gt;=Annahmen!$C$134,Annahmen!$C$135,0)</f>
        <v>0.5</v>
      </c>
      <c r="P68" s="24" t="n">
        <f aca="false">O68*Annahmen!$B$136</f>
        <v>195</v>
      </c>
      <c r="Q68" s="24" t="n">
        <f aca="false">F68+J68+N68+P68</f>
        <v>376.800700934579</v>
      </c>
      <c r="R68" s="24" t="n">
        <f aca="false">O68*Annahmen!$B$48+(C68+G68+K68)*Annahmen!$B$137</f>
        <v>4.33587163568827</v>
      </c>
      <c r="S68" s="24" t="n">
        <f aca="false">SUMPRODUCT((((Annahmen!$C$161:$C$174="monatlich")*(Annahmen!$D$161:$D$174&lt;=$A68))+((Annahmen!$C$161:$C$174="einmalig")*(Annahmen!$D$161:$D$174=$A68)))*Annahmen!$B$161:$B$174*Annahmen!$G$161:$G$174)</f>
        <v>28.3604931653712</v>
      </c>
      <c r="T68" s="24" t="n">
        <f aca="false">IF($A68&gt;=Annahmen!$C$118,Annahmen!$C$145,0)</f>
        <v>100</v>
      </c>
      <c r="U68" s="24" t="n">
        <f aca="false">Q68-R68-S68-T68</f>
        <v>244.10433613352</v>
      </c>
      <c r="V68" s="24" t="n">
        <f aca="false">V67+U68</f>
        <v>1073.86271886646</v>
      </c>
      <c r="W68" s="7" t="n">
        <f aca="false">IF(U68&gt;0,1,0)</f>
        <v>1</v>
      </c>
      <c r="X68" s="7" t="n">
        <f aca="false">IF(V68&gt;=0,1,0)</f>
        <v>1</v>
      </c>
    </row>
    <row r="69" customFormat="false" ht="15" hidden="false" customHeight="false" outlineLevel="0" collapsed="false">
      <c r="A69" s="7" t="n">
        <v>23</v>
      </c>
      <c r="B69" s="7" t="s">
        <v>412</v>
      </c>
      <c r="C69" s="17" t="n">
        <f aca="false">IF($A69&gt;=Annahmen!$C$118,Annahmen!$C$119,0)</f>
        <v>5</v>
      </c>
      <c r="D69" s="17" t="n">
        <f aca="false">D68+C69</f>
        <v>100</v>
      </c>
      <c r="E69" s="17" t="n">
        <f aca="false">D69*Annahmen!$C$122</f>
        <v>40</v>
      </c>
      <c r="F69" s="18" t="n">
        <f aca="false">E69*Annahmen!$B$125/(1+Annahmen!$B$10)*Annahmen!$B$138</f>
        <v>58.6822429906542</v>
      </c>
      <c r="G69" s="17" t="n">
        <f aca="false">IF($A69&gt;=Annahmen!$C$118,Annahmen!$C$120,0)</f>
        <v>3</v>
      </c>
      <c r="H69" s="17" t="n">
        <f aca="false">H68+G69</f>
        <v>60</v>
      </c>
      <c r="I69" s="17" t="n">
        <f aca="false">H69*Annahmen!$C$123</f>
        <v>18</v>
      </c>
      <c r="J69" s="18" t="n">
        <f aca="false">I69*Annahmen!$B$126/(1+Annahmen!$B$10)*Annahmen!$B$139</f>
        <v>73.9261682242991</v>
      </c>
      <c r="K69" s="17" t="n">
        <f aca="false">IF($A69&gt;=Annahmen!$C$118,Annahmen!$C$121,0)</f>
        <v>3</v>
      </c>
      <c r="L69" s="17" t="n">
        <f aca="false">L68+K69</f>
        <v>60</v>
      </c>
      <c r="M69" s="17" t="n">
        <f aca="false">L69*Annahmen!$C$124</f>
        <v>24</v>
      </c>
      <c r="N69" s="18" t="n">
        <f aca="false">M69*Annahmen!$B$127/(1+Annahmen!$B$10)*Annahmen!$B$138</f>
        <v>58.7607476635514</v>
      </c>
      <c r="O69" s="17" t="n">
        <f aca="false">IF($A69&gt;=Annahmen!$C$134,Annahmen!$C$135,0)</f>
        <v>0.5</v>
      </c>
      <c r="P69" s="24" t="n">
        <f aca="false">O69*Annahmen!$B$136</f>
        <v>195</v>
      </c>
      <c r="Q69" s="24" t="n">
        <f aca="false">F69+J69+N69+P69</f>
        <v>386.369158878505</v>
      </c>
      <c r="R69" s="24" t="n">
        <f aca="false">O69*Annahmen!$B$48+(C69+G69+K69)*Annahmen!$B$137</f>
        <v>4.33587163568827</v>
      </c>
      <c r="S69" s="24" t="n">
        <f aca="false">SUMPRODUCT((((Annahmen!$C$161:$C$174="monatlich")*(Annahmen!$D$161:$D$174&lt;=$A69))+((Annahmen!$C$161:$C$174="einmalig")*(Annahmen!$D$161:$D$174=$A69)))*Annahmen!$B$161:$B$174*Annahmen!$G$161:$G$174)</f>
        <v>28.3604931653712</v>
      </c>
      <c r="T69" s="24" t="n">
        <f aca="false">IF($A69&gt;=Annahmen!$C$118,Annahmen!$C$145,0)</f>
        <v>100</v>
      </c>
      <c r="U69" s="24" t="n">
        <f aca="false">Q69-R69-S69-T69</f>
        <v>253.672794077445</v>
      </c>
      <c r="V69" s="24" t="n">
        <f aca="false">V68+U69</f>
        <v>1327.5355129439</v>
      </c>
      <c r="W69" s="7" t="n">
        <f aca="false">IF(U69&gt;0,1,0)</f>
        <v>1</v>
      </c>
      <c r="X69" s="7" t="n">
        <f aca="false">IF(V69&gt;=0,1,0)</f>
        <v>1</v>
      </c>
    </row>
    <row r="70" customFormat="false" ht="15" hidden="false" customHeight="false" outlineLevel="0" collapsed="false">
      <c r="A70" s="7" t="n">
        <v>24</v>
      </c>
      <c r="B70" s="7" t="s">
        <v>413</v>
      </c>
      <c r="C70" s="17" t="n">
        <f aca="false">IF($A70&gt;=Annahmen!$C$118,Annahmen!$C$119,0)</f>
        <v>5</v>
      </c>
      <c r="D70" s="17" t="n">
        <f aca="false">D69+C70</f>
        <v>105</v>
      </c>
      <c r="E70" s="17" t="n">
        <f aca="false">D70*Annahmen!$C$122</f>
        <v>42</v>
      </c>
      <c r="F70" s="18" t="n">
        <f aca="false">E70*Annahmen!$B$125/(1+Annahmen!$B$10)*Annahmen!$B$138</f>
        <v>61.6163551401869</v>
      </c>
      <c r="G70" s="17" t="n">
        <f aca="false">IF($A70&gt;=Annahmen!$C$118,Annahmen!$C$120,0)</f>
        <v>3</v>
      </c>
      <c r="H70" s="17" t="n">
        <f aca="false">H69+G70</f>
        <v>63</v>
      </c>
      <c r="I70" s="17" t="n">
        <f aca="false">H70*Annahmen!$C$123</f>
        <v>18.9</v>
      </c>
      <c r="J70" s="18" t="n">
        <f aca="false">I70*Annahmen!$B$126/(1+Annahmen!$B$10)*Annahmen!$B$139</f>
        <v>77.622476635514</v>
      </c>
      <c r="K70" s="17" t="n">
        <f aca="false">IF($A70&gt;=Annahmen!$C$118,Annahmen!$C$121,0)</f>
        <v>3</v>
      </c>
      <c r="L70" s="17" t="n">
        <f aca="false">L69+K70</f>
        <v>63</v>
      </c>
      <c r="M70" s="17" t="n">
        <f aca="false">L70*Annahmen!$C$124</f>
        <v>25.2</v>
      </c>
      <c r="N70" s="18" t="n">
        <f aca="false">M70*Annahmen!$B$127/(1+Annahmen!$B$10)*Annahmen!$B$138</f>
        <v>61.698785046729</v>
      </c>
      <c r="O70" s="17" t="n">
        <f aca="false">IF($A70&gt;=Annahmen!$C$134,Annahmen!$C$135,0)</f>
        <v>0.5</v>
      </c>
      <c r="P70" s="24" t="n">
        <f aca="false">O70*Annahmen!$B$136</f>
        <v>195</v>
      </c>
      <c r="Q70" s="24" t="n">
        <f aca="false">F70+J70+N70+P70</f>
        <v>395.93761682243</v>
      </c>
      <c r="R70" s="24" t="n">
        <f aca="false">O70*Annahmen!$B$48+(C70+G70+K70)*Annahmen!$B$137</f>
        <v>4.33587163568827</v>
      </c>
      <c r="S70" s="24" t="n">
        <f aca="false">SUMPRODUCT((((Annahmen!$C$161:$C$174="monatlich")*(Annahmen!$D$161:$D$174&lt;=$A70))+((Annahmen!$C$161:$C$174="einmalig")*(Annahmen!$D$161:$D$174=$A70)))*Annahmen!$B$161:$B$174*Annahmen!$G$161:$G$174)</f>
        <v>28.3604931653712</v>
      </c>
      <c r="T70" s="24" t="n">
        <f aca="false">IF($A70&gt;=Annahmen!$C$118,Annahmen!$C$145,0)</f>
        <v>100</v>
      </c>
      <c r="U70" s="24" t="n">
        <f aca="false">Q70-R70-S70-T70</f>
        <v>263.24125202137</v>
      </c>
      <c r="V70" s="24" t="n">
        <f aca="false">V69+U70</f>
        <v>1590.77676496527</v>
      </c>
      <c r="W70" s="7" t="n">
        <f aca="false">IF(U70&gt;0,1,0)</f>
        <v>1</v>
      </c>
      <c r="X70" s="7" t="n">
        <f aca="false">IF(V70&gt;=0,1,0)</f>
        <v>1</v>
      </c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customFormat="false" ht="15" hidden="false" customHeight="false" outlineLevel="0" collapsed="false">
      <c r="A74" s="5" t="str">
        <f aca="false">"Szenario stark – "&amp;Annahmen!$D$142</f>
        <v>Szenario stark – skalierbares Business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2"/>
      <c r="X74" s="2"/>
    </row>
    <row r="75" customFormat="false" ht="42" hidden="false" customHeight="true" outlineLevel="0" collapsed="false">
      <c r="A75" s="35" t="s">
        <v>99</v>
      </c>
      <c r="B75" s="35" t="s">
        <v>359</v>
      </c>
      <c r="C75" s="35" t="s">
        <v>451</v>
      </c>
      <c r="D75" s="35" t="s">
        <v>452</v>
      </c>
      <c r="E75" s="35" t="s">
        <v>453</v>
      </c>
      <c r="F75" s="35" t="s">
        <v>454</v>
      </c>
      <c r="G75" s="35" t="s">
        <v>455</v>
      </c>
      <c r="H75" s="35" t="s">
        <v>456</v>
      </c>
      <c r="I75" s="35" t="s">
        <v>457</v>
      </c>
      <c r="J75" s="35" t="s">
        <v>458</v>
      </c>
      <c r="K75" s="35" t="s">
        <v>459</v>
      </c>
      <c r="L75" s="35" t="s">
        <v>460</v>
      </c>
      <c r="M75" s="35" t="s">
        <v>461</v>
      </c>
      <c r="N75" s="35" t="s">
        <v>462</v>
      </c>
      <c r="O75" s="35" t="s">
        <v>463</v>
      </c>
      <c r="P75" s="35" t="s">
        <v>464</v>
      </c>
      <c r="Q75" s="35" t="s">
        <v>441</v>
      </c>
      <c r="R75" s="35" t="s">
        <v>465</v>
      </c>
      <c r="S75" s="35" t="s">
        <v>378</v>
      </c>
      <c r="T75" s="35" t="s">
        <v>379</v>
      </c>
      <c r="U75" s="35" t="s">
        <v>382</v>
      </c>
      <c r="V75" s="35" t="s">
        <v>383</v>
      </c>
      <c r="W75" s="35" t="s">
        <v>388</v>
      </c>
      <c r="X75" s="35" t="s">
        <v>389</v>
      </c>
    </row>
    <row r="76" customFormat="false" ht="15" hidden="false" customHeight="false" outlineLevel="0" collapsed="false">
      <c r="A76" s="7" t="n">
        <v>1</v>
      </c>
      <c r="B76" s="7" t="s">
        <v>390</v>
      </c>
      <c r="C76" s="17" t="n">
        <f aca="false">IF($A76&gt;=Annahmen!$D$118,Annahmen!$D$119,0)</f>
        <v>0</v>
      </c>
      <c r="D76" s="17" t="n">
        <f aca="false">C76</f>
        <v>0</v>
      </c>
      <c r="E76" s="17" t="n">
        <f aca="false">D76*Annahmen!$D$122</f>
        <v>0</v>
      </c>
      <c r="F76" s="18" t="n">
        <f aca="false">E76*Annahmen!$B$125/(1+Annahmen!$B$10)*Annahmen!$B$138</f>
        <v>0</v>
      </c>
      <c r="G76" s="17" t="n">
        <f aca="false">IF($A76&gt;=Annahmen!$D$118,Annahmen!$D$120,0)</f>
        <v>0</v>
      </c>
      <c r="H76" s="17" t="n">
        <f aca="false">G76</f>
        <v>0</v>
      </c>
      <c r="I76" s="17" t="n">
        <f aca="false">H76*Annahmen!$D$123</f>
        <v>0</v>
      </c>
      <c r="J76" s="18" t="n">
        <f aca="false">I76*Annahmen!$B$126/(1+Annahmen!$B$10)*Annahmen!$B$139</f>
        <v>0</v>
      </c>
      <c r="K76" s="17" t="n">
        <f aca="false">IF($A76&gt;=Annahmen!$D$118,Annahmen!$D$121,0)</f>
        <v>0</v>
      </c>
      <c r="L76" s="17" t="n">
        <f aca="false">K76</f>
        <v>0</v>
      </c>
      <c r="M76" s="17" t="n">
        <f aca="false">L76*Annahmen!$D$124</f>
        <v>0</v>
      </c>
      <c r="N76" s="18" t="n">
        <f aca="false">M76*Annahmen!$B$127/(1+Annahmen!$B$10)*Annahmen!$B$138</f>
        <v>0</v>
      </c>
      <c r="O76" s="17" t="n">
        <f aca="false">IF($A76&gt;=Annahmen!$D$134,Annahmen!$D$135,0)</f>
        <v>0</v>
      </c>
      <c r="P76" s="24" t="n">
        <f aca="false">O76*Annahmen!$B$136</f>
        <v>0</v>
      </c>
      <c r="Q76" s="24" t="n">
        <f aca="false">F76+J76+N76+P76</f>
        <v>0</v>
      </c>
      <c r="R76" s="24" t="n">
        <f aca="false">O76*Annahmen!$B$48+(C76+G76+K76)*Annahmen!$B$137</f>
        <v>0</v>
      </c>
      <c r="S76" s="24" t="n">
        <f aca="false">SUMPRODUCT((((Annahmen!$C$161:$C$174="monatlich")*(Annahmen!$D$161:$D$174&lt;=$A76))+((Annahmen!$C$161:$C$174="einmalig")*(Annahmen!$D$161:$D$174=$A76)))*Annahmen!$B$161:$B$174*Annahmen!$G$161:$G$174)</f>
        <v>657.207602742593</v>
      </c>
      <c r="T76" s="24" t="n">
        <f aca="false">IF($A76&gt;=Annahmen!$D$118,Annahmen!$D$145,0)</f>
        <v>0</v>
      </c>
      <c r="U76" s="24" t="n">
        <f aca="false">Q76-R76-S76-T76</f>
        <v>-657.207602742593</v>
      </c>
      <c r="V76" s="24" t="n">
        <f aca="false">U76</f>
        <v>-657.207602742593</v>
      </c>
      <c r="W76" s="7" t="n">
        <f aca="false">IF(U76&gt;0,1,0)</f>
        <v>0</v>
      </c>
      <c r="X76" s="7" t="n">
        <f aca="false">IF(V76&gt;=0,1,0)</f>
        <v>0</v>
      </c>
    </row>
    <row r="77" customFormat="false" ht="15" hidden="false" customHeight="false" outlineLevel="0" collapsed="false">
      <c r="A77" s="7" t="n">
        <v>2</v>
      </c>
      <c r="B77" s="7" t="s">
        <v>391</v>
      </c>
      <c r="C77" s="17" t="n">
        <f aca="false">IF($A77&gt;=Annahmen!$D$118,Annahmen!$D$119,0)</f>
        <v>0</v>
      </c>
      <c r="D77" s="17" t="n">
        <f aca="false">D76+C77</f>
        <v>0</v>
      </c>
      <c r="E77" s="17" t="n">
        <f aca="false">D77*Annahmen!$D$122</f>
        <v>0</v>
      </c>
      <c r="F77" s="18" t="n">
        <f aca="false">E77*Annahmen!$B$125/(1+Annahmen!$B$10)*Annahmen!$B$138</f>
        <v>0</v>
      </c>
      <c r="G77" s="17" t="n">
        <f aca="false">IF($A77&gt;=Annahmen!$D$118,Annahmen!$D$120,0)</f>
        <v>0</v>
      </c>
      <c r="H77" s="17" t="n">
        <f aca="false">H76+G77</f>
        <v>0</v>
      </c>
      <c r="I77" s="17" t="n">
        <f aca="false">H77*Annahmen!$D$123</f>
        <v>0</v>
      </c>
      <c r="J77" s="18" t="n">
        <f aca="false">I77*Annahmen!$B$126/(1+Annahmen!$B$10)*Annahmen!$B$139</f>
        <v>0</v>
      </c>
      <c r="K77" s="17" t="n">
        <f aca="false">IF($A77&gt;=Annahmen!$D$118,Annahmen!$D$121,0)</f>
        <v>0</v>
      </c>
      <c r="L77" s="17" t="n">
        <f aca="false">L76+K77</f>
        <v>0</v>
      </c>
      <c r="M77" s="17" t="n">
        <f aca="false">L77*Annahmen!$D$124</f>
        <v>0</v>
      </c>
      <c r="N77" s="18" t="n">
        <f aca="false">M77*Annahmen!$B$127/(1+Annahmen!$B$10)*Annahmen!$B$138</f>
        <v>0</v>
      </c>
      <c r="O77" s="17" t="n">
        <f aca="false">IF($A77&gt;=Annahmen!$D$134,Annahmen!$D$135,0)</f>
        <v>0</v>
      </c>
      <c r="P77" s="24" t="n">
        <f aca="false">O77*Annahmen!$B$136</f>
        <v>0</v>
      </c>
      <c r="Q77" s="24" t="n">
        <f aca="false">F77+J77+N77+P77</f>
        <v>0</v>
      </c>
      <c r="R77" s="24" t="n">
        <f aca="false">O77*Annahmen!$B$48+(C77+G77+K77)*Annahmen!$B$137</f>
        <v>0</v>
      </c>
      <c r="S77" s="24" t="n">
        <f aca="false">SUMPRODUCT((((Annahmen!$C$161:$C$174="monatlich")*(Annahmen!$D$161:$D$174&lt;=$A77))+((Annahmen!$C$161:$C$174="einmalig")*(Annahmen!$D$161:$D$174=$A77)))*Annahmen!$B$161:$B$174*Annahmen!$G$161:$G$174)</f>
        <v>28.3604931653712</v>
      </c>
      <c r="T77" s="24" t="n">
        <f aca="false">IF($A77&gt;=Annahmen!$D$118,Annahmen!$D$145,0)</f>
        <v>0</v>
      </c>
      <c r="U77" s="24" t="n">
        <f aca="false">Q77-R77-S77-T77</f>
        <v>-28.3604931653712</v>
      </c>
      <c r="V77" s="24" t="n">
        <f aca="false">V76+U77</f>
        <v>-685.568095907964</v>
      </c>
      <c r="W77" s="7" t="n">
        <f aca="false">IF(U77&gt;0,1,0)</f>
        <v>0</v>
      </c>
      <c r="X77" s="7" t="n">
        <f aca="false">IF(V77&gt;=0,1,0)</f>
        <v>0</v>
      </c>
    </row>
    <row r="78" customFormat="false" ht="15" hidden="false" customHeight="false" outlineLevel="0" collapsed="false">
      <c r="A78" s="7" t="n">
        <v>3</v>
      </c>
      <c r="B78" s="7" t="s">
        <v>392</v>
      </c>
      <c r="C78" s="17" t="n">
        <f aca="false">IF($A78&gt;=Annahmen!$D$118,Annahmen!$D$119,0)</f>
        <v>10</v>
      </c>
      <c r="D78" s="17" t="n">
        <f aca="false">D77+C78</f>
        <v>10</v>
      </c>
      <c r="E78" s="17" t="n">
        <f aca="false">D78*Annahmen!$D$122</f>
        <v>8</v>
      </c>
      <c r="F78" s="18" t="n">
        <f aca="false">E78*Annahmen!$B$125/(1+Annahmen!$B$10)*Annahmen!$B$138</f>
        <v>11.7364485981308</v>
      </c>
      <c r="G78" s="17" t="n">
        <f aca="false">IF($A78&gt;=Annahmen!$D$118,Annahmen!$D$120,0)</f>
        <v>6</v>
      </c>
      <c r="H78" s="17" t="n">
        <f aca="false">H77+G78</f>
        <v>6</v>
      </c>
      <c r="I78" s="17" t="n">
        <f aca="false">H78*Annahmen!$D$123</f>
        <v>3.6</v>
      </c>
      <c r="J78" s="18" t="n">
        <f aca="false">I78*Annahmen!$B$126/(1+Annahmen!$B$10)*Annahmen!$B$139</f>
        <v>14.7852336448598</v>
      </c>
      <c r="K78" s="17" t="n">
        <f aca="false">IF($A78&gt;=Annahmen!$D$118,Annahmen!$D$121,0)</f>
        <v>6</v>
      </c>
      <c r="L78" s="17" t="n">
        <f aca="false">L77+K78</f>
        <v>6</v>
      </c>
      <c r="M78" s="17" t="n">
        <f aca="false">L78*Annahmen!$D$124</f>
        <v>4.8</v>
      </c>
      <c r="N78" s="18" t="n">
        <f aca="false">M78*Annahmen!$B$127/(1+Annahmen!$B$10)*Annahmen!$B$138</f>
        <v>11.7521495327103</v>
      </c>
      <c r="O78" s="17" t="n">
        <f aca="false">IF($A78&gt;=Annahmen!$D$134,Annahmen!$D$135,0)</f>
        <v>0</v>
      </c>
      <c r="P78" s="24" t="n">
        <f aca="false">O78*Annahmen!$B$136</f>
        <v>0</v>
      </c>
      <c r="Q78" s="24" t="n">
        <f aca="false">F78+J78+N78+P78</f>
        <v>38.2738317757009</v>
      </c>
      <c r="R78" s="24" t="n">
        <f aca="false">O78*Annahmen!$B$48+(C78+G78+K78)*Annahmen!$B$137</f>
        <v>0</v>
      </c>
      <c r="S78" s="24" t="n">
        <f aca="false">SUMPRODUCT((((Annahmen!$C$161:$C$174="monatlich")*(Annahmen!$D$161:$D$174&lt;=$A78))+((Annahmen!$C$161:$C$174="einmalig")*(Annahmen!$D$161:$D$174=$A78)))*Annahmen!$B$161:$B$174*Annahmen!$G$161:$G$174)</f>
        <v>98.3604931653712</v>
      </c>
      <c r="T78" s="24" t="n">
        <f aca="false">IF($A78&gt;=Annahmen!$D$118,Annahmen!$D$145,0)</f>
        <v>300</v>
      </c>
      <c r="U78" s="24" t="n">
        <f aca="false">Q78-R78-S78-T78</f>
        <v>-360.08666138967</v>
      </c>
      <c r="V78" s="24" t="n">
        <f aca="false">V77+U78</f>
        <v>-1045.65475729763</v>
      </c>
      <c r="W78" s="7" t="n">
        <f aca="false">IF(U78&gt;0,1,0)</f>
        <v>0</v>
      </c>
      <c r="X78" s="7" t="n">
        <f aca="false">IF(V78&gt;=0,1,0)</f>
        <v>0</v>
      </c>
    </row>
    <row r="79" customFormat="false" ht="15" hidden="false" customHeight="false" outlineLevel="0" collapsed="false">
      <c r="A79" s="7" t="n">
        <v>4</v>
      </c>
      <c r="B79" s="7" t="s">
        <v>393</v>
      </c>
      <c r="C79" s="17" t="n">
        <f aca="false">IF($A79&gt;=Annahmen!$D$118,Annahmen!$D$119,0)</f>
        <v>10</v>
      </c>
      <c r="D79" s="17" t="n">
        <f aca="false">D78+C79</f>
        <v>20</v>
      </c>
      <c r="E79" s="17" t="n">
        <f aca="false">D79*Annahmen!$D$122</f>
        <v>16</v>
      </c>
      <c r="F79" s="18" t="n">
        <f aca="false">E79*Annahmen!$B$125/(1+Annahmen!$B$10)*Annahmen!$B$138</f>
        <v>23.4728971962617</v>
      </c>
      <c r="G79" s="17" t="n">
        <f aca="false">IF($A79&gt;=Annahmen!$D$118,Annahmen!$D$120,0)</f>
        <v>6</v>
      </c>
      <c r="H79" s="17" t="n">
        <f aca="false">H78+G79</f>
        <v>12</v>
      </c>
      <c r="I79" s="17" t="n">
        <f aca="false">H79*Annahmen!$D$123</f>
        <v>7.2</v>
      </c>
      <c r="J79" s="18" t="n">
        <f aca="false">I79*Annahmen!$B$126/(1+Annahmen!$B$10)*Annahmen!$B$139</f>
        <v>29.5704672897196</v>
      </c>
      <c r="K79" s="17" t="n">
        <f aca="false">IF($A79&gt;=Annahmen!$D$118,Annahmen!$D$121,0)</f>
        <v>6</v>
      </c>
      <c r="L79" s="17" t="n">
        <f aca="false">L78+K79</f>
        <v>12</v>
      </c>
      <c r="M79" s="17" t="n">
        <f aca="false">L79*Annahmen!$D$124</f>
        <v>9.6</v>
      </c>
      <c r="N79" s="18" t="n">
        <f aca="false">M79*Annahmen!$B$127/(1+Annahmen!$B$10)*Annahmen!$B$138</f>
        <v>23.5042990654206</v>
      </c>
      <c r="O79" s="17" t="n">
        <f aca="false">IF($A79&gt;=Annahmen!$D$134,Annahmen!$D$135,0)</f>
        <v>0</v>
      </c>
      <c r="P79" s="24" t="n">
        <f aca="false">O79*Annahmen!$B$136</f>
        <v>0</v>
      </c>
      <c r="Q79" s="24" t="n">
        <f aca="false">F79+J79+N79+P79</f>
        <v>76.5476635514019</v>
      </c>
      <c r="R79" s="24" t="n">
        <f aca="false">O79*Annahmen!$B$48+(C79+G79+K79)*Annahmen!$B$137</f>
        <v>0</v>
      </c>
      <c r="S79" s="24" t="n">
        <f aca="false">SUMPRODUCT((((Annahmen!$C$161:$C$174="monatlich")*(Annahmen!$D$161:$D$174&lt;=$A79))+((Annahmen!$C$161:$C$174="einmalig")*(Annahmen!$D$161:$D$174=$A79)))*Annahmen!$B$161:$B$174*Annahmen!$G$161:$G$174)</f>
        <v>28.3604931653712</v>
      </c>
      <c r="T79" s="24" t="n">
        <f aca="false">IF($A79&gt;=Annahmen!$D$118,Annahmen!$D$145,0)</f>
        <v>300</v>
      </c>
      <c r="U79" s="24" t="n">
        <f aca="false">Q79-R79-S79-T79</f>
        <v>-251.812829613969</v>
      </c>
      <c r="V79" s="24" t="n">
        <f aca="false">V78+U79</f>
        <v>-1297.4675869116</v>
      </c>
      <c r="W79" s="7" t="n">
        <f aca="false">IF(U79&gt;0,1,0)</f>
        <v>0</v>
      </c>
      <c r="X79" s="7" t="n">
        <f aca="false">IF(V79&gt;=0,1,0)</f>
        <v>0</v>
      </c>
    </row>
    <row r="80" customFormat="false" ht="15" hidden="false" customHeight="false" outlineLevel="0" collapsed="false">
      <c r="A80" s="7" t="n">
        <v>5</v>
      </c>
      <c r="B80" s="7" t="s">
        <v>394</v>
      </c>
      <c r="C80" s="17" t="n">
        <f aca="false">IF($A80&gt;=Annahmen!$D$118,Annahmen!$D$119,0)</f>
        <v>10</v>
      </c>
      <c r="D80" s="17" t="n">
        <f aca="false">D79+C80</f>
        <v>30</v>
      </c>
      <c r="E80" s="17" t="n">
        <f aca="false">D80*Annahmen!$D$122</f>
        <v>24</v>
      </c>
      <c r="F80" s="18" t="n">
        <f aca="false">E80*Annahmen!$B$125/(1+Annahmen!$B$10)*Annahmen!$B$138</f>
        <v>35.2093457943925</v>
      </c>
      <c r="G80" s="17" t="n">
        <f aca="false">IF($A80&gt;=Annahmen!$D$118,Annahmen!$D$120,0)</f>
        <v>6</v>
      </c>
      <c r="H80" s="17" t="n">
        <f aca="false">H79+G80</f>
        <v>18</v>
      </c>
      <c r="I80" s="17" t="n">
        <f aca="false">H80*Annahmen!$D$123</f>
        <v>10.8</v>
      </c>
      <c r="J80" s="18" t="n">
        <f aca="false">I80*Annahmen!$B$126/(1+Annahmen!$B$10)*Annahmen!$B$139</f>
        <v>44.3557009345794</v>
      </c>
      <c r="K80" s="17" t="n">
        <f aca="false">IF($A80&gt;=Annahmen!$D$118,Annahmen!$D$121,0)</f>
        <v>6</v>
      </c>
      <c r="L80" s="17" t="n">
        <f aca="false">L79+K80</f>
        <v>18</v>
      </c>
      <c r="M80" s="17" t="n">
        <f aca="false">L80*Annahmen!$D$124</f>
        <v>14.4</v>
      </c>
      <c r="N80" s="18" t="n">
        <f aca="false">M80*Annahmen!$B$127/(1+Annahmen!$B$10)*Annahmen!$B$138</f>
        <v>35.2564485981308</v>
      </c>
      <c r="O80" s="17" t="n">
        <f aca="false">IF($A80&gt;=Annahmen!$D$134,Annahmen!$D$135,0)</f>
        <v>0</v>
      </c>
      <c r="P80" s="24" t="n">
        <f aca="false">O80*Annahmen!$B$136</f>
        <v>0</v>
      </c>
      <c r="Q80" s="24" t="n">
        <f aca="false">F80+J80+N80+P80</f>
        <v>114.821495327103</v>
      </c>
      <c r="R80" s="24" t="n">
        <f aca="false">O80*Annahmen!$B$48+(C80+G80+K80)*Annahmen!$B$137</f>
        <v>0</v>
      </c>
      <c r="S80" s="24" t="n">
        <f aca="false">SUMPRODUCT((((Annahmen!$C$161:$C$174="monatlich")*(Annahmen!$D$161:$D$174&lt;=$A80))+((Annahmen!$C$161:$C$174="einmalig")*(Annahmen!$D$161:$D$174=$A80)))*Annahmen!$B$161:$B$174*Annahmen!$G$161:$G$174)</f>
        <v>28.3604931653712</v>
      </c>
      <c r="T80" s="24" t="n">
        <f aca="false">IF($A80&gt;=Annahmen!$D$118,Annahmen!$D$145,0)</f>
        <v>300</v>
      </c>
      <c r="U80" s="24" t="n">
        <f aca="false">Q80-R80-S80-T80</f>
        <v>-213.538997838268</v>
      </c>
      <c r="V80" s="24" t="n">
        <f aca="false">V79+U80</f>
        <v>-1511.00658474987</v>
      </c>
      <c r="W80" s="7" t="n">
        <f aca="false">IF(U80&gt;0,1,0)</f>
        <v>0</v>
      </c>
      <c r="X80" s="7" t="n">
        <f aca="false">IF(V80&gt;=0,1,0)</f>
        <v>0</v>
      </c>
    </row>
    <row r="81" customFormat="false" ht="15" hidden="false" customHeight="false" outlineLevel="0" collapsed="false">
      <c r="A81" s="7" t="n">
        <v>6</v>
      </c>
      <c r="B81" s="7" t="s">
        <v>395</v>
      </c>
      <c r="C81" s="17" t="n">
        <f aca="false">IF($A81&gt;=Annahmen!$D$118,Annahmen!$D$119,0)</f>
        <v>10</v>
      </c>
      <c r="D81" s="17" t="n">
        <f aca="false">D80+C81</f>
        <v>40</v>
      </c>
      <c r="E81" s="17" t="n">
        <f aca="false">D81*Annahmen!$D$122</f>
        <v>32</v>
      </c>
      <c r="F81" s="18" t="n">
        <f aca="false">E81*Annahmen!$B$125/(1+Annahmen!$B$10)*Annahmen!$B$138</f>
        <v>46.9457943925234</v>
      </c>
      <c r="G81" s="17" t="n">
        <f aca="false">IF($A81&gt;=Annahmen!$D$118,Annahmen!$D$120,0)</f>
        <v>6</v>
      </c>
      <c r="H81" s="17" t="n">
        <f aca="false">H80+G81</f>
        <v>24</v>
      </c>
      <c r="I81" s="17" t="n">
        <f aca="false">H81*Annahmen!$D$123</f>
        <v>14.4</v>
      </c>
      <c r="J81" s="18" t="n">
        <f aca="false">I81*Annahmen!$B$126/(1+Annahmen!$B$10)*Annahmen!$B$139</f>
        <v>59.1409345794393</v>
      </c>
      <c r="K81" s="17" t="n">
        <f aca="false">IF($A81&gt;=Annahmen!$D$118,Annahmen!$D$121,0)</f>
        <v>6</v>
      </c>
      <c r="L81" s="17" t="n">
        <f aca="false">L80+K81</f>
        <v>24</v>
      </c>
      <c r="M81" s="17" t="n">
        <f aca="false">L81*Annahmen!$D$124</f>
        <v>19.2</v>
      </c>
      <c r="N81" s="18" t="n">
        <f aca="false">M81*Annahmen!$B$127/(1+Annahmen!$B$10)*Annahmen!$B$138</f>
        <v>47.0085981308411</v>
      </c>
      <c r="O81" s="17" t="n">
        <f aca="false">IF($A81&gt;=Annahmen!$D$134,Annahmen!$D$135,0)</f>
        <v>0</v>
      </c>
      <c r="P81" s="24" t="n">
        <f aca="false">O81*Annahmen!$B$136</f>
        <v>0</v>
      </c>
      <c r="Q81" s="24" t="n">
        <f aca="false">F81+J81+N81+P81</f>
        <v>153.095327102804</v>
      </c>
      <c r="R81" s="24" t="n">
        <f aca="false">O81*Annahmen!$B$48+(C81+G81+K81)*Annahmen!$B$137</f>
        <v>0</v>
      </c>
      <c r="S81" s="24" t="n">
        <f aca="false">SUMPRODUCT((((Annahmen!$C$161:$C$174="monatlich")*(Annahmen!$D$161:$D$174&lt;=$A81))+((Annahmen!$C$161:$C$174="einmalig")*(Annahmen!$D$161:$D$174=$A81)))*Annahmen!$B$161:$B$174*Annahmen!$G$161:$G$174)</f>
        <v>28.3604931653712</v>
      </c>
      <c r="T81" s="24" t="n">
        <f aca="false">IF($A81&gt;=Annahmen!$D$118,Annahmen!$D$145,0)</f>
        <v>300</v>
      </c>
      <c r="U81" s="24" t="n">
        <f aca="false">Q81-R81-S81-T81</f>
        <v>-175.265166062568</v>
      </c>
      <c r="V81" s="24" t="n">
        <f aca="false">V80+U81</f>
        <v>-1686.27175081244</v>
      </c>
      <c r="W81" s="7" t="n">
        <f aca="false">IF(U81&gt;0,1,0)</f>
        <v>0</v>
      </c>
      <c r="X81" s="7" t="n">
        <f aca="false">IF(V81&gt;=0,1,0)</f>
        <v>0</v>
      </c>
    </row>
    <row r="82" customFormat="false" ht="15" hidden="false" customHeight="false" outlineLevel="0" collapsed="false">
      <c r="A82" s="7" t="n">
        <v>7</v>
      </c>
      <c r="B82" s="7" t="s">
        <v>396</v>
      </c>
      <c r="C82" s="17" t="n">
        <f aca="false">IF($A82&gt;=Annahmen!$D$118,Annahmen!$D$119,0)</f>
        <v>10</v>
      </c>
      <c r="D82" s="17" t="n">
        <f aca="false">D81+C82</f>
        <v>50</v>
      </c>
      <c r="E82" s="17" t="n">
        <f aca="false">D82*Annahmen!$D$122</f>
        <v>40</v>
      </c>
      <c r="F82" s="18" t="n">
        <f aca="false">E82*Annahmen!$B$125/(1+Annahmen!$B$10)*Annahmen!$B$138</f>
        <v>58.6822429906542</v>
      </c>
      <c r="G82" s="17" t="n">
        <f aca="false">IF($A82&gt;=Annahmen!$D$118,Annahmen!$D$120,0)</f>
        <v>6</v>
      </c>
      <c r="H82" s="17" t="n">
        <f aca="false">H81+G82</f>
        <v>30</v>
      </c>
      <c r="I82" s="17" t="n">
        <f aca="false">H82*Annahmen!$D$123</f>
        <v>18</v>
      </c>
      <c r="J82" s="18" t="n">
        <f aca="false">I82*Annahmen!$B$126/(1+Annahmen!$B$10)*Annahmen!$B$139</f>
        <v>73.9261682242991</v>
      </c>
      <c r="K82" s="17" t="n">
        <f aca="false">IF($A82&gt;=Annahmen!$D$118,Annahmen!$D$121,0)</f>
        <v>6</v>
      </c>
      <c r="L82" s="17" t="n">
        <f aca="false">L81+K82</f>
        <v>30</v>
      </c>
      <c r="M82" s="17" t="n">
        <f aca="false">L82*Annahmen!$D$124</f>
        <v>24</v>
      </c>
      <c r="N82" s="18" t="n">
        <f aca="false">M82*Annahmen!$B$127/(1+Annahmen!$B$10)*Annahmen!$B$138</f>
        <v>58.7607476635514</v>
      </c>
      <c r="O82" s="17" t="n">
        <f aca="false">IF($A82&gt;=Annahmen!$D$134,Annahmen!$D$135,0)</f>
        <v>2</v>
      </c>
      <c r="P82" s="24" t="n">
        <f aca="false">O82*Annahmen!$B$136</f>
        <v>780</v>
      </c>
      <c r="Q82" s="24" t="n">
        <f aca="false">F82+J82+N82+P82</f>
        <v>971.369158878505</v>
      </c>
      <c r="R82" s="24" t="n">
        <f aca="false">O82*Annahmen!$B$48+(C82+G82+K82)*Annahmen!$B$137</f>
        <v>17.3434865427531</v>
      </c>
      <c r="S82" s="24" t="n">
        <f aca="false">SUMPRODUCT((((Annahmen!$C$161:$C$174="monatlich")*(Annahmen!$D$161:$D$174&lt;=$A82))+((Annahmen!$C$161:$C$174="einmalig")*(Annahmen!$D$161:$D$174=$A82)))*Annahmen!$B$161:$B$174*Annahmen!$G$161:$G$174)</f>
        <v>28.3604931653712</v>
      </c>
      <c r="T82" s="24" t="n">
        <f aca="false">IF($A82&gt;=Annahmen!$D$118,Annahmen!$D$145,0)</f>
        <v>300</v>
      </c>
      <c r="U82" s="24" t="n">
        <f aca="false">Q82-R82-S82-T82</f>
        <v>625.66517917038</v>
      </c>
      <c r="V82" s="24" t="n">
        <f aca="false">V81+U82</f>
        <v>-1060.60657164206</v>
      </c>
      <c r="W82" s="7" t="n">
        <f aca="false">IF(U82&gt;0,1,0)</f>
        <v>1</v>
      </c>
      <c r="X82" s="7" t="n">
        <f aca="false">IF(V82&gt;=0,1,0)</f>
        <v>0</v>
      </c>
    </row>
    <row r="83" customFormat="false" ht="15" hidden="false" customHeight="false" outlineLevel="0" collapsed="false">
      <c r="A83" s="7" t="n">
        <v>8</v>
      </c>
      <c r="B83" s="7" t="s">
        <v>397</v>
      </c>
      <c r="C83" s="17" t="n">
        <f aca="false">IF($A83&gt;=Annahmen!$D$118,Annahmen!$D$119,0)</f>
        <v>10</v>
      </c>
      <c r="D83" s="17" t="n">
        <f aca="false">D82+C83</f>
        <v>60</v>
      </c>
      <c r="E83" s="17" t="n">
        <f aca="false">D83*Annahmen!$D$122</f>
        <v>48</v>
      </c>
      <c r="F83" s="18" t="n">
        <f aca="false">E83*Annahmen!$B$125/(1+Annahmen!$B$10)*Annahmen!$B$138</f>
        <v>70.418691588785</v>
      </c>
      <c r="G83" s="17" t="n">
        <f aca="false">IF($A83&gt;=Annahmen!$D$118,Annahmen!$D$120,0)</f>
        <v>6</v>
      </c>
      <c r="H83" s="17" t="n">
        <f aca="false">H82+G83</f>
        <v>36</v>
      </c>
      <c r="I83" s="17" t="n">
        <f aca="false">H83*Annahmen!$D$123</f>
        <v>21.6</v>
      </c>
      <c r="J83" s="18" t="n">
        <f aca="false">I83*Annahmen!$B$126/(1+Annahmen!$B$10)*Annahmen!$B$139</f>
        <v>88.7114018691589</v>
      </c>
      <c r="K83" s="17" t="n">
        <f aca="false">IF($A83&gt;=Annahmen!$D$118,Annahmen!$D$121,0)</f>
        <v>6</v>
      </c>
      <c r="L83" s="17" t="n">
        <f aca="false">L82+K83</f>
        <v>36</v>
      </c>
      <c r="M83" s="17" t="n">
        <f aca="false">L83*Annahmen!$D$124</f>
        <v>28.8</v>
      </c>
      <c r="N83" s="18" t="n">
        <f aca="false">M83*Annahmen!$B$127/(1+Annahmen!$B$10)*Annahmen!$B$138</f>
        <v>70.5128971962617</v>
      </c>
      <c r="O83" s="17" t="n">
        <f aca="false">IF($A83&gt;=Annahmen!$D$134,Annahmen!$D$135,0)</f>
        <v>2</v>
      </c>
      <c r="P83" s="24" t="n">
        <f aca="false">O83*Annahmen!$B$136</f>
        <v>780</v>
      </c>
      <c r="Q83" s="24" t="n">
        <f aca="false">F83+J83+N83+P83</f>
        <v>1009.64299065421</v>
      </c>
      <c r="R83" s="24" t="n">
        <f aca="false">O83*Annahmen!$B$48+(C83+G83+K83)*Annahmen!$B$137</f>
        <v>17.3434865427531</v>
      </c>
      <c r="S83" s="24" t="n">
        <f aca="false">SUMPRODUCT((((Annahmen!$C$161:$C$174="monatlich")*(Annahmen!$D$161:$D$174&lt;=$A83))+((Annahmen!$C$161:$C$174="einmalig")*(Annahmen!$D$161:$D$174=$A83)))*Annahmen!$B$161:$B$174*Annahmen!$G$161:$G$174)</f>
        <v>28.3604931653712</v>
      </c>
      <c r="T83" s="24" t="n">
        <f aca="false">IF($A83&gt;=Annahmen!$D$118,Annahmen!$D$145,0)</f>
        <v>300</v>
      </c>
      <c r="U83" s="24" t="n">
        <f aca="false">Q83-R83-S83-T83</f>
        <v>663.939010946081</v>
      </c>
      <c r="V83" s="24" t="n">
        <f aca="false">V82+U83</f>
        <v>-396.667560695978</v>
      </c>
      <c r="W83" s="7" t="n">
        <f aca="false">IF(U83&gt;0,1,0)</f>
        <v>1</v>
      </c>
      <c r="X83" s="7" t="n">
        <f aca="false">IF(V83&gt;=0,1,0)</f>
        <v>0</v>
      </c>
    </row>
    <row r="84" customFormat="false" ht="15" hidden="false" customHeight="false" outlineLevel="0" collapsed="false">
      <c r="A84" s="7" t="n">
        <v>9</v>
      </c>
      <c r="B84" s="7" t="s">
        <v>398</v>
      </c>
      <c r="C84" s="17" t="n">
        <f aca="false">IF($A84&gt;=Annahmen!$D$118,Annahmen!$D$119,0)</f>
        <v>10</v>
      </c>
      <c r="D84" s="17" t="n">
        <f aca="false">D83+C84</f>
        <v>70</v>
      </c>
      <c r="E84" s="17" t="n">
        <f aca="false">D84*Annahmen!$D$122</f>
        <v>56</v>
      </c>
      <c r="F84" s="18" t="n">
        <f aca="false">E84*Annahmen!$B$125/(1+Annahmen!$B$10)*Annahmen!$B$138</f>
        <v>82.1551401869159</v>
      </c>
      <c r="G84" s="17" t="n">
        <f aca="false">IF($A84&gt;=Annahmen!$D$118,Annahmen!$D$120,0)</f>
        <v>6</v>
      </c>
      <c r="H84" s="17" t="n">
        <f aca="false">H83+G84</f>
        <v>42</v>
      </c>
      <c r="I84" s="17" t="n">
        <f aca="false">H84*Annahmen!$D$123</f>
        <v>25.2</v>
      </c>
      <c r="J84" s="18" t="n">
        <f aca="false">I84*Annahmen!$B$126/(1+Annahmen!$B$10)*Annahmen!$B$139</f>
        <v>103.496635514019</v>
      </c>
      <c r="K84" s="17" t="n">
        <f aca="false">IF($A84&gt;=Annahmen!$D$118,Annahmen!$D$121,0)</f>
        <v>6</v>
      </c>
      <c r="L84" s="17" t="n">
        <f aca="false">L83+K84</f>
        <v>42</v>
      </c>
      <c r="M84" s="17" t="n">
        <f aca="false">L84*Annahmen!$D$124</f>
        <v>33.6</v>
      </c>
      <c r="N84" s="18" t="n">
        <f aca="false">M84*Annahmen!$B$127/(1+Annahmen!$B$10)*Annahmen!$B$138</f>
        <v>82.2650467289719</v>
      </c>
      <c r="O84" s="17" t="n">
        <f aca="false">IF($A84&gt;=Annahmen!$D$134,Annahmen!$D$135,0)</f>
        <v>2</v>
      </c>
      <c r="P84" s="24" t="n">
        <f aca="false">O84*Annahmen!$B$136</f>
        <v>780</v>
      </c>
      <c r="Q84" s="24" t="n">
        <f aca="false">F84+J84+N84+P84</f>
        <v>1047.91682242991</v>
      </c>
      <c r="R84" s="24" t="n">
        <f aca="false">O84*Annahmen!$B$48+(C84+G84+K84)*Annahmen!$B$137</f>
        <v>17.3434865427531</v>
      </c>
      <c r="S84" s="24" t="n">
        <f aca="false">SUMPRODUCT((((Annahmen!$C$161:$C$174="monatlich")*(Annahmen!$D$161:$D$174&lt;=$A84))+((Annahmen!$C$161:$C$174="einmalig")*(Annahmen!$D$161:$D$174=$A84)))*Annahmen!$B$161:$B$174*Annahmen!$G$161:$G$174)</f>
        <v>28.3604931653712</v>
      </c>
      <c r="T84" s="24" t="n">
        <f aca="false">IF($A84&gt;=Annahmen!$D$118,Annahmen!$D$145,0)</f>
        <v>300</v>
      </c>
      <c r="U84" s="24" t="n">
        <f aca="false">Q84-R84-S84-T84</f>
        <v>702.212842721782</v>
      </c>
      <c r="V84" s="24" t="n">
        <f aca="false">V83+U84</f>
        <v>305.545282025804</v>
      </c>
      <c r="W84" s="7" t="n">
        <f aca="false">IF(U84&gt;0,1,0)</f>
        <v>1</v>
      </c>
      <c r="X84" s="7" t="n">
        <f aca="false">IF(V84&gt;=0,1,0)</f>
        <v>1</v>
      </c>
    </row>
    <row r="85" customFormat="false" ht="15" hidden="false" customHeight="false" outlineLevel="0" collapsed="false">
      <c r="A85" s="7" t="n">
        <v>10</v>
      </c>
      <c r="B85" s="7" t="s">
        <v>399</v>
      </c>
      <c r="C85" s="17" t="n">
        <f aca="false">IF($A85&gt;=Annahmen!$D$118,Annahmen!$D$119,0)</f>
        <v>10</v>
      </c>
      <c r="D85" s="17" t="n">
        <f aca="false">D84+C85</f>
        <v>80</v>
      </c>
      <c r="E85" s="17" t="n">
        <f aca="false">D85*Annahmen!$D$122</f>
        <v>64</v>
      </c>
      <c r="F85" s="18" t="n">
        <f aca="false">E85*Annahmen!$B$125/(1+Annahmen!$B$10)*Annahmen!$B$138</f>
        <v>93.8915887850467</v>
      </c>
      <c r="G85" s="17" t="n">
        <f aca="false">IF($A85&gt;=Annahmen!$D$118,Annahmen!$D$120,0)</f>
        <v>6</v>
      </c>
      <c r="H85" s="17" t="n">
        <f aca="false">H84+G85</f>
        <v>48</v>
      </c>
      <c r="I85" s="17" t="n">
        <f aca="false">H85*Annahmen!$D$123</f>
        <v>28.8</v>
      </c>
      <c r="J85" s="18" t="n">
        <f aca="false">I85*Annahmen!$B$126/(1+Annahmen!$B$10)*Annahmen!$B$139</f>
        <v>118.281869158879</v>
      </c>
      <c r="K85" s="17" t="n">
        <f aca="false">IF($A85&gt;=Annahmen!$D$118,Annahmen!$D$121,0)</f>
        <v>6</v>
      </c>
      <c r="L85" s="17" t="n">
        <f aca="false">L84+K85</f>
        <v>48</v>
      </c>
      <c r="M85" s="17" t="n">
        <f aca="false">L85*Annahmen!$D$124</f>
        <v>38.4</v>
      </c>
      <c r="N85" s="18" t="n">
        <f aca="false">M85*Annahmen!$B$127/(1+Annahmen!$B$10)*Annahmen!$B$138</f>
        <v>94.0171962616822</v>
      </c>
      <c r="O85" s="17" t="n">
        <f aca="false">IF($A85&gt;=Annahmen!$D$134,Annahmen!$D$135,0)</f>
        <v>2</v>
      </c>
      <c r="P85" s="24" t="n">
        <f aca="false">O85*Annahmen!$B$136</f>
        <v>780</v>
      </c>
      <c r="Q85" s="24" t="n">
        <f aca="false">F85+J85+N85+P85</f>
        <v>1086.19065420561</v>
      </c>
      <c r="R85" s="24" t="n">
        <f aca="false">O85*Annahmen!$B$48+(C85+G85+K85)*Annahmen!$B$137</f>
        <v>17.3434865427531</v>
      </c>
      <c r="S85" s="24" t="n">
        <f aca="false">SUMPRODUCT((((Annahmen!$C$161:$C$174="monatlich")*(Annahmen!$D$161:$D$174&lt;=$A85))+((Annahmen!$C$161:$C$174="einmalig")*(Annahmen!$D$161:$D$174=$A85)))*Annahmen!$B$161:$B$174*Annahmen!$G$161:$G$174)</f>
        <v>28.3604931653712</v>
      </c>
      <c r="T85" s="24" t="n">
        <f aca="false">IF($A85&gt;=Annahmen!$D$118,Annahmen!$D$145,0)</f>
        <v>300</v>
      </c>
      <c r="U85" s="24" t="n">
        <f aca="false">Q85-R85-S85-T85</f>
        <v>740.486674497483</v>
      </c>
      <c r="V85" s="24" t="n">
        <f aca="false">V84+U85</f>
        <v>1046.03195652329</v>
      </c>
      <c r="W85" s="7" t="n">
        <f aca="false">IF(U85&gt;0,1,0)</f>
        <v>1</v>
      </c>
      <c r="X85" s="7" t="n">
        <f aca="false">IF(V85&gt;=0,1,0)</f>
        <v>1</v>
      </c>
    </row>
    <row r="86" customFormat="false" ht="15" hidden="false" customHeight="false" outlineLevel="0" collapsed="false">
      <c r="A86" s="7" t="n">
        <v>11</v>
      </c>
      <c r="B86" s="7" t="s">
        <v>400</v>
      </c>
      <c r="C86" s="17" t="n">
        <f aca="false">IF($A86&gt;=Annahmen!$D$118,Annahmen!$D$119,0)</f>
        <v>10</v>
      </c>
      <c r="D86" s="17" t="n">
        <f aca="false">D85+C86</f>
        <v>90</v>
      </c>
      <c r="E86" s="17" t="n">
        <f aca="false">D86*Annahmen!$D$122</f>
        <v>72</v>
      </c>
      <c r="F86" s="18" t="n">
        <f aca="false">E86*Annahmen!$B$125/(1+Annahmen!$B$10)*Annahmen!$B$138</f>
        <v>105.628037383178</v>
      </c>
      <c r="G86" s="17" t="n">
        <f aca="false">IF($A86&gt;=Annahmen!$D$118,Annahmen!$D$120,0)</f>
        <v>6</v>
      </c>
      <c r="H86" s="17" t="n">
        <f aca="false">H85+G86</f>
        <v>54</v>
      </c>
      <c r="I86" s="17" t="n">
        <f aca="false">H86*Annahmen!$D$123</f>
        <v>32.4</v>
      </c>
      <c r="J86" s="18" t="n">
        <f aca="false">I86*Annahmen!$B$126/(1+Annahmen!$B$10)*Annahmen!$B$139</f>
        <v>133.067102803738</v>
      </c>
      <c r="K86" s="17" t="n">
        <f aca="false">IF($A86&gt;=Annahmen!$D$118,Annahmen!$D$121,0)</f>
        <v>6</v>
      </c>
      <c r="L86" s="17" t="n">
        <f aca="false">L85+K86</f>
        <v>54</v>
      </c>
      <c r="M86" s="17" t="n">
        <f aca="false">L86*Annahmen!$D$124</f>
        <v>43.2</v>
      </c>
      <c r="N86" s="18" t="n">
        <f aca="false">M86*Annahmen!$B$127/(1+Annahmen!$B$10)*Annahmen!$B$138</f>
        <v>105.769345794393</v>
      </c>
      <c r="O86" s="17" t="n">
        <f aca="false">IF($A86&gt;=Annahmen!$D$134,Annahmen!$D$135,0)</f>
        <v>2</v>
      </c>
      <c r="P86" s="24" t="n">
        <f aca="false">O86*Annahmen!$B$136</f>
        <v>780</v>
      </c>
      <c r="Q86" s="24" t="n">
        <f aca="false">F86+J86+N86+P86</f>
        <v>1124.46448598131</v>
      </c>
      <c r="R86" s="24" t="n">
        <f aca="false">O86*Annahmen!$B$48+(C86+G86+K86)*Annahmen!$B$137</f>
        <v>17.3434865427531</v>
      </c>
      <c r="S86" s="24" t="n">
        <f aca="false">SUMPRODUCT((((Annahmen!$C$161:$C$174="monatlich")*(Annahmen!$D$161:$D$174&lt;=$A86))+((Annahmen!$C$161:$C$174="einmalig")*(Annahmen!$D$161:$D$174=$A86)))*Annahmen!$B$161:$B$174*Annahmen!$G$161:$G$174)</f>
        <v>28.3604931653712</v>
      </c>
      <c r="T86" s="24" t="n">
        <f aca="false">IF($A86&gt;=Annahmen!$D$118,Annahmen!$D$145,0)</f>
        <v>300</v>
      </c>
      <c r="U86" s="24" t="n">
        <f aca="false">Q86-R86-S86-T86</f>
        <v>778.760506273184</v>
      </c>
      <c r="V86" s="24" t="n">
        <f aca="false">V85+U86</f>
        <v>1824.79246279647</v>
      </c>
      <c r="W86" s="7" t="n">
        <f aca="false">IF(U86&gt;0,1,0)</f>
        <v>1</v>
      </c>
      <c r="X86" s="7" t="n">
        <f aca="false">IF(V86&gt;=0,1,0)</f>
        <v>1</v>
      </c>
    </row>
    <row r="87" customFormat="false" ht="15" hidden="false" customHeight="false" outlineLevel="0" collapsed="false">
      <c r="A87" s="7" t="n">
        <v>12</v>
      </c>
      <c r="B87" s="7" t="s">
        <v>401</v>
      </c>
      <c r="C87" s="17" t="n">
        <f aca="false">IF($A87&gt;=Annahmen!$D$118,Annahmen!$D$119,0)</f>
        <v>10</v>
      </c>
      <c r="D87" s="17" t="n">
        <f aca="false">D86+C87</f>
        <v>100</v>
      </c>
      <c r="E87" s="17" t="n">
        <f aca="false">D87*Annahmen!$D$122</f>
        <v>80</v>
      </c>
      <c r="F87" s="18" t="n">
        <f aca="false">E87*Annahmen!$B$125/(1+Annahmen!$B$10)*Annahmen!$B$138</f>
        <v>117.364485981308</v>
      </c>
      <c r="G87" s="17" t="n">
        <f aca="false">IF($A87&gt;=Annahmen!$D$118,Annahmen!$D$120,0)</f>
        <v>6</v>
      </c>
      <c r="H87" s="17" t="n">
        <f aca="false">H86+G87</f>
        <v>60</v>
      </c>
      <c r="I87" s="17" t="n">
        <f aca="false">H87*Annahmen!$D$123</f>
        <v>36</v>
      </c>
      <c r="J87" s="18" t="n">
        <f aca="false">I87*Annahmen!$B$126/(1+Annahmen!$B$10)*Annahmen!$B$139</f>
        <v>147.852336448598</v>
      </c>
      <c r="K87" s="17" t="n">
        <f aca="false">IF($A87&gt;=Annahmen!$D$118,Annahmen!$D$121,0)</f>
        <v>6</v>
      </c>
      <c r="L87" s="17" t="n">
        <f aca="false">L86+K87</f>
        <v>60</v>
      </c>
      <c r="M87" s="17" t="n">
        <f aca="false">L87*Annahmen!$D$124</f>
        <v>48</v>
      </c>
      <c r="N87" s="18" t="n">
        <f aca="false">M87*Annahmen!$B$127/(1+Annahmen!$B$10)*Annahmen!$B$138</f>
        <v>117.521495327103</v>
      </c>
      <c r="O87" s="17" t="n">
        <f aca="false">IF($A87&gt;=Annahmen!$D$134,Annahmen!$D$135,0)</f>
        <v>2</v>
      </c>
      <c r="P87" s="24" t="n">
        <f aca="false">O87*Annahmen!$B$136</f>
        <v>780</v>
      </c>
      <c r="Q87" s="24" t="n">
        <f aca="false">F87+J87+N87+P87</f>
        <v>1162.73831775701</v>
      </c>
      <c r="R87" s="24" t="n">
        <f aca="false">O87*Annahmen!$B$48+(C87+G87+K87)*Annahmen!$B$137</f>
        <v>17.3434865427531</v>
      </c>
      <c r="S87" s="24" t="n">
        <f aca="false">SUMPRODUCT((((Annahmen!$C$161:$C$174="monatlich")*(Annahmen!$D$161:$D$174&lt;=$A87))+((Annahmen!$C$161:$C$174="einmalig")*(Annahmen!$D$161:$D$174=$A87)))*Annahmen!$B$161:$B$174*Annahmen!$G$161:$G$174)</f>
        <v>28.3604931653712</v>
      </c>
      <c r="T87" s="24" t="n">
        <f aca="false">IF($A87&gt;=Annahmen!$D$118,Annahmen!$D$145,0)</f>
        <v>300</v>
      </c>
      <c r="U87" s="24" t="n">
        <f aca="false">Q87-R87-S87-T87</f>
        <v>817.034338048885</v>
      </c>
      <c r="V87" s="24" t="n">
        <f aca="false">V86+U87</f>
        <v>2641.82680084536</v>
      </c>
      <c r="W87" s="7" t="n">
        <f aca="false">IF(U87&gt;0,1,0)</f>
        <v>1</v>
      </c>
      <c r="X87" s="7" t="n">
        <f aca="false">IF(V87&gt;=0,1,0)</f>
        <v>1</v>
      </c>
    </row>
    <row r="88" customFormat="false" ht="15" hidden="false" customHeight="false" outlineLevel="0" collapsed="false">
      <c r="A88" s="7" t="n">
        <v>13</v>
      </c>
      <c r="B88" s="7" t="s">
        <v>402</v>
      </c>
      <c r="C88" s="17" t="n">
        <f aca="false">IF($A88&gt;=Annahmen!$D$118,Annahmen!$D$119,0)</f>
        <v>10</v>
      </c>
      <c r="D88" s="17" t="n">
        <f aca="false">D87+C88</f>
        <v>110</v>
      </c>
      <c r="E88" s="17" t="n">
        <f aca="false">D88*Annahmen!$D$122</f>
        <v>88</v>
      </c>
      <c r="F88" s="18" t="n">
        <f aca="false">E88*Annahmen!$B$125/(1+Annahmen!$B$10)*Annahmen!$B$138</f>
        <v>129.100934579439</v>
      </c>
      <c r="G88" s="17" t="n">
        <f aca="false">IF($A88&gt;=Annahmen!$D$118,Annahmen!$D$120,0)</f>
        <v>6</v>
      </c>
      <c r="H88" s="17" t="n">
        <f aca="false">H87+G88</f>
        <v>66</v>
      </c>
      <c r="I88" s="17" t="n">
        <f aca="false">H88*Annahmen!$D$123</f>
        <v>39.6</v>
      </c>
      <c r="J88" s="18" t="n">
        <f aca="false">I88*Annahmen!$B$126/(1+Annahmen!$B$10)*Annahmen!$B$139</f>
        <v>162.637570093458</v>
      </c>
      <c r="K88" s="17" t="n">
        <f aca="false">IF($A88&gt;=Annahmen!$D$118,Annahmen!$D$121,0)</f>
        <v>6</v>
      </c>
      <c r="L88" s="17" t="n">
        <f aca="false">L87+K88</f>
        <v>66</v>
      </c>
      <c r="M88" s="17" t="n">
        <f aca="false">L88*Annahmen!$D$124</f>
        <v>52.8</v>
      </c>
      <c r="N88" s="18" t="n">
        <f aca="false">M88*Annahmen!$B$127/(1+Annahmen!$B$10)*Annahmen!$B$138</f>
        <v>129.273644859813</v>
      </c>
      <c r="O88" s="17" t="n">
        <f aca="false">IF($A88&gt;=Annahmen!$D$134,Annahmen!$D$135,0)</f>
        <v>2</v>
      </c>
      <c r="P88" s="24" t="n">
        <f aca="false">O88*Annahmen!$B$136</f>
        <v>780</v>
      </c>
      <c r="Q88" s="24" t="n">
        <f aca="false">F88+J88+N88+P88</f>
        <v>1201.01214953271</v>
      </c>
      <c r="R88" s="24" t="n">
        <f aca="false">O88*Annahmen!$B$48+(C88+G88+K88)*Annahmen!$B$137</f>
        <v>17.3434865427531</v>
      </c>
      <c r="S88" s="24" t="n">
        <f aca="false">SUMPRODUCT((((Annahmen!$C$161:$C$174="monatlich")*(Annahmen!$D$161:$D$174&lt;=$A88))+((Annahmen!$C$161:$C$174="einmalig")*(Annahmen!$D$161:$D$174=$A88)))*Annahmen!$B$161:$B$174*Annahmen!$G$161:$G$174)</f>
        <v>28.3604931653712</v>
      </c>
      <c r="T88" s="24" t="n">
        <f aca="false">IF($A88&gt;=Annahmen!$D$118,Annahmen!$D$145,0)</f>
        <v>300</v>
      </c>
      <c r="U88" s="24" t="n">
        <f aca="false">Q88-R88-S88-T88</f>
        <v>855.308169824586</v>
      </c>
      <c r="V88" s="24" t="n">
        <f aca="false">V87+U88</f>
        <v>3497.13497066994</v>
      </c>
      <c r="W88" s="7" t="n">
        <f aca="false">IF(U88&gt;0,1,0)</f>
        <v>1</v>
      </c>
      <c r="X88" s="7" t="n">
        <f aca="false">IF(V88&gt;=0,1,0)</f>
        <v>1</v>
      </c>
    </row>
    <row r="89" customFormat="false" ht="15" hidden="false" customHeight="false" outlineLevel="0" collapsed="false">
      <c r="A89" s="7" t="n">
        <v>14</v>
      </c>
      <c r="B89" s="7" t="s">
        <v>403</v>
      </c>
      <c r="C89" s="17" t="n">
        <f aca="false">IF($A89&gt;=Annahmen!$D$118,Annahmen!$D$119,0)</f>
        <v>10</v>
      </c>
      <c r="D89" s="17" t="n">
        <f aca="false">D88+C89</f>
        <v>120</v>
      </c>
      <c r="E89" s="17" t="n">
        <f aca="false">D89*Annahmen!$D$122</f>
        <v>96</v>
      </c>
      <c r="F89" s="18" t="n">
        <f aca="false">E89*Annahmen!$B$125/(1+Annahmen!$B$10)*Annahmen!$B$138</f>
        <v>140.83738317757</v>
      </c>
      <c r="G89" s="17" t="n">
        <f aca="false">IF($A89&gt;=Annahmen!$D$118,Annahmen!$D$120,0)</f>
        <v>6</v>
      </c>
      <c r="H89" s="17" t="n">
        <f aca="false">H88+G89</f>
        <v>72</v>
      </c>
      <c r="I89" s="17" t="n">
        <f aca="false">H89*Annahmen!$D$123</f>
        <v>43.2</v>
      </c>
      <c r="J89" s="18" t="n">
        <f aca="false">I89*Annahmen!$B$126/(1+Annahmen!$B$10)*Annahmen!$B$139</f>
        <v>177.422803738318</v>
      </c>
      <c r="K89" s="17" t="n">
        <f aca="false">IF($A89&gt;=Annahmen!$D$118,Annahmen!$D$121,0)</f>
        <v>6</v>
      </c>
      <c r="L89" s="17" t="n">
        <f aca="false">L88+K89</f>
        <v>72</v>
      </c>
      <c r="M89" s="17" t="n">
        <f aca="false">L89*Annahmen!$D$124</f>
        <v>57.6</v>
      </c>
      <c r="N89" s="18" t="n">
        <f aca="false">M89*Annahmen!$B$127/(1+Annahmen!$B$10)*Annahmen!$B$138</f>
        <v>141.025794392523</v>
      </c>
      <c r="O89" s="17" t="n">
        <f aca="false">IF($A89&gt;=Annahmen!$D$134,Annahmen!$D$135,0)</f>
        <v>2</v>
      </c>
      <c r="P89" s="24" t="n">
        <f aca="false">O89*Annahmen!$B$136</f>
        <v>780</v>
      </c>
      <c r="Q89" s="24" t="n">
        <f aca="false">F89+J89+N89+P89</f>
        <v>1239.28598130841</v>
      </c>
      <c r="R89" s="24" t="n">
        <f aca="false">O89*Annahmen!$B$48+(C89+G89+K89)*Annahmen!$B$137</f>
        <v>17.3434865427531</v>
      </c>
      <c r="S89" s="24" t="n">
        <f aca="false">SUMPRODUCT((((Annahmen!$C$161:$C$174="monatlich")*(Annahmen!$D$161:$D$174&lt;=$A89))+((Annahmen!$C$161:$C$174="einmalig")*(Annahmen!$D$161:$D$174=$A89)))*Annahmen!$B$161:$B$174*Annahmen!$G$161:$G$174)</f>
        <v>28.3604931653712</v>
      </c>
      <c r="T89" s="24" t="n">
        <f aca="false">IF($A89&gt;=Annahmen!$D$118,Annahmen!$D$145,0)</f>
        <v>300</v>
      </c>
      <c r="U89" s="24" t="n">
        <f aca="false">Q89-R89-S89-T89</f>
        <v>893.582001600287</v>
      </c>
      <c r="V89" s="24" t="n">
        <f aca="false">V88+U89</f>
        <v>4390.71697227023</v>
      </c>
      <c r="W89" s="7" t="n">
        <f aca="false">IF(U89&gt;0,1,0)</f>
        <v>1</v>
      </c>
      <c r="X89" s="7" t="n">
        <f aca="false">IF(V89&gt;=0,1,0)</f>
        <v>1</v>
      </c>
    </row>
    <row r="90" customFormat="false" ht="15" hidden="false" customHeight="false" outlineLevel="0" collapsed="false">
      <c r="A90" s="7" t="n">
        <v>15</v>
      </c>
      <c r="B90" s="7" t="s">
        <v>404</v>
      </c>
      <c r="C90" s="17" t="n">
        <f aca="false">IF($A90&gt;=Annahmen!$D$118,Annahmen!$D$119,0)</f>
        <v>10</v>
      </c>
      <c r="D90" s="17" t="n">
        <f aca="false">D89+C90</f>
        <v>130</v>
      </c>
      <c r="E90" s="17" t="n">
        <f aca="false">D90*Annahmen!$D$122</f>
        <v>104</v>
      </c>
      <c r="F90" s="18" t="n">
        <f aca="false">E90*Annahmen!$B$125/(1+Annahmen!$B$10)*Annahmen!$B$138</f>
        <v>152.573831775701</v>
      </c>
      <c r="G90" s="17" t="n">
        <f aca="false">IF($A90&gt;=Annahmen!$D$118,Annahmen!$D$120,0)</f>
        <v>6</v>
      </c>
      <c r="H90" s="17" t="n">
        <f aca="false">H89+G90</f>
        <v>78</v>
      </c>
      <c r="I90" s="17" t="n">
        <f aca="false">H90*Annahmen!$D$123</f>
        <v>46.8</v>
      </c>
      <c r="J90" s="18" t="n">
        <f aca="false">I90*Annahmen!$B$126/(1+Annahmen!$B$10)*Annahmen!$B$139</f>
        <v>192.208037383178</v>
      </c>
      <c r="K90" s="17" t="n">
        <f aca="false">IF($A90&gt;=Annahmen!$D$118,Annahmen!$D$121,0)</f>
        <v>6</v>
      </c>
      <c r="L90" s="17" t="n">
        <f aca="false">L89+K90</f>
        <v>78</v>
      </c>
      <c r="M90" s="17" t="n">
        <f aca="false">L90*Annahmen!$D$124</f>
        <v>62.4</v>
      </c>
      <c r="N90" s="18" t="n">
        <f aca="false">M90*Annahmen!$B$127/(1+Annahmen!$B$10)*Annahmen!$B$138</f>
        <v>152.777943925234</v>
      </c>
      <c r="O90" s="17" t="n">
        <f aca="false">IF($A90&gt;=Annahmen!$D$134,Annahmen!$D$135,0)</f>
        <v>2</v>
      </c>
      <c r="P90" s="24" t="n">
        <f aca="false">O90*Annahmen!$B$136</f>
        <v>780</v>
      </c>
      <c r="Q90" s="24" t="n">
        <f aca="false">F90+J90+N90+P90</f>
        <v>1277.55981308411</v>
      </c>
      <c r="R90" s="24" t="n">
        <f aca="false">O90*Annahmen!$B$48+(C90+G90+K90)*Annahmen!$B$137</f>
        <v>17.3434865427531</v>
      </c>
      <c r="S90" s="24" t="n">
        <f aca="false">SUMPRODUCT((((Annahmen!$C$161:$C$174="monatlich")*(Annahmen!$D$161:$D$174&lt;=$A90))+((Annahmen!$C$161:$C$174="einmalig")*(Annahmen!$D$161:$D$174=$A90)))*Annahmen!$B$161:$B$174*Annahmen!$G$161:$G$174)</f>
        <v>28.3604931653712</v>
      </c>
      <c r="T90" s="24" t="n">
        <f aca="false">IF($A90&gt;=Annahmen!$D$118,Annahmen!$D$145,0)</f>
        <v>300</v>
      </c>
      <c r="U90" s="24" t="n">
        <f aca="false">Q90-R90-S90-T90</f>
        <v>931.855833375988</v>
      </c>
      <c r="V90" s="24" t="n">
        <f aca="false">V89+U90</f>
        <v>5322.57280564622</v>
      </c>
      <c r="W90" s="7" t="n">
        <f aca="false">IF(U90&gt;0,1,0)</f>
        <v>1</v>
      </c>
      <c r="X90" s="7" t="n">
        <f aca="false">IF(V90&gt;=0,1,0)</f>
        <v>1</v>
      </c>
    </row>
    <row r="91" customFormat="false" ht="15" hidden="false" customHeight="false" outlineLevel="0" collapsed="false">
      <c r="A91" s="7" t="n">
        <v>16</v>
      </c>
      <c r="B91" s="7" t="s">
        <v>405</v>
      </c>
      <c r="C91" s="17" t="n">
        <f aca="false">IF($A91&gt;=Annahmen!$D$118,Annahmen!$D$119,0)</f>
        <v>10</v>
      </c>
      <c r="D91" s="17" t="n">
        <f aca="false">D90+C91</f>
        <v>140</v>
      </c>
      <c r="E91" s="17" t="n">
        <f aca="false">D91*Annahmen!$D$122</f>
        <v>112</v>
      </c>
      <c r="F91" s="18" t="n">
        <f aca="false">E91*Annahmen!$B$125/(1+Annahmen!$B$10)*Annahmen!$B$138</f>
        <v>164.310280373832</v>
      </c>
      <c r="G91" s="17" t="n">
        <f aca="false">IF($A91&gt;=Annahmen!$D$118,Annahmen!$D$120,0)</f>
        <v>6</v>
      </c>
      <c r="H91" s="17" t="n">
        <f aca="false">H90+G91</f>
        <v>84</v>
      </c>
      <c r="I91" s="17" t="n">
        <f aca="false">H91*Annahmen!$D$123</f>
        <v>50.4</v>
      </c>
      <c r="J91" s="18" t="n">
        <f aca="false">I91*Annahmen!$B$126/(1+Annahmen!$B$10)*Annahmen!$B$139</f>
        <v>206.993271028037</v>
      </c>
      <c r="K91" s="17" t="n">
        <f aca="false">IF($A91&gt;=Annahmen!$D$118,Annahmen!$D$121,0)</f>
        <v>6</v>
      </c>
      <c r="L91" s="17" t="n">
        <f aca="false">L90+K91</f>
        <v>84</v>
      </c>
      <c r="M91" s="17" t="n">
        <f aca="false">L91*Annahmen!$D$124</f>
        <v>67.2</v>
      </c>
      <c r="N91" s="18" t="n">
        <f aca="false">M91*Annahmen!$B$127/(1+Annahmen!$B$10)*Annahmen!$B$138</f>
        <v>164.530093457944</v>
      </c>
      <c r="O91" s="17" t="n">
        <f aca="false">IF($A91&gt;=Annahmen!$D$134,Annahmen!$D$135,0)</f>
        <v>2</v>
      </c>
      <c r="P91" s="24" t="n">
        <f aca="false">O91*Annahmen!$B$136</f>
        <v>780</v>
      </c>
      <c r="Q91" s="24" t="n">
        <f aca="false">F91+J91+N91+P91</f>
        <v>1315.83364485981</v>
      </c>
      <c r="R91" s="24" t="n">
        <f aca="false">O91*Annahmen!$B$48+(C91+G91+K91)*Annahmen!$B$137</f>
        <v>17.3434865427531</v>
      </c>
      <c r="S91" s="24" t="n">
        <f aca="false">SUMPRODUCT((((Annahmen!$C$161:$C$174="monatlich")*(Annahmen!$D$161:$D$174&lt;=$A91))+((Annahmen!$C$161:$C$174="einmalig")*(Annahmen!$D$161:$D$174=$A91)))*Annahmen!$B$161:$B$174*Annahmen!$G$161:$G$174)</f>
        <v>28.3604931653712</v>
      </c>
      <c r="T91" s="24" t="n">
        <f aca="false">IF($A91&gt;=Annahmen!$D$118,Annahmen!$D$145,0)</f>
        <v>300</v>
      </c>
      <c r="U91" s="24" t="n">
        <f aca="false">Q91-R91-S91-T91</f>
        <v>970.129665151689</v>
      </c>
      <c r="V91" s="24" t="n">
        <f aca="false">V90+U91</f>
        <v>6292.70247079791</v>
      </c>
      <c r="W91" s="7" t="n">
        <f aca="false">IF(U91&gt;0,1,0)</f>
        <v>1</v>
      </c>
      <c r="X91" s="7" t="n">
        <f aca="false">IF(V91&gt;=0,1,0)</f>
        <v>1</v>
      </c>
    </row>
    <row r="92" customFormat="false" ht="15" hidden="false" customHeight="false" outlineLevel="0" collapsed="false">
      <c r="A92" s="7" t="n">
        <v>17</v>
      </c>
      <c r="B92" s="7" t="s">
        <v>406</v>
      </c>
      <c r="C92" s="17" t="n">
        <f aca="false">IF($A92&gt;=Annahmen!$D$118,Annahmen!$D$119,0)</f>
        <v>10</v>
      </c>
      <c r="D92" s="17" t="n">
        <f aca="false">D91+C92</f>
        <v>150</v>
      </c>
      <c r="E92" s="17" t="n">
        <f aca="false">D92*Annahmen!$D$122</f>
        <v>120</v>
      </c>
      <c r="F92" s="18" t="n">
        <f aca="false">E92*Annahmen!$B$125/(1+Annahmen!$B$10)*Annahmen!$B$138</f>
        <v>176.046728971963</v>
      </c>
      <c r="G92" s="17" t="n">
        <f aca="false">IF($A92&gt;=Annahmen!$D$118,Annahmen!$D$120,0)</f>
        <v>6</v>
      </c>
      <c r="H92" s="17" t="n">
        <f aca="false">H91+G92</f>
        <v>90</v>
      </c>
      <c r="I92" s="17" t="n">
        <f aca="false">H92*Annahmen!$D$123</f>
        <v>54</v>
      </c>
      <c r="J92" s="18" t="n">
        <f aca="false">I92*Annahmen!$B$126/(1+Annahmen!$B$10)*Annahmen!$B$139</f>
        <v>221.778504672897</v>
      </c>
      <c r="K92" s="17" t="n">
        <f aca="false">IF($A92&gt;=Annahmen!$D$118,Annahmen!$D$121,0)</f>
        <v>6</v>
      </c>
      <c r="L92" s="17" t="n">
        <f aca="false">L91+K92</f>
        <v>90</v>
      </c>
      <c r="M92" s="17" t="n">
        <f aca="false">L92*Annahmen!$D$124</f>
        <v>72</v>
      </c>
      <c r="N92" s="18" t="n">
        <f aca="false">M92*Annahmen!$B$127/(1+Annahmen!$B$10)*Annahmen!$B$138</f>
        <v>176.282242990654</v>
      </c>
      <c r="O92" s="17" t="n">
        <f aca="false">IF($A92&gt;=Annahmen!$D$134,Annahmen!$D$135,0)</f>
        <v>2</v>
      </c>
      <c r="P92" s="24" t="n">
        <f aca="false">O92*Annahmen!$B$136</f>
        <v>780</v>
      </c>
      <c r="Q92" s="24" t="n">
        <f aca="false">F92+J92+N92+P92</f>
        <v>1354.10747663551</v>
      </c>
      <c r="R92" s="24" t="n">
        <f aca="false">O92*Annahmen!$B$48+(C92+G92+K92)*Annahmen!$B$137</f>
        <v>17.3434865427531</v>
      </c>
      <c r="S92" s="24" t="n">
        <f aca="false">SUMPRODUCT((((Annahmen!$C$161:$C$174="monatlich")*(Annahmen!$D$161:$D$174&lt;=$A92))+((Annahmen!$C$161:$C$174="einmalig")*(Annahmen!$D$161:$D$174=$A92)))*Annahmen!$B$161:$B$174*Annahmen!$G$161:$G$174)</f>
        <v>28.3604931653712</v>
      </c>
      <c r="T92" s="24" t="n">
        <f aca="false">IF($A92&gt;=Annahmen!$D$118,Annahmen!$D$145,0)</f>
        <v>300</v>
      </c>
      <c r="U92" s="24" t="n">
        <f aca="false">Q92-R92-S92-T92</f>
        <v>1008.40349692739</v>
      </c>
      <c r="V92" s="24" t="n">
        <f aca="false">V91+U92</f>
        <v>7301.1059677253</v>
      </c>
      <c r="W92" s="7" t="n">
        <f aca="false">IF(U92&gt;0,1,0)</f>
        <v>1</v>
      </c>
      <c r="X92" s="7" t="n">
        <f aca="false">IF(V92&gt;=0,1,0)</f>
        <v>1</v>
      </c>
    </row>
    <row r="93" customFormat="false" ht="15" hidden="false" customHeight="false" outlineLevel="0" collapsed="false">
      <c r="A93" s="7" t="n">
        <v>18</v>
      </c>
      <c r="B93" s="7" t="s">
        <v>407</v>
      </c>
      <c r="C93" s="17" t="n">
        <f aca="false">IF($A93&gt;=Annahmen!$D$118,Annahmen!$D$119,0)</f>
        <v>10</v>
      </c>
      <c r="D93" s="17" t="n">
        <f aca="false">D92+C93</f>
        <v>160</v>
      </c>
      <c r="E93" s="17" t="n">
        <f aca="false">D93*Annahmen!$D$122</f>
        <v>128</v>
      </c>
      <c r="F93" s="18" t="n">
        <f aca="false">E93*Annahmen!$B$125/(1+Annahmen!$B$10)*Annahmen!$B$138</f>
        <v>187.783177570093</v>
      </c>
      <c r="G93" s="17" t="n">
        <f aca="false">IF($A93&gt;=Annahmen!$D$118,Annahmen!$D$120,0)</f>
        <v>6</v>
      </c>
      <c r="H93" s="17" t="n">
        <f aca="false">H92+G93</f>
        <v>96</v>
      </c>
      <c r="I93" s="17" t="n">
        <f aca="false">H93*Annahmen!$D$123</f>
        <v>57.6</v>
      </c>
      <c r="J93" s="18" t="n">
        <f aca="false">I93*Annahmen!$B$126/(1+Annahmen!$B$10)*Annahmen!$B$139</f>
        <v>236.563738317757</v>
      </c>
      <c r="K93" s="17" t="n">
        <f aca="false">IF($A93&gt;=Annahmen!$D$118,Annahmen!$D$121,0)</f>
        <v>6</v>
      </c>
      <c r="L93" s="17" t="n">
        <f aca="false">L92+K93</f>
        <v>96</v>
      </c>
      <c r="M93" s="17" t="n">
        <f aca="false">L93*Annahmen!$D$124</f>
        <v>76.8</v>
      </c>
      <c r="N93" s="18" t="n">
        <f aca="false">M93*Annahmen!$B$127/(1+Annahmen!$B$10)*Annahmen!$B$138</f>
        <v>188.034392523364</v>
      </c>
      <c r="O93" s="17" t="n">
        <f aca="false">IF($A93&gt;=Annahmen!$D$134,Annahmen!$D$135,0)</f>
        <v>2</v>
      </c>
      <c r="P93" s="24" t="n">
        <f aca="false">O93*Annahmen!$B$136</f>
        <v>780</v>
      </c>
      <c r="Q93" s="24" t="n">
        <f aca="false">F93+J93+N93+P93</f>
        <v>1392.38130841121</v>
      </c>
      <c r="R93" s="24" t="n">
        <f aca="false">O93*Annahmen!$B$48+(C93+G93+K93)*Annahmen!$B$137</f>
        <v>17.3434865427531</v>
      </c>
      <c r="S93" s="24" t="n">
        <f aca="false">SUMPRODUCT((((Annahmen!$C$161:$C$174="monatlich")*(Annahmen!$D$161:$D$174&lt;=$A93))+((Annahmen!$C$161:$C$174="einmalig")*(Annahmen!$D$161:$D$174=$A93)))*Annahmen!$B$161:$B$174*Annahmen!$G$161:$G$174)</f>
        <v>28.3604931653712</v>
      </c>
      <c r="T93" s="24" t="n">
        <f aca="false">IF($A93&gt;=Annahmen!$D$118,Annahmen!$D$145,0)</f>
        <v>300</v>
      </c>
      <c r="U93" s="24" t="n">
        <f aca="false">Q93-R93-S93-T93</f>
        <v>1046.67732870309</v>
      </c>
      <c r="V93" s="24" t="n">
        <f aca="false">V92+U93</f>
        <v>8347.78329642839</v>
      </c>
      <c r="W93" s="7" t="n">
        <f aca="false">IF(U93&gt;0,1,0)</f>
        <v>1</v>
      </c>
      <c r="X93" s="7" t="n">
        <f aca="false">IF(V93&gt;=0,1,0)</f>
        <v>1</v>
      </c>
    </row>
    <row r="94" customFormat="false" ht="15" hidden="false" customHeight="false" outlineLevel="0" collapsed="false">
      <c r="A94" s="7" t="n">
        <v>19</v>
      </c>
      <c r="B94" s="7" t="s">
        <v>408</v>
      </c>
      <c r="C94" s="17" t="n">
        <f aca="false">IF($A94&gt;=Annahmen!$D$118,Annahmen!$D$119,0)</f>
        <v>10</v>
      </c>
      <c r="D94" s="17" t="n">
        <f aca="false">D93+C94</f>
        <v>170</v>
      </c>
      <c r="E94" s="17" t="n">
        <f aca="false">D94*Annahmen!$D$122</f>
        <v>136</v>
      </c>
      <c r="F94" s="18" t="n">
        <f aca="false">E94*Annahmen!$B$125/(1+Annahmen!$B$10)*Annahmen!$B$138</f>
        <v>199.519626168224</v>
      </c>
      <c r="G94" s="17" t="n">
        <f aca="false">IF($A94&gt;=Annahmen!$D$118,Annahmen!$D$120,0)</f>
        <v>6</v>
      </c>
      <c r="H94" s="17" t="n">
        <f aca="false">H93+G94</f>
        <v>102</v>
      </c>
      <c r="I94" s="17" t="n">
        <f aca="false">H94*Annahmen!$D$123</f>
        <v>61.2</v>
      </c>
      <c r="J94" s="18" t="n">
        <f aca="false">I94*Annahmen!$B$126/(1+Annahmen!$B$10)*Annahmen!$B$139</f>
        <v>251.348971962617</v>
      </c>
      <c r="K94" s="17" t="n">
        <f aca="false">IF($A94&gt;=Annahmen!$D$118,Annahmen!$D$121,0)</f>
        <v>6</v>
      </c>
      <c r="L94" s="17" t="n">
        <f aca="false">L93+K94</f>
        <v>102</v>
      </c>
      <c r="M94" s="17" t="n">
        <f aca="false">L94*Annahmen!$D$124</f>
        <v>81.6</v>
      </c>
      <c r="N94" s="18" t="n">
        <f aca="false">M94*Annahmen!$B$127/(1+Annahmen!$B$10)*Annahmen!$B$138</f>
        <v>199.786542056075</v>
      </c>
      <c r="O94" s="17" t="n">
        <f aca="false">IF($A94&gt;=Annahmen!$D$134,Annahmen!$D$135,0)</f>
        <v>2</v>
      </c>
      <c r="P94" s="24" t="n">
        <f aca="false">O94*Annahmen!$B$136</f>
        <v>780</v>
      </c>
      <c r="Q94" s="24" t="n">
        <f aca="false">F94+J94+N94+P94</f>
        <v>1430.65514018692</v>
      </c>
      <c r="R94" s="24" t="n">
        <f aca="false">O94*Annahmen!$B$48+(C94+G94+K94)*Annahmen!$B$137</f>
        <v>17.3434865427531</v>
      </c>
      <c r="S94" s="24" t="n">
        <f aca="false">SUMPRODUCT((((Annahmen!$C$161:$C$174="monatlich")*(Annahmen!$D$161:$D$174&lt;=$A94))+((Annahmen!$C$161:$C$174="einmalig")*(Annahmen!$D$161:$D$174=$A94)))*Annahmen!$B$161:$B$174*Annahmen!$G$161:$G$174)</f>
        <v>28.3604931653712</v>
      </c>
      <c r="T94" s="24" t="n">
        <f aca="false">IF($A94&gt;=Annahmen!$D$118,Annahmen!$D$145,0)</f>
        <v>300</v>
      </c>
      <c r="U94" s="24" t="n">
        <f aca="false">Q94-R94-S94-T94</f>
        <v>1084.95116047879</v>
      </c>
      <c r="V94" s="24" t="n">
        <f aca="false">V93+U94</f>
        <v>9432.73445690718</v>
      </c>
      <c r="W94" s="7" t="n">
        <f aca="false">IF(U94&gt;0,1,0)</f>
        <v>1</v>
      </c>
      <c r="X94" s="7" t="n">
        <f aca="false">IF(V94&gt;=0,1,0)</f>
        <v>1</v>
      </c>
    </row>
    <row r="95" customFormat="false" ht="15" hidden="false" customHeight="false" outlineLevel="0" collapsed="false">
      <c r="A95" s="7" t="n">
        <v>20</v>
      </c>
      <c r="B95" s="7" t="s">
        <v>409</v>
      </c>
      <c r="C95" s="17" t="n">
        <f aca="false">IF($A95&gt;=Annahmen!$D$118,Annahmen!$D$119,0)</f>
        <v>10</v>
      </c>
      <c r="D95" s="17" t="n">
        <f aca="false">D94+C95</f>
        <v>180</v>
      </c>
      <c r="E95" s="17" t="n">
        <f aca="false">D95*Annahmen!$D$122</f>
        <v>144</v>
      </c>
      <c r="F95" s="18" t="n">
        <f aca="false">E95*Annahmen!$B$125/(1+Annahmen!$B$10)*Annahmen!$B$138</f>
        <v>211.256074766355</v>
      </c>
      <c r="G95" s="17" t="n">
        <f aca="false">IF($A95&gt;=Annahmen!$D$118,Annahmen!$D$120,0)</f>
        <v>6</v>
      </c>
      <c r="H95" s="17" t="n">
        <f aca="false">H94+G95</f>
        <v>108</v>
      </c>
      <c r="I95" s="17" t="n">
        <f aca="false">H95*Annahmen!$D$123</f>
        <v>64.8</v>
      </c>
      <c r="J95" s="18" t="n">
        <f aca="false">I95*Annahmen!$B$126/(1+Annahmen!$B$10)*Annahmen!$B$139</f>
        <v>266.134205607477</v>
      </c>
      <c r="K95" s="17" t="n">
        <f aca="false">IF($A95&gt;=Annahmen!$D$118,Annahmen!$D$121,0)</f>
        <v>6</v>
      </c>
      <c r="L95" s="17" t="n">
        <f aca="false">L94+K95</f>
        <v>108</v>
      </c>
      <c r="M95" s="17" t="n">
        <f aca="false">L95*Annahmen!$D$124</f>
        <v>86.4</v>
      </c>
      <c r="N95" s="18" t="n">
        <f aca="false">M95*Annahmen!$B$127/(1+Annahmen!$B$10)*Annahmen!$B$138</f>
        <v>211.538691588785</v>
      </c>
      <c r="O95" s="17" t="n">
        <f aca="false">IF($A95&gt;=Annahmen!$D$134,Annahmen!$D$135,0)</f>
        <v>2</v>
      </c>
      <c r="P95" s="24" t="n">
        <f aca="false">O95*Annahmen!$B$136</f>
        <v>780</v>
      </c>
      <c r="Q95" s="24" t="n">
        <f aca="false">F95+J95+N95+P95</f>
        <v>1468.92897196262</v>
      </c>
      <c r="R95" s="24" t="n">
        <f aca="false">O95*Annahmen!$B$48+(C95+G95+K95)*Annahmen!$B$137</f>
        <v>17.3434865427531</v>
      </c>
      <c r="S95" s="24" t="n">
        <f aca="false">SUMPRODUCT((((Annahmen!$C$161:$C$174="monatlich")*(Annahmen!$D$161:$D$174&lt;=$A95))+((Annahmen!$C$161:$C$174="einmalig")*(Annahmen!$D$161:$D$174=$A95)))*Annahmen!$B$161:$B$174*Annahmen!$G$161:$G$174)</f>
        <v>28.3604931653712</v>
      </c>
      <c r="T95" s="24" t="n">
        <f aca="false">IF($A95&gt;=Annahmen!$D$118,Annahmen!$D$145,0)</f>
        <v>300</v>
      </c>
      <c r="U95" s="24" t="n">
        <f aca="false">Q95-R95-S95-T95</f>
        <v>1123.22499225449</v>
      </c>
      <c r="V95" s="24" t="n">
        <f aca="false">V94+U95</f>
        <v>10555.9594491617</v>
      </c>
      <c r="W95" s="7" t="n">
        <f aca="false">IF(U95&gt;0,1,0)</f>
        <v>1</v>
      </c>
      <c r="X95" s="7" t="n">
        <f aca="false">IF(V95&gt;=0,1,0)</f>
        <v>1</v>
      </c>
    </row>
    <row r="96" customFormat="false" ht="15" hidden="false" customHeight="false" outlineLevel="0" collapsed="false">
      <c r="A96" s="7" t="n">
        <v>21</v>
      </c>
      <c r="B96" s="7" t="s">
        <v>410</v>
      </c>
      <c r="C96" s="17" t="n">
        <f aca="false">IF($A96&gt;=Annahmen!$D$118,Annahmen!$D$119,0)</f>
        <v>10</v>
      </c>
      <c r="D96" s="17" t="n">
        <f aca="false">D95+C96</f>
        <v>190</v>
      </c>
      <c r="E96" s="17" t="n">
        <f aca="false">D96*Annahmen!$D$122</f>
        <v>152</v>
      </c>
      <c r="F96" s="18" t="n">
        <f aca="false">E96*Annahmen!$B$125/(1+Annahmen!$B$10)*Annahmen!$B$138</f>
        <v>222.992523364486</v>
      </c>
      <c r="G96" s="17" t="n">
        <f aca="false">IF($A96&gt;=Annahmen!$D$118,Annahmen!$D$120,0)</f>
        <v>6</v>
      </c>
      <c r="H96" s="17" t="n">
        <f aca="false">H95+G96</f>
        <v>114</v>
      </c>
      <c r="I96" s="17" t="n">
        <f aca="false">H96*Annahmen!$D$123</f>
        <v>68.4</v>
      </c>
      <c r="J96" s="18" t="n">
        <f aca="false">I96*Annahmen!$B$126/(1+Annahmen!$B$10)*Annahmen!$B$139</f>
        <v>280.919439252336</v>
      </c>
      <c r="K96" s="17" t="n">
        <f aca="false">IF($A96&gt;=Annahmen!$D$118,Annahmen!$D$121,0)</f>
        <v>6</v>
      </c>
      <c r="L96" s="17" t="n">
        <f aca="false">L95+K96</f>
        <v>114</v>
      </c>
      <c r="M96" s="17" t="n">
        <f aca="false">L96*Annahmen!$D$124</f>
        <v>91.2</v>
      </c>
      <c r="N96" s="18" t="n">
        <f aca="false">M96*Annahmen!$B$127/(1+Annahmen!$B$10)*Annahmen!$B$138</f>
        <v>223.290841121495</v>
      </c>
      <c r="O96" s="17" t="n">
        <f aca="false">IF($A96&gt;=Annahmen!$D$134,Annahmen!$D$135,0)</f>
        <v>2</v>
      </c>
      <c r="P96" s="24" t="n">
        <f aca="false">O96*Annahmen!$B$136</f>
        <v>780</v>
      </c>
      <c r="Q96" s="24" t="n">
        <f aca="false">F96+J96+N96+P96</f>
        <v>1507.20280373832</v>
      </c>
      <c r="R96" s="24" t="n">
        <f aca="false">O96*Annahmen!$B$48+(C96+G96+K96)*Annahmen!$B$137</f>
        <v>17.3434865427531</v>
      </c>
      <c r="S96" s="24" t="n">
        <f aca="false">SUMPRODUCT((((Annahmen!$C$161:$C$174="monatlich")*(Annahmen!$D$161:$D$174&lt;=$A96))+((Annahmen!$C$161:$C$174="einmalig")*(Annahmen!$D$161:$D$174=$A96)))*Annahmen!$B$161:$B$174*Annahmen!$G$161:$G$174)</f>
        <v>28.3604931653712</v>
      </c>
      <c r="T96" s="24" t="n">
        <f aca="false">IF($A96&gt;=Annahmen!$D$118,Annahmen!$D$145,0)</f>
        <v>300</v>
      </c>
      <c r="U96" s="24" t="n">
        <f aca="false">Q96-R96-S96-T96</f>
        <v>1161.49882403019</v>
      </c>
      <c r="V96" s="24" t="n">
        <f aca="false">V95+U96</f>
        <v>11717.4582731919</v>
      </c>
      <c r="W96" s="7" t="n">
        <f aca="false">IF(U96&gt;0,1,0)</f>
        <v>1</v>
      </c>
      <c r="X96" s="7" t="n">
        <f aca="false">IF(V96&gt;=0,1,0)</f>
        <v>1</v>
      </c>
    </row>
    <row r="97" customFormat="false" ht="15" hidden="false" customHeight="false" outlineLevel="0" collapsed="false">
      <c r="A97" s="7" t="n">
        <v>22</v>
      </c>
      <c r="B97" s="7" t="s">
        <v>411</v>
      </c>
      <c r="C97" s="17" t="n">
        <f aca="false">IF($A97&gt;=Annahmen!$D$118,Annahmen!$D$119,0)</f>
        <v>10</v>
      </c>
      <c r="D97" s="17" t="n">
        <f aca="false">D96+C97</f>
        <v>200</v>
      </c>
      <c r="E97" s="17" t="n">
        <f aca="false">D97*Annahmen!$D$122</f>
        <v>160</v>
      </c>
      <c r="F97" s="18" t="n">
        <f aca="false">E97*Annahmen!$B$125/(1+Annahmen!$B$10)*Annahmen!$B$138</f>
        <v>234.728971962617</v>
      </c>
      <c r="G97" s="17" t="n">
        <f aca="false">IF($A97&gt;=Annahmen!$D$118,Annahmen!$D$120,0)</f>
        <v>6</v>
      </c>
      <c r="H97" s="17" t="n">
        <f aca="false">H96+G97</f>
        <v>120</v>
      </c>
      <c r="I97" s="17" t="n">
        <f aca="false">H97*Annahmen!$D$123</f>
        <v>72</v>
      </c>
      <c r="J97" s="18" t="n">
        <f aca="false">I97*Annahmen!$B$126/(1+Annahmen!$B$10)*Annahmen!$B$139</f>
        <v>295.704672897196</v>
      </c>
      <c r="K97" s="17" t="n">
        <f aca="false">IF($A97&gt;=Annahmen!$D$118,Annahmen!$D$121,0)</f>
        <v>6</v>
      </c>
      <c r="L97" s="17" t="n">
        <f aca="false">L96+K97</f>
        <v>120</v>
      </c>
      <c r="M97" s="17" t="n">
        <f aca="false">L97*Annahmen!$D$124</f>
        <v>96</v>
      </c>
      <c r="N97" s="18" t="n">
        <f aca="false">M97*Annahmen!$B$127/(1+Annahmen!$B$10)*Annahmen!$B$138</f>
        <v>235.042990654206</v>
      </c>
      <c r="O97" s="17" t="n">
        <f aca="false">IF($A97&gt;=Annahmen!$D$134,Annahmen!$D$135,0)</f>
        <v>2</v>
      </c>
      <c r="P97" s="24" t="n">
        <f aca="false">O97*Annahmen!$B$136</f>
        <v>780</v>
      </c>
      <c r="Q97" s="24" t="n">
        <f aca="false">F97+J97+N97+P97</f>
        <v>1545.47663551402</v>
      </c>
      <c r="R97" s="24" t="n">
        <f aca="false">O97*Annahmen!$B$48+(C97+G97+K97)*Annahmen!$B$137</f>
        <v>17.3434865427531</v>
      </c>
      <c r="S97" s="24" t="n">
        <f aca="false">SUMPRODUCT((((Annahmen!$C$161:$C$174="monatlich")*(Annahmen!$D$161:$D$174&lt;=$A97))+((Annahmen!$C$161:$C$174="einmalig")*(Annahmen!$D$161:$D$174=$A97)))*Annahmen!$B$161:$B$174*Annahmen!$G$161:$G$174)</f>
        <v>28.3604931653712</v>
      </c>
      <c r="T97" s="24" t="n">
        <f aca="false">IF($A97&gt;=Annahmen!$D$118,Annahmen!$D$145,0)</f>
        <v>300</v>
      </c>
      <c r="U97" s="24" t="n">
        <f aca="false">Q97-R97-S97-T97</f>
        <v>1199.77265580589</v>
      </c>
      <c r="V97" s="24" t="n">
        <f aca="false">V96+U97</f>
        <v>12917.2309289978</v>
      </c>
      <c r="W97" s="7" t="n">
        <f aca="false">IF(U97&gt;0,1,0)</f>
        <v>1</v>
      </c>
      <c r="X97" s="7" t="n">
        <f aca="false">IF(V97&gt;=0,1,0)</f>
        <v>1</v>
      </c>
    </row>
    <row r="98" customFormat="false" ht="15" hidden="false" customHeight="false" outlineLevel="0" collapsed="false">
      <c r="A98" s="7" t="n">
        <v>23</v>
      </c>
      <c r="B98" s="7" t="s">
        <v>412</v>
      </c>
      <c r="C98" s="17" t="n">
        <f aca="false">IF($A98&gt;=Annahmen!$D$118,Annahmen!$D$119,0)</f>
        <v>10</v>
      </c>
      <c r="D98" s="17" t="n">
        <f aca="false">D97+C98</f>
        <v>210</v>
      </c>
      <c r="E98" s="17" t="n">
        <f aca="false">D98*Annahmen!$D$122</f>
        <v>168</v>
      </c>
      <c r="F98" s="18" t="n">
        <f aca="false">E98*Annahmen!$B$125/(1+Annahmen!$B$10)*Annahmen!$B$138</f>
        <v>246.465420560748</v>
      </c>
      <c r="G98" s="17" t="n">
        <f aca="false">IF($A98&gt;=Annahmen!$D$118,Annahmen!$D$120,0)</f>
        <v>6</v>
      </c>
      <c r="H98" s="17" t="n">
        <f aca="false">H97+G98</f>
        <v>126</v>
      </c>
      <c r="I98" s="17" t="n">
        <f aca="false">H98*Annahmen!$D$123</f>
        <v>75.6</v>
      </c>
      <c r="J98" s="18" t="n">
        <f aca="false">I98*Annahmen!$B$126/(1+Annahmen!$B$10)*Annahmen!$B$139</f>
        <v>310.489906542056</v>
      </c>
      <c r="K98" s="17" t="n">
        <f aca="false">IF($A98&gt;=Annahmen!$D$118,Annahmen!$D$121,0)</f>
        <v>6</v>
      </c>
      <c r="L98" s="17" t="n">
        <f aca="false">L97+K98</f>
        <v>126</v>
      </c>
      <c r="M98" s="17" t="n">
        <f aca="false">L98*Annahmen!$D$124</f>
        <v>100.8</v>
      </c>
      <c r="N98" s="18" t="n">
        <f aca="false">M98*Annahmen!$B$127/(1+Annahmen!$B$10)*Annahmen!$B$138</f>
        <v>246.795140186916</v>
      </c>
      <c r="O98" s="17" t="n">
        <f aca="false">IF($A98&gt;=Annahmen!$D$134,Annahmen!$D$135,0)</f>
        <v>2</v>
      </c>
      <c r="P98" s="24" t="n">
        <f aca="false">O98*Annahmen!$B$136</f>
        <v>780</v>
      </c>
      <c r="Q98" s="24" t="n">
        <f aca="false">F98+J98+N98+P98</f>
        <v>1583.75046728972</v>
      </c>
      <c r="R98" s="24" t="n">
        <f aca="false">O98*Annahmen!$B$48+(C98+G98+K98)*Annahmen!$B$137</f>
        <v>17.3434865427531</v>
      </c>
      <c r="S98" s="24" t="n">
        <f aca="false">SUMPRODUCT((((Annahmen!$C$161:$C$174="monatlich")*(Annahmen!$D$161:$D$174&lt;=$A98))+((Annahmen!$C$161:$C$174="einmalig")*(Annahmen!$D$161:$D$174=$A98)))*Annahmen!$B$161:$B$174*Annahmen!$G$161:$G$174)</f>
        <v>28.3604931653712</v>
      </c>
      <c r="T98" s="24" t="n">
        <f aca="false">IF($A98&gt;=Annahmen!$D$118,Annahmen!$D$145,0)</f>
        <v>300</v>
      </c>
      <c r="U98" s="24" t="n">
        <f aca="false">Q98-R98-S98-T98</f>
        <v>1238.0464875816</v>
      </c>
      <c r="V98" s="24" t="n">
        <f aca="false">V97+U98</f>
        <v>14155.2774165794</v>
      </c>
      <c r="W98" s="7" t="n">
        <f aca="false">IF(U98&gt;0,1,0)</f>
        <v>1</v>
      </c>
      <c r="X98" s="7" t="n">
        <f aca="false">IF(V98&gt;=0,1,0)</f>
        <v>1</v>
      </c>
    </row>
    <row r="99" customFormat="false" ht="15" hidden="false" customHeight="false" outlineLevel="0" collapsed="false">
      <c r="A99" s="7" t="n">
        <v>24</v>
      </c>
      <c r="B99" s="7" t="s">
        <v>413</v>
      </c>
      <c r="C99" s="17" t="n">
        <f aca="false">IF($A99&gt;=Annahmen!$D$118,Annahmen!$D$119,0)</f>
        <v>10</v>
      </c>
      <c r="D99" s="17" t="n">
        <f aca="false">D98+C99</f>
        <v>220</v>
      </c>
      <c r="E99" s="17" t="n">
        <f aca="false">D99*Annahmen!$D$122</f>
        <v>176</v>
      </c>
      <c r="F99" s="18" t="n">
        <f aca="false">E99*Annahmen!$B$125/(1+Annahmen!$B$10)*Annahmen!$B$138</f>
        <v>258.201869158878</v>
      </c>
      <c r="G99" s="17" t="n">
        <f aca="false">IF($A99&gt;=Annahmen!$D$118,Annahmen!$D$120,0)</f>
        <v>6</v>
      </c>
      <c r="H99" s="17" t="n">
        <f aca="false">H98+G99</f>
        <v>132</v>
      </c>
      <c r="I99" s="17" t="n">
        <f aca="false">H99*Annahmen!$D$123</f>
        <v>79.2</v>
      </c>
      <c r="J99" s="18" t="n">
        <f aca="false">I99*Annahmen!$B$126/(1+Annahmen!$B$10)*Annahmen!$B$139</f>
        <v>325.275140186916</v>
      </c>
      <c r="K99" s="17" t="n">
        <f aca="false">IF($A99&gt;=Annahmen!$D$118,Annahmen!$D$121,0)</f>
        <v>6</v>
      </c>
      <c r="L99" s="17" t="n">
        <f aca="false">L98+K99</f>
        <v>132</v>
      </c>
      <c r="M99" s="17" t="n">
        <f aca="false">L99*Annahmen!$D$124</f>
        <v>105.6</v>
      </c>
      <c r="N99" s="18" t="n">
        <f aca="false">M99*Annahmen!$B$127/(1+Annahmen!$B$10)*Annahmen!$B$138</f>
        <v>258.547289719626</v>
      </c>
      <c r="O99" s="17" t="n">
        <f aca="false">IF($A99&gt;=Annahmen!$D$134,Annahmen!$D$135,0)</f>
        <v>2</v>
      </c>
      <c r="P99" s="24" t="n">
        <f aca="false">O99*Annahmen!$B$136</f>
        <v>780</v>
      </c>
      <c r="Q99" s="24" t="n">
        <f aca="false">F99+J99+N99+P99</f>
        <v>1622.02429906542</v>
      </c>
      <c r="R99" s="24" t="n">
        <f aca="false">O99*Annahmen!$B$48+(C99+G99+K99)*Annahmen!$B$137</f>
        <v>17.3434865427531</v>
      </c>
      <c r="S99" s="24" t="n">
        <f aca="false">SUMPRODUCT((((Annahmen!$C$161:$C$174="monatlich")*(Annahmen!$D$161:$D$174&lt;=$A99))+((Annahmen!$C$161:$C$174="einmalig")*(Annahmen!$D$161:$D$174=$A99)))*Annahmen!$B$161:$B$174*Annahmen!$G$161:$G$174)</f>
        <v>28.3604931653712</v>
      </c>
      <c r="T99" s="24" t="n">
        <f aca="false">IF($A99&gt;=Annahmen!$D$118,Annahmen!$D$145,0)</f>
        <v>300</v>
      </c>
      <c r="U99" s="24" t="n">
        <f aca="false">Q99-R99-S99-T99</f>
        <v>1276.3203193573</v>
      </c>
      <c r="V99" s="24" t="n">
        <f aca="false">V98+U99</f>
        <v>15431.5977359367</v>
      </c>
      <c r="W99" s="7" t="n">
        <f aca="false">IF(U99&gt;0,1,0)</f>
        <v>1</v>
      </c>
      <c r="X99" s="7" t="n">
        <f aca="false">IF(V99&gt;=0,1,0)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14"/>
  </cols>
  <sheetData>
    <row r="1" customFormat="false" ht="17.35" hidden="false" customHeight="false" outlineLevel="0" collapsed="false">
      <c r="A1" s="1" t="s">
        <v>466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39.55" hidden="false" customHeight="false" outlineLevel="0" collapsed="false">
      <c r="A3" s="4" t="s">
        <v>348</v>
      </c>
      <c r="B3" s="32" t="str">
        <f aca="false">"vorsichtig – "&amp;Annahmen!$B$142</f>
        <v>vorsichtig – teures Hobby</v>
      </c>
      <c r="C3" s="32" t="str">
        <f aca="false">"mittel – "&amp;Annahmen!$C$142</f>
        <v>mittel – profitabler Nebenerwerb</v>
      </c>
      <c r="D3" s="32" t="str">
        <f aca="false">"stark – "&amp;Annahmen!$D$142</f>
        <v>stark – skalierbares Business</v>
      </c>
      <c r="E3" s="2"/>
      <c r="F3" s="2"/>
      <c r="G3" s="2"/>
      <c r="H3" s="2"/>
      <c r="I3" s="2"/>
      <c r="J3" s="2"/>
      <c r="K3" s="2"/>
      <c r="L3" s="2"/>
      <c r="M3" s="2"/>
    </row>
    <row r="4" customFormat="false" ht="15" hidden="false" customHeight="false" outlineLevel="0" collapsed="false">
      <c r="A4" s="33" t="s">
        <v>349</v>
      </c>
      <c r="B4" s="33" t="str">
        <f aca="false">IFERROR("Monat "&amp;MATCH(1,L18:L41,0)&amp;" ("&amp;INDEX($B$18:$B$41,MATCH(1,L18:L41,0))&amp;")","nicht in 24 M")</f>
        <v>nicht in 24 M</v>
      </c>
      <c r="C4" s="33" t="str">
        <f aca="false">IFERROR("Monat "&amp;MATCH(1,L47:L70,0)&amp;" ("&amp;INDEX($B$47:$B$70,MATCH(1,L47:L70,0))&amp;")","nicht in 24 M")</f>
        <v>Monat 4 (04/2027)</v>
      </c>
      <c r="D4" s="33" t="str">
        <f aca="false">IFERROR("Monat "&amp;MATCH(1,L76:L99,0)&amp;" ("&amp;INDEX($B$76:$B$99,MATCH(1,L76:L99,0))&amp;")","nicht in 24 M")</f>
        <v>Monat 3 (03/2027)</v>
      </c>
      <c r="E4" s="2"/>
      <c r="F4" s="2"/>
      <c r="G4" s="2"/>
      <c r="H4" s="2"/>
      <c r="I4" s="2"/>
      <c r="J4" s="2"/>
      <c r="K4" s="2"/>
      <c r="L4" s="2"/>
      <c r="M4" s="2"/>
    </row>
    <row r="5" customFormat="false" ht="15" hidden="false" customHeight="false" outlineLevel="0" collapsed="false">
      <c r="A5" s="33" t="s">
        <v>350</v>
      </c>
      <c r="B5" s="33" t="str">
        <f aca="false">IFERROR("Monat "&amp;MATCH(1,M18:M41,0)&amp;" ("&amp;INDEX($B$18:$B$41,MATCH(1,M18:M41,0))&amp;")","nicht in 24 M")</f>
        <v>nicht in 24 M</v>
      </c>
      <c r="C5" s="33" t="str">
        <f aca="false">IFERROR("Monat "&amp;MATCH(1,M47:M70,0)&amp;" ("&amp;INDEX($B$47:$B$70,MATCH(1,M47:M70,0))&amp;")","nicht in 24 M")</f>
        <v>Monat 13 (01/2028)</v>
      </c>
      <c r="D5" s="33" t="str">
        <f aca="false">IFERROR("Monat "&amp;MATCH(1,M76:M99,0)&amp;" ("&amp;INDEX($B$76:$B$99,MATCH(1,M76:M99,0))&amp;")","nicht in 24 M")</f>
        <v>Monat 6 (06/2027)</v>
      </c>
      <c r="E5" s="2"/>
      <c r="F5" s="2"/>
      <c r="G5" s="2"/>
      <c r="H5" s="2"/>
      <c r="I5" s="2"/>
      <c r="J5" s="2"/>
      <c r="K5" s="2"/>
      <c r="L5" s="2"/>
      <c r="M5" s="2"/>
    </row>
    <row r="6" customFormat="false" ht="15" hidden="false" customHeight="false" outlineLevel="0" collapsed="false">
      <c r="A6" s="33" t="s">
        <v>467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5" hidden="false" customHeight="false" outlineLevel="0" collapsed="false">
      <c r="A7" s="7" t="s">
        <v>441</v>
      </c>
      <c r="B7" s="37" t="n">
        <f aca="false">SUM(I18:I41)</f>
        <v>8683.19455480328</v>
      </c>
      <c r="C7" s="37" t="n">
        <f aca="false">SUM(I47:I70)</f>
        <v>79003.9868895442</v>
      </c>
      <c r="D7" s="37" t="n">
        <f aca="false">SUM(I76:I99)</f>
        <v>463203.884980508</v>
      </c>
      <c r="E7" s="2"/>
      <c r="F7" s="2"/>
      <c r="G7" s="2"/>
      <c r="H7" s="2"/>
      <c r="I7" s="2"/>
      <c r="J7" s="2"/>
      <c r="K7" s="2"/>
      <c r="L7" s="2"/>
      <c r="M7" s="2"/>
    </row>
    <row r="8" customFormat="false" ht="15" hidden="false" customHeight="false" outlineLevel="0" collapsed="false">
      <c r="A8" s="7" t="s">
        <v>468</v>
      </c>
      <c r="B8" s="37" t="n">
        <f aca="false">SUM(J18:J41)</f>
        <v>-14445.2310180897</v>
      </c>
      <c r="C8" s="37" t="n">
        <f aca="false">SUM(J47:J70)</f>
        <v>33578.6378422708</v>
      </c>
      <c r="D8" s="37" t="n">
        <f aca="false">SUM(J76:J99)</f>
        <v>278769.750714602</v>
      </c>
      <c r="E8" s="2"/>
      <c r="F8" s="2"/>
      <c r="G8" s="2"/>
      <c r="H8" s="2"/>
      <c r="I8" s="2"/>
      <c r="J8" s="2"/>
      <c r="K8" s="2"/>
      <c r="L8" s="2"/>
      <c r="M8" s="2"/>
    </row>
    <row r="9" customFormat="false" ht="15" hidden="false" customHeight="false" outlineLevel="0" collapsed="false">
      <c r="A9" s="7" t="s">
        <v>469</v>
      </c>
      <c r="B9" s="37" t="n">
        <f aca="false">MIN(K18:K41)</f>
        <v>-14445.2310180897</v>
      </c>
      <c r="C9" s="37" t="n">
        <f aca="false">MIN(K47:K70)</f>
        <v>-9590.92355884759</v>
      </c>
      <c r="D9" s="37" t="n">
        <f aca="false">MIN(K76:K99)</f>
        <v>-10380.9185168716</v>
      </c>
      <c r="E9" s="2"/>
      <c r="F9" s="2"/>
      <c r="G9" s="2"/>
      <c r="H9" s="2"/>
      <c r="I9" s="2"/>
      <c r="J9" s="2"/>
      <c r="K9" s="2"/>
      <c r="L9" s="2"/>
      <c r="M9" s="2"/>
    </row>
    <row r="10" customFormat="false" ht="15" hidden="false" customHeight="false" outlineLevel="0" collapsed="false">
      <c r="A10" s="7" t="s">
        <v>470</v>
      </c>
      <c r="B10" s="37" t="n">
        <f aca="false">J41</f>
        <v>-136.362324061132</v>
      </c>
      <c r="C10" s="37" t="n">
        <f aca="false">J70</f>
        <v>4177.55174149786</v>
      </c>
      <c r="D10" s="37" t="n">
        <f aca="false">J99</f>
        <v>34259.9043267523</v>
      </c>
      <c r="E10" s="2"/>
      <c r="F10" s="2"/>
      <c r="G10" s="2"/>
      <c r="H10" s="2"/>
      <c r="I10" s="2"/>
      <c r="J10" s="2"/>
      <c r="K10" s="2"/>
      <c r="L10" s="2"/>
      <c r="M10" s="2"/>
    </row>
    <row r="11" customFormat="false" ht="15" hidden="false" customHeight="false" outlineLevel="0" collapsed="false">
      <c r="A11" s="7" t="s">
        <v>471</v>
      </c>
      <c r="B11" s="33" t="str">
        <f aca="false">IF(ABS(SUM(TÆLLA!U18:U41)+SUM('Read Layer'!V18:V41)+SUM(SOMNIO!S18:S41)-SUMPRODUCT(((Annahmen!$C$161:$C$174="monatlich")*(25-Annahmen!$D$161:$D$174)+(Annahmen!$C$161:$C$174="einmalig")*(Annahmen!$D$161:$D$174&gt;=1)*(Annahmen!$D$161:$D$174&lt;=24))*Annahmen!$B$161:$B$174))&lt;0.01,"ok","Abweichung")</f>
        <v>ok</v>
      </c>
      <c r="C11" s="33" t="str">
        <f aca="false">IF(ABS(SUM(TÆLLA!U47:U70)+SUM('Read Layer'!V47:V70)+SUM(SOMNIO!S47:S70)-SUMPRODUCT(((Annahmen!$C$161:$C$174="monatlich")*(25-Annahmen!$D$161:$D$174)+(Annahmen!$C$161:$C$174="einmalig")*(Annahmen!$D$161:$D$174&gt;=1)*(Annahmen!$D$161:$D$174&lt;=24))*Annahmen!$B$161:$B$174))&lt;0.01,"ok","Abweichung")</f>
        <v>ok</v>
      </c>
      <c r="D11" s="33" t="str">
        <f aca="false">IF(ABS(SUM(TÆLLA!U76:U99)+SUM('Read Layer'!V76:V99)+SUM(SOMNIO!S76:S99)-SUMPRODUCT(((Annahmen!$C$161:$C$174="monatlich")*(25-Annahmen!$D$161:$D$174)+(Annahmen!$C$161:$C$174="einmalig")*(Annahmen!$D$161:$D$174&gt;=1)*(Annahmen!$D$161:$D$174&lt;=24))*Annahmen!$B$161:$B$174))&lt;0.01,"ok","Abweichung")</f>
        <v>ok</v>
      </c>
      <c r="E11" s="2"/>
      <c r="F11" s="2"/>
      <c r="G11" s="2"/>
      <c r="H11" s="2"/>
      <c r="I11" s="2"/>
      <c r="J11" s="2"/>
      <c r="K11" s="2"/>
      <c r="L11" s="2"/>
      <c r="M11" s="2"/>
    </row>
    <row r="12" customFormat="false" ht="15" hidden="false" customHeight="false" outlineLevel="0" collapsed="false">
      <c r="A12" s="7" t="s">
        <v>472</v>
      </c>
      <c r="B12" s="38" t="n">
        <f aca="false">SUMPRODUCT(((Annahmen!$C$161:$C$174="monatlich")*(25-Annahmen!$D$161:$D$174)+(Annahmen!$C$161:$C$174="einmalig")*(Annahmen!$D$161:$D$174&gt;=1)*(Annahmen!$D$161:$D$174&lt;=24))*Annahmen!$B$161:$B$174)</f>
        <v>10634.9619382631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customFormat="false" ht="15" hidden="false" customHeight="false" outlineLevel="0" collapsed="false">
      <c r="A16" s="33" t="str">
        <f aca="false">"Szenario vorsichtig – "&amp;Annahmen!$B$142</f>
        <v>Szenario vorsichtig – teures Hobby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customFormat="false" ht="42" hidden="false" customHeight="true" outlineLevel="0" collapsed="false">
      <c r="A17" s="32" t="s">
        <v>99</v>
      </c>
      <c r="B17" s="32" t="s">
        <v>359</v>
      </c>
      <c r="C17" s="32" t="s">
        <v>473</v>
      </c>
      <c r="D17" s="32" t="s">
        <v>474</v>
      </c>
      <c r="E17" s="32" t="s">
        <v>475</v>
      </c>
      <c r="F17" s="32" t="s">
        <v>476</v>
      </c>
      <c r="G17" s="32" t="s">
        <v>477</v>
      </c>
      <c r="H17" s="32" t="s">
        <v>478</v>
      </c>
      <c r="I17" s="32" t="s">
        <v>441</v>
      </c>
      <c r="J17" s="32" t="s">
        <v>468</v>
      </c>
      <c r="K17" s="32" t="s">
        <v>383</v>
      </c>
      <c r="L17" s="32" t="s">
        <v>388</v>
      </c>
      <c r="M17" s="32" t="s">
        <v>389</v>
      </c>
    </row>
    <row r="18" customFormat="false" ht="15" hidden="false" customHeight="false" outlineLevel="0" collapsed="false">
      <c r="A18" s="2" t="n">
        <v>1</v>
      </c>
      <c r="B18" s="2" t="s">
        <v>390</v>
      </c>
      <c r="C18" s="39" t="n">
        <f aca="false">TÆLLA!O18+TÆLLA!AB18</f>
        <v>0</v>
      </c>
      <c r="D18" s="39" t="n">
        <f aca="false">'Read Layer'!T18</f>
        <v>0</v>
      </c>
      <c r="E18" s="39" t="n">
        <f aca="false">SOMNIO!Q18</f>
        <v>0</v>
      </c>
      <c r="F18" s="39" t="n">
        <f aca="false">TÆLLA!Y18</f>
        <v>-3777.75158831976</v>
      </c>
      <c r="G18" s="39" t="n">
        <f aca="false">'Read Layer'!AA18</f>
        <v>-1906.16889953485</v>
      </c>
      <c r="H18" s="39" t="n">
        <f aca="false">SOMNIO!U18</f>
        <v>-657.207602742593</v>
      </c>
      <c r="I18" s="38" t="n">
        <f aca="false">C18+D18+E18</f>
        <v>0</v>
      </c>
      <c r="J18" s="38" t="n">
        <f aca="false">F18+G18+H18</f>
        <v>-6341.1280905972</v>
      </c>
      <c r="K18" s="38" t="n">
        <f aca="false">J18</f>
        <v>-6341.1280905972</v>
      </c>
      <c r="L18" s="2" t="n">
        <f aca="false">IF(J18&gt;0,1,0)</f>
        <v>0</v>
      </c>
      <c r="M18" s="2" t="n">
        <f aca="false">IF(K18&gt;=0,1,0)</f>
        <v>0</v>
      </c>
    </row>
    <row r="19" customFormat="false" ht="15" hidden="false" customHeight="false" outlineLevel="0" collapsed="false">
      <c r="A19" s="2" t="n">
        <v>2</v>
      </c>
      <c r="B19" s="2" t="s">
        <v>391</v>
      </c>
      <c r="C19" s="39" t="n">
        <f aca="false">TÆLLA!O19+TÆLLA!AB19</f>
        <v>0</v>
      </c>
      <c r="D19" s="39" t="n">
        <f aca="false">'Read Layer'!T19</f>
        <v>0</v>
      </c>
      <c r="E19" s="39" t="n">
        <f aca="false">SOMNIO!Q19</f>
        <v>0</v>
      </c>
      <c r="F19" s="39" t="n">
        <f aca="false">TÆLLA!Y19</f>
        <v>-351.804319045481</v>
      </c>
      <c r="G19" s="39" t="n">
        <f aca="false">'Read Layer'!AA19</f>
        <v>-100.827570803181</v>
      </c>
      <c r="H19" s="39" t="n">
        <f aca="false">SOMNIO!U19</f>
        <v>-28.3604931653712</v>
      </c>
      <c r="I19" s="38" t="n">
        <f aca="false">C19+D19+E19</f>
        <v>0</v>
      </c>
      <c r="J19" s="38" t="n">
        <f aca="false">F19+G19+H19</f>
        <v>-480.992383014032</v>
      </c>
      <c r="K19" s="38" t="n">
        <f aca="false">K18+J19</f>
        <v>-6822.12047361124</v>
      </c>
      <c r="L19" s="2" t="n">
        <f aca="false">IF(J19&gt;0,1,0)</f>
        <v>0</v>
      </c>
      <c r="M19" s="2" t="n">
        <f aca="false">IF(K19&gt;=0,1,0)</f>
        <v>0</v>
      </c>
    </row>
    <row r="20" customFormat="false" ht="15" hidden="false" customHeight="false" outlineLevel="0" collapsed="false">
      <c r="A20" s="2" t="n">
        <v>3</v>
      </c>
      <c r="B20" s="2" t="s">
        <v>392</v>
      </c>
      <c r="C20" s="39" t="n">
        <f aca="false">TÆLLA!O20+TÆLLA!AB20</f>
        <v>0</v>
      </c>
      <c r="D20" s="39" t="n">
        <f aca="false">'Read Layer'!T20</f>
        <v>0</v>
      </c>
      <c r="E20" s="39" t="n">
        <f aca="false">SOMNIO!Q20</f>
        <v>0</v>
      </c>
      <c r="F20" s="39" t="n">
        <f aca="false">TÆLLA!Y20</f>
        <v>-329.468930856434</v>
      </c>
      <c r="G20" s="39" t="n">
        <f aca="false">'Read Layer'!AA20</f>
        <v>-380.827570803181</v>
      </c>
      <c r="H20" s="39" t="n">
        <f aca="false">SOMNIO!U20</f>
        <v>-98.3604931653712</v>
      </c>
      <c r="I20" s="38" t="n">
        <f aca="false">C20+D20+E20</f>
        <v>0</v>
      </c>
      <c r="J20" s="38" t="n">
        <f aca="false">F20+G20+H20</f>
        <v>-808.656994824985</v>
      </c>
      <c r="K20" s="38" t="n">
        <f aca="false">K19+J20</f>
        <v>-7630.77746843622</v>
      </c>
      <c r="L20" s="2" t="n">
        <f aca="false">IF(J20&gt;0,1,0)</f>
        <v>0</v>
      </c>
      <c r="M20" s="2" t="n">
        <f aca="false">IF(K20&gt;=0,1,0)</f>
        <v>0</v>
      </c>
    </row>
    <row r="21" customFormat="false" ht="15" hidden="false" customHeight="false" outlineLevel="0" collapsed="false">
      <c r="A21" s="2" t="n">
        <v>4</v>
      </c>
      <c r="B21" s="2" t="s">
        <v>393</v>
      </c>
      <c r="C21" s="39" t="n">
        <f aca="false">TÆLLA!O21+TÆLLA!AB21</f>
        <v>27.0966386554622</v>
      </c>
      <c r="D21" s="39" t="n">
        <f aca="false">'Read Layer'!T21</f>
        <v>0</v>
      </c>
      <c r="E21" s="39" t="n">
        <f aca="false">SOMNIO!Q21</f>
        <v>0</v>
      </c>
      <c r="F21" s="39" t="n">
        <f aca="false">TÆLLA!Y21</f>
        <v>-522.708107355688</v>
      </c>
      <c r="G21" s="39" t="n">
        <f aca="false">'Read Layer'!AA21</f>
        <v>-100.827570803181</v>
      </c>
      <c r="H21" s="39" t="n">
        <f aca="false">SOMNIO!U21</f>
        <v>-28.3604931653712</v>
      </c>
      <c r="I21" s="38" t="n">
        <f aca="false">C21+D21+E21</f>
        <v>27.0966386554622</v>
      </c>
      <c r="J21" s="38" t="n">
        <f aca="false">F21+G21+H21</f>
        <v>-651.89617132424</v>
      </c>
      <c r="K21" s="38" t="n">
        <f aca="false">K20+J21</f>
        <v>-8282.67363976046</v>
      </c>
      <c r="L21" s="2" t="n">
        <f aca="false">IF(J21&gt;0,1,0)</f>
        <v>0</v>
      </c>
      <c r="M21" s="2" t="n">
        <f aca="false">IF(K21&gt;=0,1,0)</f>
        <v>0</v>
      </c>
    </row>
    <row r="22" customFormat="false" ht="15" hidden="false" customHeight="false" outlineLevel="0" collapsed="false">
      <c r="A22" s="2" t="n">
        <v>5</v>
      </c>
      <c r="B22" s="2" t="s">
        <v>394</v>
      </c>
      <c r="C22" s="39" t="n">
        <f aca="false">TÆLLA!O22+TÆLLA!AB22</f>
        <v>32.3594537815126</v>
      </c>
      <c r="D22" s="39" t="n">
        <f aca="false">'Read Layer'!T22</f>
        <v>102.9</v>
      </c>
      <c r="E22" s="39" t="n">
        <f aca="false">SOMNIO!Q22</f>
        <v>0</v>
      </c>
      <c r="F22" s="39" t="n">
        <f aca="false">TÆLLA!Y22</f>
        <v>-761.182382481738</v>
      </c>
      <c r="G22" s="39" t="n">
        <f aca="false">'Read Layer'!AA22</f>
        <v>-562.785679254534</v>
      </c>
      <c r="H22" s="39" t="n">
        <f aca="false">SOMNIO!U22</f>
        <v>-28.3604931653712</v>
      </c>
      <c r="I22" s="38" t="n">
        <f aca="false">C22+D22+E22</f>
        <v>135.259453781513</v>
      </c>
      <c r="J22" s="38" t="n">
        <f aca="false">F22+G22+H22</f>
        <v>-1352.32855490164</v>
      </c>
      <c r="K22" s="38" t="n">
        <f aca="false">K21+J22</f>
        <v>-9635.0021946621</v>
      </c>
      <c r="L22" s="2" t="n">
        <f aca="false">IF(J22&gt;0,1,0)</f>
        <v>0</v>
      </c>
      <c r="M22" s="2" t="n">
        <f aca="false">IF(K22&gt;=0,1,0)</f>
        <v>0</v>
      </c>
    </row>
    <row r="23" customFormat="false" ht="15" hidden="false" customHeight="false" outlineLevel="0" collapsed="false">
      <c r="A23" s="2" t="n">
        <v>6</v>
      </c>
      <c r="B23" s="2" t="s">
        <v>395</v>
      </c>
      <c r="C23" s="39" t="n">
        <f aca="false">TÆLLA!O23+TÆLLA!AB23</f>
        <v>37.6205848067227</v>
      </c>
      <c r="D23" s="39" t="n">
        <f aca="false">'Read Layer'!T23</f>
        <v>102.9</v>
      </c>
      <c r="E23" s="39" t="n">
        <f aca="false">SOMNIO!Q23</f>
        <v>1.48719626168224</v>
      </c>
      <c r="F23" s="39" t="n">
        <f aca="false">TÆLLA!Y23</f>
        <v>-516.669763088451</v>
      </c>
      <c r="G23" s="39" t="n">
        <f aca="false">'Read Layer'!AA23</f>
        <v>-2.78567925453444</v>
      </c>
      <c r="H23" s="39" t="n">
        <f aca="false">SOMNIO!U23</f>
        <v>-26.873296903689</v>
      </c>
      <c r="I23" s="38" t="n">
        <f aca="false">C23+D23+E23</f>
        <v>142.007781068405</v>
      </c>
      <c r="J23" s="38" t="n">
        <f aca="false">F23+G23+H23</f>
        <v>-546.328739246674</v>
      </c>
      <c r="K23" s="38" t="n">
        <f aca="false">K22+J23</f>
        <v>-10181.3309339088</v>
      </c>
      <c r="L23" s="2" t="n">
        <f aca="false">IF(J23&gt;0,1,0)</f>
        <v>0</v>
      </c>
      <c r="M23" s="2" t="n">
        <f aca="false">IF(K23&gt;=0,1,0)</f>
        <v>0</v>
      </c>
    </row>
    <row r="24" customFormat="false" ht="15" hidden="false" customHeight="false" outlineLevel="0" collapsed="false">
      <c r="A24" s="2" t="n">
        <v>7</v>
      </c>
      <c r="B24" s="2" t="s">
        <v>396</v>
      </c>
      <c r="C24" s="39" t="n">
        <f aca="false">TÆLLA!O24+TÆLLA!AB24</f>
        <v>42.9107072424044</v>
      </c>
      <c r="D24" s="39" t="n">
        <f aca="false">'Read Layer'!T24</f>
        <v>102.9</v>
      </c>
      <c r="E24" s="39" t="n">
        <f aca="false">SOMNIO!Q24</f>
        <v>2.97439252336449</v>
      </c>
      <c r="F24" s="39" t="n">
        <f aca="false">TÆLLA!Y24</f>
        <v>-512.144807265691</v>
      </c>
      <c r="G24" s="39" t="n">
        <f aca="false">'Read Layer'!AA24</f>
        <v>-2.78567925453444</v>
      </c>
      <c r="H24" s="39" t="n">
        <f aca="false">SOMNIO!U24</f>
        <v>-25.3861006420067</v>
      </c>
      <c r="I24" s="38" t="n">
        <f aca="false">C24+D24+E24</f>
        <v>148.785099765769</v>
      </c>
      <c r="J24" s="38" t="n">
        <f aca="false">F24+G24+H24</f>
        <v>-540.316587162232</v>
      </c>
      <c r="K24" s="38" t="n">
        <f aca="false">K23+J24</f>
        <v>-10721.647521071</v>
      </c>
      <c r="L24" s="2" t="n">
        <f aca="false">IF(J24&gt;0,1,0)</f>
        <v>0</v>
      </c>
      <c r="M24" s="2" t="n">
        <f aca="false">IF(K24&gt;=0,1,0)</f>
        <v>0</v>
      </c>
    </row>
    <row r="25" customFormat="false" ht="15" hidden="false" customHeight="false" outlineLevel="0" collapsed="false">
      <c r="A25" s="2" t="n">
        <v>8</v>
      </c>
      <c r="B25" s="2" t="s">
        <v>397</v>
      </c>
      <c r="C25" s="39" t="n">
        <f aca="false">TÆLLA!O25+TÆLLA!AB25</f>
        <v>95.6282893456968</v>
      </c>
      <c r="D25" s="39" t="n">
        <f aca="false">'Read Layer'!T25</f>
        <v>314.58</v>
      </c>
      <c r="E25" s="39" t="n">
        <f aca="false">SOMNIO!Q25</f>
        <v>4.46158878504673</v>
      </c>
      <c r="F25" s="39" t="n">
        <f aca="false">TÆLLA!Y25</f>
        <v>-463.31330729481</v>
      </c>
      <c r="G25" s="39" t="n">
        <f aca="false">'Read Layer'!AA25</f>
        <v>204.992036273346</v>
      </c>
      <c r="H25" s="39" t="n">
        <f aca="false">SOMNIO!U25</f>
        <v>-23.8989043803245</v>
      </c>
      <c r="I25" s="38" t="n">
        <f aca="false">C25+D25+E25</f>
        <v>414.669878130744</v>
      </c>
      <c r="J25" s="38" t="n">
        <f aca="false">F25+G25+H25</f>
        <v>-282.220175401789</v>
      </c>
      <c r="K25" s="38" t="n">
        <f aca="false">K24+J25</f>
        <v>-11003.8676964728</v>
      </c>
      <c r="L25" s="2" t="n">
        <f aca="false">IF(J25&gt;0,1,0)</f>
        <v>0</v>
      </c>
      <c r="M25" s="2" t="n">
        <f aca="false">IF(K25&gt;=0,1,0)</f>
        <v>0</v>
      </c>
    </row>
    <row r="26" customFormat="false" ht="15" hidden="false" customHeight="false" outlineLevel="0" collapsed="false">
      <c r="A26" s="2" t="n">
        <v>9</v>
      </c>
      <c r="B26" s="2" t="s">
        <v>398</v>
      </c>
      <c r="C26" s="39" t="n">
        <f aca="false">TÆLLA!O26+TÆLLA!AB26</f>
        <v>97.2866795430504</v>
      </c>
      <c r="D26" s="39" t="n">
        <f aca="false">'Read Layer'!T26</f>
        <v>314.58</v>
      </c>
      <c r="E26" s="39" t="n">
        <f aca="false">SOMNIO!Q26</f>
        <v>5.94878504672897</v>
      </c>
      <c r="F26" s="39" t="n">
        <f aca="false">TÆLLA!Y26</f>
        <v>-462.052497477296</v>
      </c>
      <c r="G26" s="39" t="n">
        <f aca="false">'Read Layer'!AA26</f>
        <v>204.992036273346</v>
      </c>
      <c r="H26" s="39" t="n">
        <f aca="false">SOMNIO!U26</f>
        <v>-22.4117081186422</v>
      </c>
      <c r="I26" s="38" t="n">
        <f aca="false">C26+D26+E26</f>
        <v>417.815464589779</v>
      </c>
      <c r="J26" s="38" t="n">
        <f aca="false">F26+G26+H26</f>
        <v>-279.472169322593</v>
      </c>
      <c r="K26" s="38" t="n">
        <f aca="false">K25+J26</f>
        <v>-11283.3398657954</v>
      </c>
      <c r="L26" s="2" t="n">
        <f aca="false">IF(J26&gt;0,1,0)</f>
        <v>0</v>
      </c>
      <c r="M26" s="2" t="n">
        <f aca="false">IF(K26&gt;=0,1,0)</f>
        <v>0</v>
      </c>
    </row>
    <row r="27" customFormat="false" ht="15" hidden="false" customHeight="false" outlineLevel="0" collapsed="false">
      <c r="A27" s="2" t="n">
        <v>10</v>
      </c>
      <c r="B27" s="2" t="s">
        <v>399</v>
      </c>
      <c r="C27" s="39" t="n">
        <f aca="false">TÆLLA!O27+TÆLLA!AB27</f>
        <v>99.3795434496361</v>
      </c>
      <c r="D27" s="39" t="n">
        <f aca="false">'Read Layer'!T27</f>
        <v>314.58</v>
      </c>
      <c r="E27" s="39" t="n">
        <f aca="false">SOMNIO!Q27</f>
        <v>7.43598130841122</v>
      </c>
      <c r="F27" s="39" t="n">
        <f aca="false">TÆLLA!Y27</f>
        <v>-460.42192538788</v>
      </c>
      <c r="G27" s="39" t="n">
        <f aca="false">'Read Layer'!AA27</f>
        <v>204.992036273346</v>
      </c>
      <c r="H27" s="39" t="n">
        <f aca="false">SOMNIO!U27</f>
        <v>-20.92451185696</v>
      </c>
      <c r="I27" s="38" t="n">
        <f aca="false">C27+D27+E27</f>
        <v>421.395524758047</v>
      </c>
      <c r="J27" s="38" t="n">
        <f aca="false">F27+G27+H27</f>
        <v>-276.354400971494</v>
      </c>
      <c r="K27" s="38" t="n">
        <f aca="false">K26+J27</f>
        <v>-11559.6942667669</v>
      </c>
      <c r="L27" s="2" t="n">
        <f aca="false">IF(J27&gt;0,1,0)</f>
        <v>0</v>
      </c>
      <c r="M27" s="2" t="n">
        <f aca="false">IF(K27&gt;=0,1,0)</f>
        <v>0</v>
      </c>
    </row>
    <row r="28" customFormat="false" ht="15" hidden="false" customHeight="false" outlineLevel="0" collapsed="false">
      <c r="A28" s="2" t="n">
        <v>11</v>
      </c>
      <c r="B28" s="2" t="s">
        <v>400</v>
      </c>
      <c r="C28" s="39" t="n">
        <f aca="false">TÆLLA!O28+TÆLLA!AB28</f>
        <v>101.916901031536</v>
      </c>
      <c r="D28" s="39" t="n">
        <f aca="false">'Read Layer'!T28</f>
        <v>314.58</v>
      </c>
      <c r="E28" s="39" t="n">
        <f aca="false">SOMNIO!Q28</f>
        <v>8.92317757009346</v>
      </c>
      <c r="F28" s="39" t="n">
        <f aca="false">TÆLLA!Y28</f>
        <v>-458.413997860869</v>
      </c>
      <c r="G28" s="39" t="n">
        <f aca="false">'Read Layer'!AA28</f>
        <v>204.992036273346</v>
      </c>
      <c r="H28" s="39" t="n">
        <f aca="false">SOMNIO!U28</f>
        <v>-19.4373155952778</v>
      </c>
      <c r="I28" s="38" t="n">
        <f aca="false">C28+D28+E28</f>
        <v>425.42007860163</v>
      </c>
      <c r="J28" s="38" t="n">
        <f aca="false">F28+G28+H28</f>
        <v>-272.8592771828</v>
      </c>
      <c r="K28" s="38" t="n">
        <f aca="false">K27+J28</f>
        <v>-11832.5535439497</v>
      </c>
      <c r="L28" s="2" t="n">
        <f aca="false">IF(J28&gt;0,1,0)</f>
        <v>0</v>
      </c>
      <c r="M28" s="2" t="n">
        <f aca="false">IF(K28&gt;=0,1,0)</f>
        <v>0</v>
      </c>
    </row>
    <row r="29" customFormat="false" ht="15" hidden="false" customHeight="false" outlineLevel="0" collapsed="false">
      <c r="A29" s="2" t="n">
        <v>12</v>
      </c>
      <c r="B29" s="2" t="s">
        <v>401</v>
      </c>
      <c r="C29" s="39" t="n">
        <f aca="false">TÆLLA!O29+TÆLLA!AB29</f>
        <v>104.911462139682</v>
      </c>
      <c r="D29" s="39" t="n">
        <f aca="false">'Read Layer'!T29</f>
        <v>314.58</v>
      </c>
      <c r="E29" s="39" t="n">
        <f aca="false">SOMNIO!Q29</f>
        <v>10.4103738317757</v>
      </c>
      <c r="F29" s="39" t="n">
        <f aca="false">TÆLLA!Y29</f>
        <v>-456.018827839554</v>
      </c>
      <c r="G29" s="39" t="n">
        <f aca="false">'Read Layer'!AA29</f>
        <v>204.992036273346</v>
      </c>
      <c r="H29" s="39" t="n">
        <f aca="false">SOMNIO!U29</f>
        <v>-17.9501193335955</v>
      </c>
      <c r="I29" s="38" t="n">
        <f aca="false">C29+D29+E29</f>
        <v>429.901835971457</v>
      </c>
      <c r="J29" s="38" t="n">
        <f aca="false">F29+G29+H29</f>
        <v>-268.976910899803</v>
      </c>
      <c r="K29" s="38" t="n">
        <f aca="false">K28+J29</f>
        <v>-12101.5304548495</v>
      </c>
      <c r="L29" s="2" t="n">
        <f aca="false">IF(J29&gt;0,1,0)</f>
        <v>0</v>
      </c>
      <c r="M29" s="2" t="n">
        <f aca="false">IF(K29&gt;=0,1,0)</f>
        <v>0</v>
      </c>
    </row>
    <row r="30" customFormat="false" ht="15" hidden="false" customHeight="false" outlineLevel="0" collapsed="false">
      <c r="A30" s="2" t="n">
        <v>13</v>
      </c>
      <c r="B30" s="2" t="s">
        <v>402</v>
      </c>
      <c r="C30" s="39" t="n">
        <f aca="false">TÆLLA!O30+TÆLLA!AB30</f>
        <v>131.983041295561</v>
      </c>
      <c r="D30" s="39" t="n">
        <f aca="false">'Read Layer'!T30</f>
        <v>314.58</v>
      </c>
      <c r="E30" s="39" t="n">
        <f aca="false">SOMNIO!Q30</f>
        <v>11.8975700934579</v>
      </c>
      <c r="F30" s="39" t="n">
        <f aca="false">TÆLLA!Y30</f>
        <v>-429.619832248573</v>
      </c>
      <c r="G30" s="39" t="n">
        <f aca="false">'Read Layer'!AA30</f>
        <v>204.992036273346</v>
      </c>
      <c r="H30" s="39" t="n">
        <f aca="false">SOMNIO!U30</f>
        <v>-16.4629230719133</v>
      </c>
      <c r="I30" s="38" t="n">
        <f aca="false">C30+D30+E30</f>
        <v>458.460611389018</v>
      </c>
      <c r="J30" s="38" t="n">
        <f aca="false">F30+G30+H30</f>
        <v>-241.09071904714</v>
      </c>
      <c r="K30" s="38" t="n">
        <f aca="false">K29+J30</f>
        <v>-12342.6211738966</v>
      </c>
      <c r="L30" s="2" t="n">
        <f aca="false">IF(J30&gt;0,1,0)</f>
        <v>0</v>
      </c>
      <c r="M30" s="2" t="n">
        <f aca="false">IF(K30&gt;=0,1,0)</f>
        <v>0</v>
      </c>
    </row>
    <row r="31" customFormat="false" ht="15" hidden="false" customHeight="false" outlineLevel="0" collapsed="false">
      <c r="A31" s="2" t="n">
        <v>14</v>
      </c>
      <c r="B31" s="2" t="s">
        <v>403</v>
      </c>
      <c r="C31" s="39" t="n">
        <f aca="false">TÆLLA!O31+TÆLLA!AB31</f>
        <v>137.478180774032</v>
      </c>
      <c r="D31" s="39" t="n">
        <f aca="false">'Read Layer'!T31</f>
        <v>314.58</v>
      </c>
      <c r="E31" s="39" t="n">
        <f aca="false">SOMNIO!Q31</f>
        <v>13.3847663551402</v>
      </c>
      <c r="F31" s="39" t="n">
        <f aca="false">TÆLLA!Y31</f>
        <v>-424.874123645709</v>
      </c>
      <c r="G31" s="39" t="n">
        <f aca="false">'Read Layer'!AA31</f>
        <v>204.992036273346</v>
      </c>
      <c r="H31" s="39" t="n">
        <f aca="false">SOMNIO!U31</f>
        <v>-14.975726810231</v>
      </c>
      <c r="I31" s="38" t="n">
        <f aca="false">C31+D31+E31</f>
        <v>465.442947129172</v>
      </c>
      <c r="J31" s="38" t="n">
        <f aca="false">F31+G31+H31</f>
        <v>-234.857814182594</v>
      </c>
      <c r="K31" s="38" t="n">
        <f aca="false">K30+J31</f>
        <v>-12577.4789880792</v>
      </c>
      <c r="L31" s="2" t="n">
        <f aca="false">IF(J31&gt;0,1,0)</f>
        <v>0</v>
      </c>
      <c r="M31" s="2" t="n">
        <f aca="false">IF(K31&gt;=0,1,0)</f>
        <v>0</v>
      </c>
    </row>
    <row r="32" customFormat="false" ht="15" hidden="false" customHeight="false" outlineLevel="0" collapsed="false">
      <c r="A32" s="2" t="n">
        <v>15</v>
      </c>
      <c r="B32" s="2" t="s">
        <v>404</v>
      </c>
      <c r="C32" s="39" t="n">
        <f aca="false">TÆLLA!O32+TÆLLA!AB32</f>
        <v>143.604161336435</v>
      </c>
      <c r="D32" s="39" t="n">
        <f aca="false">'Read Layer'!T32</f>
        <v>314.58</v>
      </c>
      <c r="E32" s="39" t="n">
        <f aca="false">SOMNIO!Q32</f>
        <v>14.8719626168224</v>
      </c>
      <c r="F32" s="39" t="n">
        <f aca="false">TÆLLA!Y32</f>
        <v>-419.578516308499</v>
      </c>
      <c r="G32" s="39" t="n">
        <f aca="false">'Read Layer'!AA32</f>
        <v>204.992036273346</v>
      </c>
      <c r="H32" s="39" t="n">
        <f aca="false">SOMNIO!U32</f>
        <v>-13.4885305485488</v>
      </c>
      <c r="I32" s="38" t="n">
        <f aca="false">C32+D32+E32</f>
        <v>473.056123953257</v>
      </c>
      <c r="J32" s="38" t="n">
        <f aca="false">F32+G32+H32</f>
        <v>-228.075010583702</v>
      </c>
      <c r="K32" s="38" t="n">
        <f aca="false">K31+J32</f>
        <v>-12805.5539986629</v>
      </c>
      <c r="L32" s="2" t="n">
        <f aca="false">IF(J32&gt;0,1,0)</f>
        <v>0</v>
      </c>
      <c r="M32" s="2" t="n">
        <f aca="false">IF(K32&gt;=0,1,0)</f>
        <v>0</v>
      </c>
    </row>
    <row r="33" customFormat="false" ht="15" hidden="false" customHeight="false" outlineLevel="0" collapsed="false">
      <c r="A33" s="2" t="n">
        <v>16</v>
      </c>
      <c r="B33" s="2" t="s">
        <v>405</v>
      </c>
      <c r="C33" s="39" t="n">
        <f aca="false">TÆLLA!O33+TÆLLA!AB33</f>
        <v>150.394404201615</v>
      </c>
      <c r="D33" s="39" t="n">
        <f aca="false">'Read Layer'!T33</f>
        <v>314.58</v>
      </c>
      <c r="E33" s="39" t="n">
        <f aca="false">SOMNIO!Q33</f>
        <v>16.3591588785047</v>
      </c>
      <c r="F33" s="39" t="n">
        <f aca="false">TÆLLA!Y33</f>
        <v>-413.704143178664</v>
      </c>
      <c r="G33" s="39" t="n">
        <f aca="false">'Read Layer'!AA33</f>
        <v>204.992036273346</v>
      </c>
      <c r="H33" s="39" t="n">
        <f aca="false">SOMNIO!U33</f>
        <v>-12.0013342868665</v>
      </c>
      <c r="I33" s="38" t="n">
        <f aca="false">C33+D33+E33</f>
        <v>481.333563080119</v>
      </c>
      <c r="J33" s="38" t="n">
        <f aca="false">F33+G33+H33</f>
        <v>-220.713441192184</v>
      </c>
      <c r="K33" s="38" t="n">
        <f aca="false">K32+J33</f>
        <v>-13026.2674398551</v>
      </c>
      <c r="L33" s="2" t="n">
        <f aca="false">IF(J33&gt;0,1,0)</f>
        <v>0</v>
      </c>
      <c r="M33" s="2" t="n">
        <f aca="false">IF(K33&gt;=0,1,0)</f>
        <v>0</v>
      </c>
    </row>
    <row r="34" customFormat="false" ht="15" hidden="false" customHeight="false" outlineLevel="0" collapsed="false">
      <c r="A34" s="2" t="n">
        <v>17</v>
      </c>
      <c r="B34" s="2" t="s">
        <v>406</v>
      </c>
      <c r="C34" s="39" t="n">
        <f aca="false">TÆLLA!O34+TÆLLA!AB34</f>
        <v>157.88609504872</v>
      </c>
      <c r="D34" s="39" t="n">
        <f aca="false">'Read Layer'!T34</f>
        <v>314.58</v>
      </c>
      <c r="E34" s="39" t="n">
        <f aca="false">SOMNIO!Q34</f>
        <v>17.8463551401869</v>
      </c>
      <c r="F34" s="39" t="n">
        <f aca="false">TÆLLA!Y34</f>
        <v>-407.218852881547</v>
      </c>
      <c r="G34" s="39" t="n">
        <f aca="false">'Read Layer'!AA34</f>
        <v>204.992036273346</v>
      </c>
      <c r="H34" s="39" t="n">
        <f aca="false">SOMNIO!U34</f>
        <v>-10.5141380251843</v>
      </c>
      <c r="I34" s="38" t="n">
        <f aca="false">C34+D34+E34</f>
        <v>490.312450188907</v>
      </c>
      <c r="J34" s="38" t="n">
        <f aca="false">F34+G34+H34</f>
        <v>-212.740954633385</v>
      </c>
      <c r="K34" s="38" t="n">
        <f aca="false">K33+J34</f>
        <v>-13239.0083944885</v>
      </c>
      <c r="L34" s="2" t="n">
        <f aca="false">IF(J34&gt;0,1,0)</f>
        <v>0</v>
      </c>
      <c r="M34" s="2" t="n">
        <f aca="false">IF(K34&gt;=0,1,0)</f>
        <v>0</v>
      </c>
    </row>
    <row r="35" customFormat="false" ht="15" hidden="false" customHeight="false" outlineLevel="0" collapsed="false">
      <c r="A35" s="2" t="n">
        <v>18</v>
      </c>
      <c r="B35" s="2" t="s">
        <v>407</v>
      </c>
      <c r="C35" s="39" t="n">
        <f aca="false">TÆLLA!O35+TÆLLA!AB35</f>
        <v>166.120354640905</v>
      </c>
      <c r="D35" s="39" t="n">
        <f aca="false">'Read Layer'!T35</f>
        <v>314.58</v>
      </c>
      <c r="E35" s="39" t="n">
        <f aca="false">SOMNIO!Q35</f>
        <v>19.3335514018692</v>
      </c>
      <c r="F35" s="39" t="n">
        <f aca="false">TÆLLA!Y35</f>
        <v>-400.087062241111</v>
      </c>
      <c r="G35" s="39" t="n">
        <f aca="false">'Read Layer'!AA35</f>
        <v>204.992036273346</v>
      </c>
      <c r="H35" s="39" t="n">
        <f aca="false">SOMNIO!U35</f>
        <v>-9.02694176350206</v>
      </c>
      <c r="I35" s="38" t="n">
        <f aca="false">C35+D35+E35</f>
        <v>500.033906042774</v>
      </c>
      <c r="J35" s="38" t="n">
        <f aca="false">F35+G35+H35</f>
        <v>-204.121967731267</v>
      </c>
      <c r="K35" s="38" t="n">
        <f aca="false">K34+J35</f>
        <v>-13443.1303622198</v>
      </c>
      <c r="L35" s="2" t="n">
        <f aca="false">IF(J35&gt;0,1,0)</f>
        <v>0</v>
      </c>
      <c r="M35" s="2" t="n">
        <f aca="false">IF(K35&gt;=0,1,0)</f>
        <v>0</v>
      </c>
    </row>
    <row r="36" customFormat="false" ht="15" hidden="false" customHeight="false" outlineLevel="0" collapsed="false">
      <c r="A36" s="2" t="n">
        <v>19</v>
      </c>
      <c r="B36" s="2" t="s">
        <v>408</v>
      </c>
      <c r="C36" s="39" t="n">
        <f aca="false">TÆLLA!O36+TÆLLA!AB36</f>
        <v>175.142426689408</v>
      </c>
      <c r="D36" s="39" t="n">
        <f aca="false">'Read Layer'!T36</f>
        <v>314.58</v>
      </c>
      <c r="E36" s="39" t="n">
        <f aca="false">SOMNIO!Q36</f>
        <v>20.8207476635514</v>
      </c>
      <c r="F36" s="39" t="n">
        <f aca="false">TÆLLA!Y36</f>
        <v>-392.269593677194</v>
      </c>
      <c r="G36" s="39" t="n">
        <f aca="false">'Read Layer'!AA36</f>
        <v>204.992036273346</v>
      </c>
      <c r="H36" s="39" t="n">
        <f aca="false">SOMNIO!U36</f>
        <v>-7.53974550181981</v>
      </c>
      <c r="I36" s="38" t="n">
        <f aca="false">C36+D36+E36</f>
        <v>510.54317435296</v>
      </c>
      <c r="J36" s="38" t="n">
        <f aca="false">F36+G36+H36</f>
        <v>-194.817302905668</v>
      </c>
      <c r="K36" s="38" t="n">
        <f aca="false">K35+J36</f>
        <v>-13637.9476651254</v>
      </c>
      <c r="L36" s="2" t="n">
        <f aca="false">IF(J36&gt;0,1,0)</f>
        <v>0</v>
      </c>
      <c r="M36" s="2" t="n">
        <f aca="false">IF(K36&gt;=0,1,0)</f>
        <v>0</v>
      </c>
    </row>
    <row r="37" customFormat="false" ht="15" hidden="false" customHeight="false" outlineLevel="0" collapsed="false">
      <c r="A37" s="2" t="n">
        <v>20</v>
      </c>
      <c r="B37" s="2" t="s">
        <v>409</v>
      </c>
      <c r="C37" s="39" t="n">
        <f aca="false">TÆLLA!O37+TÆLLA!AB37</f>
        <v>185.001882981556</v>
      </c>
      <c r="D37" s="39" t="n">
        <f aca="false">'Read Layer'!T37</f>
        <v>314.58</v>
      </c>
      <c r="E37" s="39" t="n">
        <f aca="false">SOMNIO!Q37</f>
        <v>22.3079439252336</v>
      </c>
      <c r="F37" s="39" t="n">
        <f aca="false">TÆLLA!Y37</f>
        <v>-383.723497461741</v>
      </c>
      <c r="G37" s="39" t="n">
        <f aca="false">'Read Layer'!AA37</f>
        <v>204.992036273346</v>
      </c>
      <c r="H37" s="39" t="n">
        <f aca="false">SOMNIO!U37</f>
        <v>-6.05254924013757</v>
      </c>
      <c r="I37" s="38" t="n">
        <f aca="false">C37+D37+E37</f>
        <v>521.88982690679</v>
      </c>
      <c r="J37" s="38" t="n">
        <f aca="false">F37+G37+H37</f>
        <v>-184.784010428533</v>
      </c>
      <c r="K37" s="38" t="n">
        <f aca="false">K36+J37</f>
        <v>-13822.731675554</v>
      </c>
      <c r="L37" s="2" t="n">
        <f aca="false">IF(J37&gt;0,1,0)</f>
        <v>0</v>
      </c>
      <c r="M37" s="2" t="n">
        <f aca="false">IF(K37&gt;=0,1,0)</f>
        <v>0</v>
      </c>
    </row>
    <row r="38" customFormat="false" ht="15" hidden="false" customHeight="false" outlineLevel="0" collapsed="false">
      <c r="A38" s="2" t="n">
        <v>21</v>
      </c>
      <c r="B38" s="2" t="s">
        <v>410</v>
      </c>
      <c r="C38" s="39" t="n">
        <f aca="false">TÆLLA!O38+TÆLLA!AB38</f>
        <v>195.752845745402</v>
      </c>
      <c r="D38" s="39" t="n">
        <f aca="false">'Read Layer'!T38</f>
        <v>314.58</v>
      </c>
      <c r="E38" s="39" t="n">
        <f aca="false">SOMNIO!Q38</f>
        <v>23.7951401869159</v>
      </c>
      <c r="F38" s="39" t="n">
        <f aca="false">TÆLLA!Y38</f>
        <v>-374.401858853019</v>
      </c>
      <c r="G38" s="39" t="n">
        <f aca="false">'Read Layer'!AA38</f>
        <v>204.992036273346</v>
      </c>
      <c r="H38" s="39" t="n">
        <f aca="false">SOMNIO!U38</f>
        <v>-4.56535297845533</v>
      </c>
      <c r="I38" s="38" t="n">
        <f aca="false">C38+D38+E38</f>
        <v>534.127985932318</v>
      </c>
      <c r="J38" s="38" t="n">
        <f aca="false">F38+G38+H38</f>
        <v>-173.975175558128</v>
      </c>
      <c r="K38" s="38" t="n">
        <f aca="false">K37+J38</f>
        <v>-13996.7068511121</v>
      </c>
      <c r="L38" s="2" t="n">
        <f aca="false">IF(J38&gt;0,1,0)</f>
        <v>0</v>
      </c>
      <c r="M38" s="2" t="n">
        <f aca="false">IF(K38&gt;=0,1,0)</f>
        <v>0</v>
      </c>
    </row>
    <row r="39" customFormat="false" ht="15" hidden="false" customHeight="false" outlineLevel="0" collapsed="false">
      <c r="A39" s="2" t="n">
        <v>22</v>
      </c>
      <c r="B39" s="2" t="s">
        <v>411</v>
      </c>
      <c r="C39" s="39" t="n">
        <f aca="false">TÆLLA!O39+TÆLLA!AB39</f>
        <v>207.45422715006</v>
      </c>
      <c r="D39" s="39" t="n">
        <f aca="false">'Read Layer'!T39</f>
        <v>314.58</v>
      </c>
      <c r="E39" s="39" t="n">
        <f aca="false">SOMNIO!Q39</f>
        <v>25.2823364485981</v>
      </c>
      <c r="F39" s="39" t="n">
        <f aca="false">TÆLLA!Y39</f>
        <v>-364.253590188661</v>
      </c>
      <c r="G39" s="39" t="n">
        <f aca="false">'Read Layer'!AA39</f>
        <v>204.992036273346</v>
      </c>
      <c r="H39" s="39" t="n">
        <f aca="false">SOMNIO!U39</f>
        <v>-3.07815671677308</v>
      </c>
      <c r="I39" s="38" t="n">
        <f aca="false">C39+D39+E39</f>
        <v>547.316563598658</v>
      </c>
      <c r="J39" s="38" t="n">
        <f aca="false">F39+G39+H39</f>
        <v>-162.339710632087</v>
      </c>
      <c r="K39" s="38" t="n">
        <f aca="false">K38+J39</f>
        <v>-14159.0465617442</v>
      </c>
      <c r="L39" s="2" t="n">
        <f aca="false">IF(J39&gt;0,1,0)</f>
        <v>0</v>
      </c>
      <c r="M39" s="2" t="n">
        <f aca="false">IF(K39&gt;=0,1,0)</f>
        <v>0</v>
      </c>
    </row>
    <row r="40" customFormat="false" ht="15" hidden="false" customHeight="false" outlineLevel="0" collapsed="false">
      <c r="A40" s="2" t="n">
        <v>23</v>
      </c>
      <c r="B40" s="2" t="s">
        <v>412</v>
      </c>
      <c r="C40" s="39" t="n">
        <f aca="false">TÆLLA!O40+TÆLLA!AB40</f>
        <v>220.169985741306</v>
      </c>
      <c r="D40" s="39" t="n">
        <f aca="false">'Read Layer'!T40</f>
        <v>314.58</v>
      </c>
      <c r="E40" s="39" t="n">
        <f aca="false">SOMNIO!Q40</f>
        <v>26.7695327102804</v>
      </c>
      <c r="F40" s="39" t="n">
        <f aca="false">TÆLLA!Y40</f>
        <v>-353.223208102657</v>
      </c>
      <c r="G40" s="39" t="n">
        <f aca="false">'Read Layer'!AA40</f>
        <v>204.992036273346</v>
      </c>
      <c r="H40" s="39" t="n">
        <f aca="false">SOMNIO!U40</f>
        <v>-1.59096045509084</v>
      </c>
      <c r="I40" s="38" t="n">
        <f aca="false">C40+D40+E40</f>
        <v>561.519518451587</v>
      </c>
      <c r="J40" s="38" t="n">
        <f aca="false">F40+G40+H40</f>
        <v>-149.822132284402</v>
      </c>
      <c r="K40" s="38" t="n">
        <f aca="false">K39+J40</f>
        <v>-14308.8686940286</v>
      </c>
      <c r="L40" s="2" t="n">
        <f aca="false">IF(J40&gt;0,1,0)</f>
        <v>0</v>
      </c>
      <c r="M40" s="2" t="n">
        <f aca="false">IF(K40&gt;=0,1,0)</f>
        <v>0</v>
      </c>
    </row>
    <row r="41" customFormat="false" ht="15" hidden="false" customHeight="false" outlineLevel="0" collapsed="false">
      <c r="A41" s="2" t="n">
        <v>24</v>
      </c>
      <c r="B41" s="2" t="s">
        <v>413</v>
      </c>
      <c r="C41" s="39" t="n">
        <f aca="false">TÆLLA!O41+TÆLLA!AB41</f>
        <v>233.969399482952</v>
      </c>
      <c r="D41" s="39" t="n">
        <f aca="false">'Read Layer'!T41</f>
        <v>314.58</v>
      </c>
      <c r="E41" s="39" t="n">
        <f aca="false">SOMNIO!Q41</f>
        <v>28.2567289719626</v>
      </c>
      <c r="F41" s="39" t="n">
        <f aca="false">TÆLLA!Y41</f>
        <v>-341.250596141069</v>
      </c>
      <c r="G41" s="39" t="n">
        <f aca="false">'Read Layer'!AA41</f>
        <v>204.992036273346</v>
      </c>
      <c r="H41" s="39" t="n">
        <f aca="false">SOMNIO!U41</f>
        <v>-0.103764193408598</v>
      </c>
      <c r="I41" s="38" t="n">
        <f aca="false">C41+D41+E41</f>
        <v>576.806128454915</v>
      </c>
      <c r="J41" s="38" t="n">
        <f aca="false">F41+G41+H41</f>
        <v>-136.362324061132</v>
      </c>
      <c r="K41" s="38" t="n">
        <f aca="false">K40+J41</f>
        <v>-14445.2310180897</v>
      </c>
      <c r="L41" s="2" t="n">
        <f aca="false">IF(J41&gt;0,1,0)</f>
        <v>0</v>
      </c>
      <c r="M41" s="2" t="n">
        <f aca="false">IF(K41&gt;=0,1,0)</f>
        <v>0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customFormat="false" ht="15" hidden="false" customHeight="false" outlineLevel="0" collapsed="false">
      <c r="A45" s="33" t="str">
        <f aca="false">"Szenario mittel – "&amp;Annahmen!$C$142</f>
        <v>Szenario mittel – profitabler Nebenerwerb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customFormat="false" ht="42" hidden="false" customHeight="true" outlineLevel="0" collapsed="false">
      <c r="A46" s="32" t="s">
        <v>99</v>
      </c>
      <c r="B46" s="32" t="s">
        <v>359</v>
      </c>
      <c r="C46" s="32" t="s">
        <v>473</v>
      </c>
      <c r="D46" s="32" t="s">
        <v>474</v>
      </c>
      <c r="E46" s="32" t="s">
        <v>475</v>
      </c>
      <c r="F46" s="32" t="s">
        <v>476</v>
      </c>
      <c r="G46" s="32" t="s">
        <v>477</v>
      </c>
      <c r="H46" s="32" t="s">
        <v>478</v>
      </c>
      <c r="I46" s="32" t="s">
        <v>441</v>
      </c>
      <c r="J46" s="32" t="s">
        <v>468</v>
      </c>
      <c r="K46" s="32" t="s">
        <v>383</v>
      </c>
      <c r="L46" s="32" t="s">
        <v>388</v>
      </c>
      <c r="M46" s="32" t="s">
        <v>389</v>
      </c>
    </row>
    <row r="47" customFormat="false" ht="15" hidden="false" customHeight="false" outlineLevel="0" collapsed="false">
      <c r="A47" s="2" t="n">
        <v>1</v>
      </c>
      <c r="B47" s="2" t="s">
        <v>390</v>
      </c>
      <c r="C47" s="39" t="n">
        <f aca="false">TÆLLA!O47+TÆLLA!AB47</f>
        <v>0</v>
      </c>
      <c r="D47" s="39" t="n">
        <f aca="false">'Read Layer'!T47</f>
        <v>0</v>
      </c>
      <c r="E47" s="39" t="n">
        <f aca="false">SOMNIO!Q47</f>
        <v>0</v>
      </c>
      <c r="F47" s="39" t="n">
        <f aca="false">TÆLLA!Y47</f>
        <v>-4037.23543921551</v>
      </c>
      <c r="G47" s="39" t="n">
        <f aca="false">'Read Layer'!AA47</f>
        <v>-2006.16889953485</v>
      </c>
      <c r="H47" s="39" t="n">
        <f aca="false">SOMNIO!U47</f>
        <v>-657.207602742593</v>
      </c>
      <c r="I47" s="38" t="n">
        <f aca="false">C47+D47+E47</f>
        <v>0</v>
      </c>
      <c r="J47" s="38" t="n">
        <f aca="false">F47+G47+H47</f>
        <v>-6700.61194149295</v>
      </c>
      <c r="K47" s="38" t="n">
        <f aca="false">J47</f>
        <v>-6700.61194149295</v>
      </c>
      <c r="L47" s="2" t="n">
        <f aca="false">IF(J47&gt;0,1,0)</f>
        <v>0</v>
      </c>
      <c r="M47" s="2" t="n">
        <f aca="false">IF(K47&gt;=0,1,0)</f>
        <v>0</v>
      </c>
    </row>
    <row r="48" customFormat="false" ht="15" hidden="false" customHeight="false" outlineLevel="0" collapsed="false">
      <c r="A48" s="2" t="n">
        <v>2</v>
      </c>
      <c r="B48" s="2" t="s">
        <v>391</v>
      </c>
      <c r="C48" s="39" t="n">
        <f aca="false">TÆLLA!O48+TÆLLA!AB48</f>
        <v>0</v>
      </c>
      <c r="D48" s="39" t="n">
        <f aca="false">'Read Layer'!T48</f>
        <v>0</v>
      </c>
      <c r="E48" s="39" t="n">
        <f aca="false">SOMNIO!Q48</f>
        <v>0</v>
      </c>
      <c r="F48" s="39" t="n">
        <f aca="false">TÆLLA!Y48</f>
        <v>-611.288169941225</v>
      </c>
      <c r="G48" s="39" t="n">
        <f aca="false">'Read Layer'!AA48</f>
        <v>-200.827570803181</v>
      </c>
      <c r="H48" s="39" t="n">
        <f aca="false">SOMNIO!U48</f>
        <v>-28.3604931653712</v>
      </c>
      <c r="I48" s="38" t="n">
        <f aca="false">C48+D48+E48</f>
        <v>0</v>
      </c>
      <c r="J48" s="38" t="n">
        <f aca="false">F48+G48+H48</f>
        <v>-840.476233909776</v>
      </c>
      <c r="K48" s="38" t="n">
        <f aca="false">K47+J48</f>
        <v>-7541.08817540272</v>
      </c>
      <c r="L48" s="2" t="n">
        <f aca="false">IF(J48&gt;0,1,0)</f>
        <v>0</v>
      </c>
      <c r="M48" s="2" t="n">
        <f aca="false">IF(K48&gt;=0,1,0)</f>
        <v>0</v>
      </c>
    </row>
    <row r="49" customFormat="false" ht="15" hidden="false" customHeight="false" outlineLevel="0" collapsed="false">
      <c r="A49" s="2" t="n">
        <v>3</v>
      </c>
      <c r="B49" s="2" t="s">
        <v>392</v>
      </c>
      <c r="C49" s="39" t="n">
        <f aca="false">TÆLLA!O49+TÆLLA!AB49</f>
        <v>173.512605042017</v>
      </c>
      <c r="D49" s="39" t="n">
        <f aca="false">'Read Layer'!T49</f>
        <v>0</v>
      </c>
      <c r="E49" s="39" t="n">
        <f aca="false">SOMNIO!Q49</f>
        <v>0</v>
      </c>
      <c r="F49" s="39" t="n">
        <f aca="false">TÆLLA!Y49</f>
        <v>-1014.24196501153</v>
      </c>
      <c r="G49" s="39" t="n">
        <f aca="false">'Read Layer'!AA49</f>
        <v>-480.827570803181</v>
      </c>
      <c r="H49" s="39" t="n">
        <f aca="false">SOMNIO!U49</f>
        <v>-98.3604931653712</v>
      </c>
      <c r="I49" s="38" t="n">
        <f aca="false">C49+D49+E49</f>
        <v>173.512605042017</v>
      </c>
      <c r="J49" s="38" t="n">
        <f aca="false">F49+G49+H49</f>
        <v>-1593.43002898008</v>
      </c>
      <c r="K49" s="38" t="n">
        <f aca="false">K48+J49</f>
        <v>-9134.5182043828</v>
      </c>
      <c r="L49" s="2" t="n">
        <f aca="false">IF(J49&gt;0,1,0)</f>
        <v>0</v>
      </c>
      <c r="M49" s="2" t="n">
        <f aca="false">IF(K49&gt;=0,1,0)</f>
        <v>0</v>
      </c>
    </row>
    <row r="50" customFormat="false" ht="15" hidden="false" customHeight="false" outlineLevel="0" collapsed="false">
      <c r="A50" s="2" t="n">
        <v>4</v>
      </c>
      <c r="B50" s="2" t="s">
        <v>393</v>
      </c>
      <c r="C50" s="39" t="n">
        <f aca="false">TÆLLA!O50+TÆLLA!AB50</f>
        <v>200.152661064426</v>
      </c>
      <c r="D50" s="39" t="n">
        <f aca="false">'Read Layer'!T50</f>
        <v>1505.35806451613</v>
      </c>
      <c r="E50" s="39" t="n">
        <f aca="false">SOMNIO!Q50</f>
        <v>9.56845794392523</v>
      </c>
      <c r="F50" s="39" t="n">
        <f aca="false">TÆLLA!Y50</f>
        <v>-1005.9436719443</v>
      </c>
      <c r="G50" s="39" t="n">
        <f aca="false">'Read Layer'!AA50</f>
        <v>1279.07464883754</v>
      </c>
      <c r="H50" s="39" t="n">
        <f aca="false">SOMNIO!U50</f>
        <v>-118.792035221446</v>
      </c>
      <c r="I50" s="38" t="n">
        <f aca="false">C50+D50+E50</f>
        <v>1715.07918352448</v>
      </c>
      <c r="J50" s="38" t="n">
        <f aca="false">F50+G50+H50</f>
        <v>154.338941671795</v>
      </c>
      <c r="K50" s="38" t="n">
        <f aca="false">K49+J50</f>
        <v>-8980.17926271101</v>
      </c>
      <c r="L50" s="2" t="n">
        <f aca="false">IF(J50&gt;0,1,0)</f>
        <v>1</v>
      </c>
      <c r="M50" s="2" t="n">
        <f aca="false">IF(K50&gt;=0,1,0)</f>
        <v>0</v>
      </c>
    </row>
    <row r="51" customFormat="false" ht="15" hidden="false" customHeight="false" outlineLevel="0" collapsed="false">
      <c r="A51" s="2" t="n">
        <v>5</v>
      </c>
      <c r="B51" s="2" t="s">
        <v>394</v>
      </c>
      <c r="C51" s="39" t="n">
        <f aca="false">TÆLLA!O51+TÆLLA!AB51</f>
        <v>229.180332107843</v>
      </c>
      <c r="D51" s="39" t="n">
        <f aca="false">'Read Layer'!T51</f>
        <v>1505.35806451613</v>
      </c>
      <c r="E51" s="39" t="n">
        <f aca="false">SOMNIO!Q51</f>
        <v>19.1369158878505</v>
      </c>
      <c r="F51" s="39" t="n">
        <f aca="false">TÆLLA!Y51</f>
        <v>-1220.5953676966</v>
      </c>
      <c r="G51" s="39" t="n">
        <f aca="false">'Read Layer'!AA51</f>
        <v>719.074648837544</v>
      </c>
      <c r="H51" s="39" t="n">
        <f aca="false">SOMNIO!U51</f>
        <v>-109.223577277521</v>
      </c>
      <c r="I51" s="38" t="n">
        <f aca="false">C51+D51+E51</f>
        <v>1753.67531251182</v>
      </c>
      <c r="J51" s="38" t="n">
        <f aca="false">F51+G51+H51</f>
        <v>-610.744296136576</v>
      </c>
      <c r="K51" s="38" t="n">
        <f aca="false">K50+J51</f>
        <v>-9590.92355884759</v>
      </c>
      <c r="L51" s="2" t="n">
        <f aca="false">IF(J51&gt;0,1,0)</f>
        <v>0</v>
      </c>
      <c r="M51" s="2" t="n">
        <f aca="false">IF(K51&gt;=0,1,0)</f>
        <v>0</v>
      </c>
    </row>
    <row r="52" customFormat="false" ht="15" hidden="false" customHeight="false" outlineLevel="0" collapsed="false">
      <c r="A52" s="2" t="n">
        <v>6</v>
      </c>
      <c r="B52" s="2" t="s">
        <v>395</v>
      </c>
      <c r="C52" s="39" t="n">
        <f aca="false">TÆLLA!O52+TÆLLA!AB52</f>
        <v>261.012596527869</v>
      </c>
      <c r="D52" s="39" t="n">
        <f aca="false">'Read Layer'!T52</f>
        <v>1505.35806451613</v>
      </c>
      <c r="E52" s="39" t="n">
        <f aca="false">SOMNIO!Q52</f>
        <v>28.7053738317757</v>
      </c>
      <c r="F52" s="39" t="n">
        <f aca="false">TÆLLA!Y52</f>
        <v>-952.84176215142</v>
      </c>
      <c r="G52" s="39" t="n">
        <f aca="false">'Read Layer'!AA52</f>
        <v>1279.07464883754</v>
      </c>
      <c r="H52" s="39" t="n">
        <f aca="false">SOMNIO!U52</f>
        <v>-99.6551193335955</v>
      </c>
      <c r="I52" s="38" t="n">
        <f aca="false">C52+D52+E52</f>
        <v>1795.07603487577</v>
      </c>
      <c r="J52" s="38" t="n">
        <f aca="false">F52+G52+H52</f>
        <v>226.577767352528</v>
      </c>
      <c r="K52" s="38" t="n">
        <f aca="false">K51+J52</f>
        <v>-9364.34579149506</v>
      </c>
      <c r="L52" s="2" t="n">
        <f aca="false">IF(J52&gt;0,1,0)</f>
        <v>1</v>
      </c>
      <c r="M52" s="2" t="n">
        <f aca="false">IF(K52&gt;=0,1,0)</f>
        <v>0</v>
      </c>
    </row>
    <row r="53" customFormat="false" ht="15" hidden="false" customHeight="false" outlineLevel="0" collapsed="false">
      <c r="A53" s="2" t="n">
        <v>7</v>
      </c>
      <c r="B53" s="2" t="s">
        <v>396</v>
      </c>
      <c r="C53" s="39" t="n">
        <f aca="false">TÆLLA!O53+TÆLLA!AB53</f>
        <v>695.754631763434</v>
      </c>
      <c r="D53" s="39" t="n">
        <f aca="false">'Read Layer'!T53</f>
        <v>2163.91806451613</v>
      </c>
      <c r="E53" s="39" t="n">
        <f aca="false">SOMNIO!Q53</f>
        <v>38.2738317757009</v>
      </c>
      <c r="F53" s="39" t="n">
        <f aca="false">TÆLLA!Y53</f>
        <v>-551.049891278732</v>
      </c>
      <c r="G53" s="39" t="n">
        <f aca="false">'Read Layer'!AA53</f>
        <v>1925.49420825762</v>
      </c>
      <c r="H53" s="39" t="n">
        <f aca="false">SOMNIO!U53</f>
        <v>-90.0866613896703</v>
      </c>
      <c r="I53" s="38" t="n">
        <f aca="false">C53+D53+E53</f>
        <v>2897.94652805526</v>
      </c>
      <c r="J53" s="38" t="n">
        <f aca="false">F53+G53+H53</f>
        <v>1284.35765558921</v>
      </c>
      <c r="K53" s="38" t="n">
        <f aca="false">K52+J53</f>
        <v>-8079.98813590584</v>
      </c>
      <c r="L53" s="2" t="n">
        <f aca="false">IF(J53&gt;0,1,0)</f>
        <v>1</v>
      </c>
      <c r="M53" s="2" t="n">
        <f aca="false">IF(K53&gt;=0,1,0)</f>
        <v>0</v>
      </c>
    </row>
    <row r="54" customFormat="false" ht="15" hidden="false" customHeight="false" outlineLevel="0" collapsed="false">
      <c r="A54" s="2" t="n">
        <v>8</v>
      </c>
      <c r="B54" s="2" t="s">
        <v>397</v>
      </c>
      <c r="C54" s="39" t="n">
        <f aca="false">TÆLLA!O54+TÆLLA!AB54</f>
        <v>710.8015784507</v>
      </c>
      <c r="D54" s="39" t="n">
        <f aca="false">'Read Layer'!T54</f>
        <v>2163.91806451613</v>
      </c>
      <c r="E54" s="39" t="n">
        <f aca="false">SOMNIO!Q54</f>
        <v>47.8422897196262</v>
      </c>
      <c r="F54" s="39" t="n">
        <f aca="false">TÆLLA!Y54</f>
        <v>-538.765054185722</v>
      </c>
      <c r="G54" s="39" t="n">
        <f aca="false">'Read Layer'!AA54</f>
        <v>1925.49420825762</v>
      </c>
      <c r="H54" s="39" t="n">
        <f aca="false">SOMNIO!U54</f>
        <v>-80.518203445745</v>
      </c>
      <c r="I54" s="38" t="n">
        <f aca="false">C54+D54+E54</f>
        <v>2922.56193268645</v>
      </c>
      <c r="J54" s="38" t="n">
        <f aca="false">F54+G54+H54</f>
        <v>1306.21095062615</v>
      </c>
      <c r="K54" s="38" t="n">
        <f aca="false">K53+J54</f>
        <v>-6773.77718527969</v>
      </c>
      <c r="L54" s="2" t="n">
        <f aca="false">IF(J54&gt;0,1,0)</f>
        <v>1</v>
      </c>
      <c r="M54" s="2" t="n">
        <f aca="false">IF(K54&gt;=0,1,0)</f>
        <v>0</v>
      </c>
    </row>
    <row r="55" customFormat="false" ht="15" hidden="false" customHeight="false" outlineLevel="0" collapsed="false">
      <c r="A55" s="2" t="n">
        <v>9</v>
      </c>
      <c r="B55" s="2" t="s">
        <v>398</v>
      </c>
      <c r="C55" s="39" t="n">
        <f aca="false">TÆLLA!O55+TÆLLA!AB55</f>
        <v>731.856992795394</v>
      </c>
      <c r="D55" s="39" t="n">
        <f aca="false">'Read Layer'!T55</f>
        <v>2163.91806451613</v>
      </c>
      <c r="E55" s="39" t="n">
        <f aca="false">SOMNIO!Q55</f>
        <v>57.4107476635514</v>
      </c>
      <c r="F55" s="39" t="n">
        <f aca="false">TÆLLA!Y55</f>
        <v>-521.24904154244</v>
      </c>
      <c r="G55" s="39" t="n">
        <f aca="false">'Read Layer'!AA55</f>
        <v>1925.49420825762</v>
      </c>
      <c r="H55" s="39" t="n">
        <f aca="false">SOMNIO!U55</f>
        <v>-70.9497455018198</v>
      </c>
      <c r="I55" s="38" t="n">
        <f aca="false">C55+D55+E55</f>
        <v>2953.18580497507</v>
      </c>
      <c r="J55" s="38" t="n">
        <f aca="false">F55+G55+H55</f>
        <v>1333.29542121336</v>
      </c>
      <c r="K55" s="38" t="n">
        <f aca="false">K54+J55</f>
        <v>-5440.48176406634</v>
      </c>
      <c r="L55" s="2" t="n">
        <f aca="false">IF(J55&gt;0,1,0)</f>
        <v>1</v>
      </c>
      <c r="M55" s="2" t="n">
        <f aca="false">IF(K55&gt;=0,1,0)</f>
        <v>0</v>
      </c>
    </row>
    <row r="56" customFormat="false" ht="15" hidden="false" customHeight="false" outlineLevel="0" collapsed="false">
      <c r="A56" s="2" t="n">
        <v>10</v>
      </c>
      <c r="B56" s="2" t="s">
        <v>399</v>
      </c>
      <c r="C56" s="39" t="n">
        <f aca="false">TÆLLA!O56+TÆLLA!AB56</f>
        <v>925.603626882216</v>
      </c>
      <c r="D56" s="39" t="n">
        <f aca="false">'Read Layer'!T56</f>
        <v>2163.91806451613</v>
      </c>
      <c r="E56" s="39" t="n">
        <f aca="false">SOMNIO!Q56</f>
        <v>261.979205607477</v>
      </c>
      <c r="F56" s="39" t="n">
        <f aca="false">TÆLLA!Y56</f>
        <v>-331.911963853977</v>
      </c>
      <c r="G56" s="39" t="n">
        <f aca="false">'Read Layer'!AA56</f>
        <v>1925.49420825762</v>
      </c>
      <c r="H56" s="39" t="n">
        <f aca="false">SOMNIO!U56</f>
        <v>129.282840806417</v>
      </c>
      <c r="I56" s="38" t="n">
        <f aca="false">C56+D56+E56</f>
        <v>3351.50089700582</v>
      </c>
      <c r="J56" s="38" t="n">
        <f aca="false">F56+G56+H56</f>
        <v>1722.86508521006</v>
      </c>
      <c r="K56" s="38" t="n">
        <f aca="false">K55+J56</f>
        <v>-3717.61667885628</v>
      </c>
      <c r="L56" s="2" t="n">
        <f aca="false">IF(J56&gt;0,1,0)</f>
        <v>1</v>
      </c>
      <c r="M56" s="2" t="n">
        <f aca="false">IF(K56&gt;=0,1,0)</f>
        <v>0</v>
      </c>
    </row>
    <row r="57" customFormat="false" ht="15" hidden="false" customHeight="false" outlineLevel="0" collapsed="false">
      <c r="A57" s="2" t="n">
        <v>11</v>
      </c>
      <c r="B57" s="2" t="s">
        <v>400</v>
      </c>
      <c r="C57" s="39" t="n">
        <f aca="false">TÆLLA!O57+TÆLLA!AB57</f>
        <v>979.746147547164</v>
      </c>
      <c r="D57" s="39" t="n">
        <f aca="false">'Read Layer'!T57</f>
        <v>2163.91806451613</v>
      </c>
      <c r="E57" s="39" t="n">
        <f aca="false">SOMNIO!Q57</f>
        <v>271.547663551402</v>
      </c>
      <c r="F57" s="39" t="n">
        <f aca="false">TÆLLA!Y57</f>
        <v>-283.15680204915</v>
      </c>
      <c r="G57" s="39" t="n">
        <f aca="false">'Read Layer'!AA57</f>
        <v>1925.49420825762</v>
      </c>
      <c r="H57" s="39" t="n">
        <f aca="false">SOMNIO!U57</f>
        <v>138.851298750342</v>
      </c>
      <c r="I57" s="38" t="n">
        <f aca="false">C57+D57+E57</f>
        <v>3415.21187561469</v>
      </c>
      <c r="J57" s="38" t="n">
        <f aca="false">F57+G57+H57</f>
        <v>1781.18870495881</v>
      </c>
      <c r="K57" s="38" t="n">
        <f aca="false">K56+J57</f>
        <v>-1936.42797389747</v>
      </c>
      <c r="L57" s="2" t="n">
        <f aca="false">IF(J57&gt;0,1,0)</f>
        <v>1</v>
      </c>
      <c r="M57" s="2" t="n">
        <f aca="false">IF(K57&gt;=0,1,0)</f>
        <v>0</v>
      </c>
    </row>
    <row r="58" customFormat="false" ht="15" hidden="false" customHeight="false" outlineLevel="0" collapsed="false">
      <c r="A58" s="2" t="n">
        <v>12</v>
      </c>
      <c r="B58" s="2" t="s">
        <v>401</v>
      </c>
      <c r="C58" s="39" t="n">
        <f aca="false">TÆLLA!O58+TÆLLA!AB58</f>
        <v>1044.97478370437</v>
      </c>
      <c r="D58" s="39" t="n">
        <f aca="false">'Read Layer'!T58</f>
        <v>2163.91806451613</v>
      </c>
      <c r="E58" s="39" t="n">
        <f aca="false">SOMNIO!Q58</f>
        <v>281.116121495327</v>
      </c>
      <c r="F58" s="39" t="n">
        <f aca="false">TÆLLA!Y58</f>
        <v>-224.417754577065</v>
      </c>
      <c r="G58" s="39" t="n">
        <f aca="false">'Read Layer'!AA58</f>
        <v>1925.49420825762</v>
      </c>
      <c r="H58" s="39" t="n">
        <f aca="false">SOMNIO!U58</f>
        <v>148.419756694268</v>
      </c>
      <c r="I58" s="38" t="n">
        <f aca="false">C58+D58+E58</f>
        <v>3490.00896971582</v>
      </c>
      <c r="J58" s="38" t="n">
        <f aca="false">F58+G58+H58</f>
        <v>1849.49621037482</v>
      </c>
      <c r="K58" s="38" t="n">
        <f aca="false">K57+J58</f>
        <v>-86.9317635226537</v>
      </c>
      <c r="L58" s="2" t="n">
        <f aca="false">IF(J58&gt;0,1,0)</f>
        <v>1</v>
      </c>
      <c r="M58" s="2" t="n">
        <f aca="false">IF(K58&gt;=0,1,0)</f>
        <v>0</v>
      </c>
    </row>
    <row r="59" customFormat="false" ht="15" hidden="false" customHeight="false" outlineLevel="0" collapsed="false">
      <c r="A59" s="2" t="n">
        <v>13</v>
      </c>
      <c r="B59" s="2" t="s">
        <v>402</v>
      </c>
      <c r="C59" s="39" t="n">
        <f aca="false">TÆLLA!O59+TÆLLA!AB59</f>
        <v>1122.73211344889</v>
      </c>
      <c r="D59" s="39" t="n">
        <f aca="false">'Read Layer'!T59</f>
        <v>2163.91806451613</v>
      </c>
      <c r="E59" s="39" t="n">
        <f aca="false">SOMNIO!Q59</f>
        <v>290.684579439252</v>
      </c>
      <c r="F59" s="39" t="n">
        <f aca="false">TÆLLA!Y59</f>
        <v>-154.395704466439</v>
      </c>
      <c r="G59" s="39" t="n">
        <f aca="false">'Read Layer'!AA59</f>
        <v>1925.49420825762</v>
      </c>
      <c r="H59" s="39" t="n">
        <f aca="false">SOMNIO!U59</f>
        <v>157.988214638193</v>
      </c>
      <c r="I59" s="38" t="n">
        <f aca="false">C59+D59+E59</f>
        <v>3577.33475740428</v>
      </c>
      <c r="J59" s="38" t="n">
        <f aca="false">F59+G59+H59</f>
        <v>1929.08671842937</v>
      </c>
      <c r="K59" s="38" t="n">
        <f aca="false">K58+J59</f>
        <v>1842.15495490672</v>
      </c>
      <c r="L59" s="2" t="n">
        <f aca="false">IF(J59&gt;0,1,0)</f>
        <v>1</v>
      </c>
      <c r="M59" s="2" t="n">
        <f aca="false">IF(K59&gt;=0,1,0)</f>
        <v>1</v>
      </c>
    </row>
    <row r="60" customFormat="false" ht="15" hidden="false" customHeight="false" outlineLevel="0" collapsed="false">
      <c r="A60" s="2" t="n">
        <v>14</v>
      </c>
      <c r="B60" s="2" t="s">
        <v>403</v>
      </c>
      <c r="C60" s="39" t="n">
        <f aca="false">TÆLLA!O60+TÆLLA!AB60</f>
        <v>1214.67767643925</v>
      </c>
      <c r="D60" s="39" t="n">
        <f aca="false">'Read Layer'!T60</f>
        <v>2163.91806451613</v>
      </c>
      <c r="E60" s="39" t="n">
        <f aca="false">SOMNIO!Q60</f>
        <v>300.253037383178</v>
      </c>
      <c r="F60" s="39" t="n">
        <f aca="false">TÆLLA!Y60</f>
        <v>-71.5961460097965</v>
      </c>
      <c r="G60" s="39" t="n">
        <f aca="false">'Read Layer'!AA60</f>
        <v>1925.49420825762</v>
      </c>
      <c r="H60" s="39" t="n">
        <f aca="false">SOMNIO!U60</f>
        <v>167.556672582118</v>
      </c>
      <c r="I60" s="38" t="n">
        <f aca="false">C60+D60+E60</f>
        <v>3678.84877833856</v>
      </c>
      <c r="J60" s="38" t="n">
        <f aca="false">F60+G60+H60</f>
        <v>2021.45473482994</v>
      </c>
      <c r="K60" s="38" t="n">
        <f aca="false">K59+J60</f>
        <v>3863.60968973665</v>
      </c>
      <c r="L60" s="2" t="n">
        <f aca="false">IF(J60&gt;0,1,0)</f>
        <v>1</v>
      </c>
      <c r="M60" s="2" t="n">
        <f aca="false">IF(K60&gt;=0,1,0)</f>
        <v>1</v>
      </c>
    </row>
    <row r="61" customFormat="false" ht="15" hidden="false" customHeight="false" outlineLevel="0" collapsed="false">
      <c r="A61" s="2" t="n">
        <v>15</v>
      </c>
      <c r="B61" s="2" t="s">
        <v>404</v>
      </c>
      <c r="C61" s="39" t="n">
        <f aca="false">TÆLLA!O61+TÆLLA!AB61</f>
        <v>1322.71662790034</v>
      </c>
      <c r="D61" s="39" t="n">
        <f aca="false">'Read Layer'!T61</f>
        <v>2163.91806451613</v>
      </c>
      <c r="E61" s="39" t="n">
        <f aca="false">SOMNIO!Q61</f>
        <v>309.821495327103</v>
      </c>
      <c r="F61" s="39" t="n">
        <f aca="false">TÆLLA!Y61</f>
        <v>25.6966203427881</v>
      </c>
      <c r="G61" s="39" t="n">
        <f aca="false">'Read Layer'!AA61</f>
        <v>1925.49420825762</v>
      </c>
      <c r="H61" s="39" t="n">
        <f aca="false">SOMNIO!U61</f>
        <v>177.125130526043</v>
      </c>
      <c r="I61" s="38" t="n">
        <f aca="false">C61+D61+E61</f>
        <v>3796.45618774357</v>
      </c>
      <c r="J61" s="38" t="n">
        <f aca="false">F61+G61+H61</f>
        <v>2128.31595912645</v>
      </c>
      <c r="K61" s="38" t="n">
        <f aca="false">K60+J61</f>
        <v>5991.9256488631</v>
      </c>
      <c r="L61" s="2" t="n">
        <f aca="false">IF(J61&gt;0,1,0)</f>
        <v>1</v>
      </c>
      <c r="M61" s="2" t="n">
        <f aca="false">IF(K61&gt;=0,1,0)</f>
        <v>1</v>
      </c>
    </row>
    <row r="62" customFormat="false" ht="15" hidden="false" customHeight="false" outlineLevel="0" collapsed="false">
      <c r="A62" s="2" t="n">
        <v>16</v>
      </c>
      <c r="B62" s="2" t="s">
        <v>405</v>
      </c>
      <c r="C62" s="39" t="n">
        <f aca="false">TÆLLA!O62+TÆLLA!AB62</f>
        <v>1449.03174646821</v>
      </c>
      <c r="D62" s="39" t="n">
        <f aca="false">'Read Layer'!T62</f>
        <v>2163.91806451613</v>
      </c>
      <c r="E62" s="39" t="n">
        <f aca="false">SOMNIO!Q62</f>
        <v>319.389953271028</v>
      </c>
      <c r="F62" s="39" t="n">
        <f aca="false">TÆLLA!Y62</f>
        <v>139.44831360154</v>
      </c>
      <c r="G62" s="39" t="n">
        <f aca="false">'Read Layer'!AA62</f>
        <v>1925.49420825762</v>
      </c>
      <c r="H62" s="39" t="n">
        <f aca="false">SOMNIO!U62</f>
        <v>186.693588469969</v>
      </c>
      <c r="I62" s="38" t="n">
        <f aca="false">C62+D62+E62</f>
        <v>3932.33976425537</v>
      </c>
      <c r="J62" s="38" t="n">
        <f aca="false">F62+G62+H62</f>
        <v>2251.63611032912</v>
      </c>
      <c r="K62" s="38" t="n">
        <f aca="false">K61+J62</f>
        <v>8243.56175919223</v>
      </c>
      <c r="L62" s="2" t="n">
        <f aca="false">IF(J62&gt;0,1,0)</f>
        <v>1</v>
      </c>
      <c r="M62" s="2" t="n">
        <f aca="false">IF(K62&gt;=0,1,0)</f>
        <v>1</v>
      </c>
    </row>
    <row r="63" customFormat="false" ht="15" hidden="false" customHeight="false" outlineLevel="0" collapsed="false">
      <c r="A63" s="2" t="n">
        <v>17</v>
      </c>
      <c r="B63" s="2" t="s">
        <v>406</v>
      </c>
      <c r="C63" s="39" t="n">
        <f aca="false">TÆLLA!O63+TÆLLA!AB63</f>
        <v>1596.1190017215</v>
      </c>
      <c r="D63" s="39" t="n">
        <f aca="false">'Read Layer'!T63</f>
        <v>2163.91806451613</v>
      </c>
      <c r="E63" s="39" t="n">
        <f aca="false">SOMNIO!Q63</f>
        <v>328.958411214953</v>
      </c>
      <c r="F63" s="39" t="n">
        <f aca="false">TÆLLA!Y63</f>
        <v>271.906703795965</v>
      </c>
      <c r="G63" s="39" t="n">
        <f aca="false">'Read Layer'!AA63</f>
        <v>1925.49420825762</v>
      </c>
      <c r="H63" s="39" t="n">
        <f aca="false">SOMNIO!U63</f>
        <v>196.262046413894</v>
      </c>
      <c r="I63" s="38" t="n">
        <f aca="false">C63+D63+E63</f>
        <v>4088.99547745259</v>
      </c>
      <c r="J63" s="38" t="n">
        <f aca="false">F63+G63+H63</f>
        <v>2393.66295846748</v>
      </c>
      <c r="K63" s="38" t="n">
        <f aca="false">K62+J63</f>
        <v>10637.2247176597</v>
      </c>
      <c r="L63" s="2" t="n">
        <f aca="false">IF(J63&gt;0,1,0)</f>
        <v>1</v>
      </c>
      <c r="M63" s="2" t="n">
        <f aca="false">IF(K63&gt;=0,1,0)</f>
        <v>1</v>
      </c>
    </row>
    <row r="64" customFormat="false" ht="15" hidden="false" customHeight="false" outlineLevel="0" collapsed="false">
      <c r="A64" s="2" t="n">
        <v>18</v>
      </c>
      <c r="B64" s="2" t="s">
        <v>407</v>
      </c>
      <c r="C64" s="39" t="n">
        <f aca="false">TÆLLA!O64+TÆLLA!AB64</f>
        <v>1766.82683358095</v>
      </c>
      <c r="D64" s="39" t="n">
        <f aca="false">'Read Layer'!T64</f>
        <v>2163.91806451613</v>
      </c>
      <c r="E64" s="39" t="n">
        <f aca="false">SOMNIO!Q64</f>
        <v>338.526869158879</v>
      </c>
      <c r="F64" s="39" t="n">
        <f aca="false">TÆLLA!Y64</f>
        <v>425.636986592634</v>
      </c>
      <c r="G64" s="39" t="n">
        <f aca="false">'Read Layer'!AA64</f>
        <v>1925.49420825762</v>
      </c>
      <c r="H64" s="39" t="n">
        <f aca="false">SOMNIO!U64</f>
        <v>205.830504357819</v>
      </c>
      <c r="I64" s="38" t="n">
        <f aca="false">C64+D64+E64</f>
        <v>4269.27176725596</v>
      </c>
      <c r="J64" s="38" t="n">
        <f aca="false">F64+G64+H64</f>
        <v>2556.96169920807</v>
      </c>
      <c r="K64" s="38" t="n">
        <f aca="false">K63+J64</f>
        <v>13194.1864168678</v>
      </c>
      <c r="L64" s="2" t="n">
        <f aca="false">IF(J64&gt;0,1,0)</f>
        <v>1</v>
      </c>
      <c r="M64" s="2" t="n">
        <f aca="false">IF(K64&gt;=0,1,0)</f>
        <v>1</v>
      </c>
    </row>
    <row r="65" customFormat="false" ht="15" hidden="false" customHeight="false" outlineLevel="0" collapsed="false">
      <c r="A65" s="2" t="n">
        <v>19</v>
      </c>
      <c r="B65" s="2" t="s">
        <v>408</v>
      </c>
      <c r="C65" s="39" t="n">
        <f aca="false">TÆLLA!O65+TÆLLA!AB65</f>
        <v>1964.39921165709</v>
      </c>
      <c r="D65" s="39" t="n">
        <f aca="false">'Read Layer'!T65</f>
        <v>2163.91806451613</v>
      </c>
      <c r="E65" s="39" t="n">
        <f aca="false">SOMNIO!Q65</f>
        <v>348.095327102804</v>
      </c>
      <c r="F65" s="39" t="n">
        <f aca="false">TÆLLA!Y65</f>
        <v>603.56056237027</v>
      </c>
      <c r="G65" s="39" t="n">
        <f aca="false">'Read Layer'!AA65</f>
        <v>1925.49420825762</v>
      </c>
      <c r="H65" s="39" t="n">
        <f aca="false">SOMNIO!U65</f>
        <v>215.398962301744</v>
      </c>
      <c r="I65" s="38" t="n">
        <f aca="false">C65+D65+E65</f>
        <v>4476.41260327602</v>
      </c>
      <c r="J65" s="38" t="n">
        <f aca="false">F65+G65+H65</f>
        <v>2744.45373292963</v>
      </c>
      <c r="K65" s="38" t="n">
        <f aca="false">K64+J65</f>
        <v>15938.6401497974</v>
      </c>
      <c r="L65" s="2" t="n">
        <f aca="false">IF(J65&gt;0,1,0)</f>
        <v>1</v>
      </c>
      <c r="M65" s="2" t="n">
        <f aca="false">IF(K65&gt;=0,1,0)</f>
        <v>1</v>
      </c>
    </row>
    <row r="66" customFormat="false" ht="15" hidden="false" customHeight="false" outlineLevel="0" collapsed="false">
      <c r="A66" s="2" t="n">
        <v>20</v>
      </c>
      <c r="B66" s="2" t="s">
        <v>409</v>
      </c>
      <c r="C66" s="39" t="n">
        <f aca="false">TÆLLA!O66+TÆLLA!AB66</f>
        <v>2192.52241861496</v>
      </c>
      <c r="D66" s="39" t="n">
        <f aca="false">'Read Layer'!T66</f>
        <v>2163.91806451613</v>
      </c>
      <c r="E66" s="39" t="n">
        <f aca="false">SOMNIO!Q66</f>
        <v>357.663785046729</v>
      </c>
      <c r="F66" s="39" t="n">
        <f aca="false">TÆLLA!Y66</f>
        <v>808.997169494562</v>
      </c>
      <c r="G66" s="39" t="n">
        <f aca="false">'Read Layer'!AA66</f>
        <v>1925.49420825762</v>
      </c>
      <c r="H66" s="39" t="n">
        <f aca="false">SOMNIO!U66</f>
        <v>224.967420245669</v>
      </c>
      <c r="I66" s="38" t="n">
        <f aca="false">C66+D66+E66</f>
        <v>4714.10426817782</v>
      </c>
      <c r="J66" s="38" t="n">
        <f aca="false">F66+G66+H66</f>
        <v>2959.45879799785</v>
      </c>
      <c r="K66" s="38" t="n">
        <f aca="false">K65+J66</f>
        <v>18898.0989477953</v>
      </c>
      <c r="L66" s="2" t="n">
        <f aca="false">IF(J66&gt;0,1,0)</f>
        <v>1</v>
      </c>
      <c r="M66" s="2" t="n">
        <f aca="false">IF(K66&gt;=0,1,0)</f>
        <v>1</v>
      </c>
    </row>
    <row r="67" customFormat="false" ht="15" hidden="false" customHeight="false" outlineLevel="0" collapsed="false">
      <c r="A67" s="2" t="n">
        <v>21</v>
      </c>
      <c r="B67" s="2" t="s">
        <v>410</v>
      </c>
      <c r="C67" s="39" t="n">
        <f aca="false">TÆLLA!O67+TÆLLA!AB67</f>
        <v>2455.37532626738</v>
      </c>
      <c r="D67" s="39" t="n">
        <f aca="false">'Read Layer'!T67</f>
        <v>2163.91806451613</v>
      </c>
      <c r="E67" s="39" t="n">
        <f aca="false">SOMNIO!Q67</f>
        <v>367.232242990654</v>
      </c>
      <c r="F67" s="39" t="n">
        <f aca="false">TÆLLA!Y67</f>
        <v>1045.7101636439</v>
      </c>
      <c r="G67" s="39" t="n">
        <f aca="false">'Read Layer'!AA67</f>
        <v>1925.49420825762</v>
      </c>
      <c r="H67" s="39" t="n">
        <f aca="false">SOMNIO!U67</f>
        <v>234.535878189595</v>
      </c>
      <c r="I67" s="38" t="n">
        <f aca="false">C67+D67+E67</f>
        <v>4986.52563377417</v>
      </c>
      <c r="J67" s="38" t="n">
        <f aca="false">F67+G67+H67</f>
        <v>3205.74025009111</v>
      </c>
      <c r="K67" s="38" t="n">
        <f aca="false">K66+J67</f>
        <v>22103.8391978864</v>
      </c>
      <c r="L67" s="2" t="n">
        <f aca="false">IF(J67&gt;0,1,0)</f>
        <v>1</v>
      </c>
      <c r="M67" s="2" t="n">
        <f aca="false">IF(K67&gt;=0,1,0)</f>
        <v>1</v>
      </c>
    </row>
    <row r="68" customFormat="false" ht="15" hidden="false" customHeight="false" outlineLevel="0" collapsed="false">
      <c r="A68" s="2" t="n">
        <v>22</v>
      </c>
      <c r="B68" s="2" t="s">
        <v>411</v>
      </c>
      <c r="C68" s="39" t="n">
        <f aca="false">TÆLLA!O68+TÆLLA!AB68</f>
        <v>2757.68269297109</v>
      </c>
      <c r="D68" s="39" t="n">
        <f aca="false">'Read Layer'!T68</f>
        <v>2163.91806451613</v>
      </c>
      <c r="E68" s="39" t="n">
        <f aca="false">SOMNIO!Q68</f>
        <v>376.800700934579</v>
      </c>
      <c r="F68" s="39" t="n">
        <f aca="false">TÆLLA!Y68</f>
        <v>1317.95451881315</v>
      </c>
      <c r="G68" s="39" t="n">
        <f aca="false">'Read Layer'!AA68</f>
        <v>1925.49420825762</v>
      </c>
      <c r="H68" s="39" t="n">
        <f aca="false">SOMNIO!U68</f>
        <v>244.10433613352</v>
      </c>
      <c r="I68" s="38" t="n">
        <f aca="false">C68+D68+E68</f>
        <v>5298.4014584218</v>
      </c>
      <c r="J68" s="38" t="n">
        <f aca="false">F68+G68+H68</f>
        <v>3487.55306320428</v>
      </c>
      <c r="K68" s="38" t="n">
        <f aca="false">K67+J68</f>
        <v>25591.3922610906</v>
      </c>
      <c r="L68" s="2" t="n">
        <f aca="false">IF(J68&gt;0,1,0)</f>
        <v>1</v>
      </c>
      <c r="M68" s="2" t="n">
        <f aca="false">IF(K68&gt;=0,1,0)</f>
        <v>1</v>
      </c>
    </row>
    <row r="69" customFormat="false" ht="15" hidden="false" customHeight="false" outlineLevel="0" collapsed="false">
      <c r="A69" s="2" t="n">
        <v>23</v>
      </c>
      <c r="B69" s="2" t="s">
        <v>412</v>
      </c>
      <c r="C69" s="39" t="n">
        <f aca="false">TÆLLA!O69+TÆLLA!AB69</f>
        <v>3104.77069074927</v>
      </c>
      <c r="D69" s="39" t="n">
        <f aca="false">'Read Layer'!T69</f>
        <v>2163.91806451613</v>
      </c>
      <c r="E69" s="39" t="n">
        <f aca="false">SOMNIO!Q69</f>
        <v>386.369158878505</v>
      </c>
      <c r="F69" s="39" t="n">
        <f aca="false">TÆLLA!Y69</f>
        <v>1630.52683734725</v>
      </c>
      <c r="G69" s="39" t="n">
        <f aca="false">'Read Layer'!AA69</f>
        <v>1925.49420825762</v>
      </c>
      <c r="H69" s="39" t="n">
        <f aca="false">SOMNIO!U69</f>
        <v>253.672794077445</v>
      </c>
      <c r="I69" s="38" t="n">
        <f aca="false">C69+D69+E69</f>
        <v>5655.0579141439</v>
      </c>
      <c r="J69" s="38" t="n">
        <f aca="false">F69+G69+H69</f>
        <v>3809.69383968231</v>
      </c>
      <c r="K69" s="38" t="n">
        <f aca="false">K68+J69</f>
        <v>29401.086100773</v>
      </c>
      <c r="L69" s="2" t="n">
        <f aca="false">IF(J69&gt;0,1,0)</f>
        <v>1</v>
      </c>
      <c r="M69" s="2" t="n">
        <f aca="false">IF(K69&gt;=0,1,0)</f>
        <v>1</v>
      </c>
    </row>
    <row r="70" customFormat="false" ht="15" hidden="false" customHeight="false" outlineLevel="0" collapsed="false">
      <c r="A70" s="2" t="n">
        <v>24</v>
      </c>
      <c r="B70" s="2" t="s">
        <v>413</v>
      </c>
      <c r="C70" s="39" t="n">
        <f aca="false">TÆLLA!O70+TÆLLA!AB70</f>
        <v>3502.62345395437</v>
      </c>
      <c r="D70" s="39" t="n">
        <f aca="false">'Read Layer'!T70</f>
        <v>2163.91806451613</v>
      </c>
      <c r="E70" s="39" t="n">
        <f aca="false">SOMNIO!Q70</f>
        <v>395.93761682243</v>
      </c>
      <c r="F70" s="39" t="n">
        <f aca="false">TÆLLA!Y70</f>
        <v>1988.81628121887</v>
      </c>
      <c r="G70" s="39" t="n">
        <f aca="false">'Read Layer'!AA70</f>
        <v>1925.49420825762</v>
      </c>
      <c r="H70" s="39" t="n">
        <f aca="false">SOMNIO!U70</f>
        <v>263.24125202137</v>
      </c>
      <c r="I70" s="38" t="n">
        <f aca="false">C70+D70+E70</f>
        <v>6062.47913529292</v>
      </c>
      <c r="J70" s="38" t="n">
        <f aca="false">F70+G70+H70</f>
        <v>4177.55174149786</v>
      </c>
      <c r="K70" s="38" t="n">
        <f aca="false">K69+J70</f>
        <v>33578.6378422708</v>
      </c>
      <c r="L70" s="2" t="n">
        <f aca="false">IF(J70&gt;0,1,0)</f>
        <v>1</v>
      </c>
      <c r="M70" s="2" t="n">
        <f aca="false">IF(K70&gt;=0,1,0)</f>
        <v>1</v>
      </c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customFormat="false" ht="15" hidden="false" customHeight="false" outlineLevel="0" collapsed="false">
      <c r="A74" s="33" t="str">
        <f aca="false">"Szenario stark – "&amp;Annahmen!$D$142</f>
        <v>Szenario stark – skalierbares Business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customFormat="false" ht="42" hidden="false" customHeight="true" outlineLevel="0" collapsed="false">
      <c r="A75" s="32" t="s">
        <v>99</v>
      </c>
      <c r="B75" s="32" t="s">
        <v>359</v>
      </c>
      <c r="C75" s="32" t="s">
        <v>473</v>
      </c>
      <c r="D75" s="32" t="s">
        <v>474</v>
      </c>
      <c r="E75" s="32" t="s">
        <v>475</v>
      </c>
      <c r="F75" s="32" t="s">
        <v>476</v>
      </c>
      <c r="G75" s="32" t="s">
        <v>477</v>
      </c>
      <c r="H75" s="32" t="s">
        <v>478</v>
      </c>
      <c r="I75" s="32" t="s">
        <v>441</v>
      </c>
      <c r="J75" s="32" t="s">
        <v>468</v>
      </c>
      <c r="K75" s="32" t="s">
        <v>383</v>
      </c>
      <c r="L75" s="32" t="s">
        <v>388</v>
      </c>
      <c r="M75" s="32" t="s">
        <v>389</v>
      </c>
    </row>
    <row r="76" customFormat="false" ht="15" hidden="false" customHeight="false" outlineLevel="0" collapsed="false">
      <c r="A76" s="2" t="n">
        <v>1</v>
      </c>
      <c r="B76" s="2" t="s">
        <v>390</v>
      </c>
      <c r="C76" s="39" t="n">
        <f aca="false">TÆLLA!O76+TÆLLA!AB76</f>
        <v>0</v>
      </c>
      <c r="D76" s="39" t="n">
        <f aca="false">'Read Layer'!T76</f>
        <v>0</v>
      </c>
      <c r="E76" s="39" t="n">
        <f aca="false">SOMNIO!Q76</f>
        <v>0</v>
      </c>
      <c r="F76" s="39" t="n">
        <f aca="false">TÆLLA!Y76</f>
        <v>-4296.71929011125</v>
      </c>
      <c r="G76" s="39" t="n">
        <f aca="false">'Read Layer'!AA76</f>
        <v>-2256.16889953485</v>
      </c>
      <c r="H76" s="39" t="n">
        <f aca="false">SOMNIO!U76</f>
        <v>-657.207602742593</v>
      </c>
      <c r="I76" s="38" t="n">
        <f aca="false">C76+D76+E76</f>
        <v>0</v>
      </c>
      <c r="J76" s="38" t="n">
        <f aca="false">F76+G76+H76</f>
        <v>-7210.09579238869</v>
      </c>
      <c r="K76" s="38" t="n">
        <f aca="false">J76</f>
        <v>-7210.09579238869</v>
      </c>
      <c r="L76" s="2" t="n">
        <f aca="false">IF(J76&gt;0,1,0)</f>
        <v>0</v>
      </c>
      <c r="M76" s="2" t="n">
        <f aca="false">IF(K76&gt;=0,1,0)</f>
        <v>0</v>
      </c>
    </row>
    <row r="77" customFormat="false" ht="15" hidden="false" customHeight="false" outlineLevel="0" collapsed="false">
      <c r="A77" s="2" t="n">
        <v>2</v>
      </c>
      <c r="B77" s="2" t="s">
        <v>391</v>
      </c>
      <c r="C77" s="39" t="n">
        <f aca="false">TÆLLA!O77+TÆLLA!AB77</f>
        <v>408.781512605042</v>
      </c>
      <c r="D77" s="39" t="n">
        <f aca="false">'Read Layer'!T77</f>
        <v>0</v>
      </c>
      <c r="E77" s="39" t="n">
        <f aca="false">SOMNIO!Q77</f>
        <v>0</v>
      </c>
      <c r="F77" s="39" t="n">
        <f aca="false">TÆLLA!Y77</f>
        <v>-2691.63466051436</v>
      </c>
      <c r="G77" s="39" t="n">
        <f aca="false">'Read Layer'!AA77</f>
        <v>-450.827570803181</v>
      </c>
      <c r="H77" s="39" t="n">
        <f aca="false">SOMNIO!U77</f>
        <v>-28.3604931653712</v>
      </c>
      <c r="I77" s="38" t="n">
        <f aca="false">C77+D77+E77</f>
        <v>408.781512605042</v>
      </c>
      <c r="J77" s="38" t="n">
        <f aca="false">F77+G77+H77</f>
        <v>-3170.82272448292</v>
      </c>
      <c r="K77" s="38" t="n">
        <f aca="false">K76+J77</f>
        <v>-10380.9185168716</v>
      </c>
      <c r="L77" s="2" t="n">
        <f aca="false">IF(J77&gt;0,1,0)</f>
        <v>0</v>
      </c>
      <c r="M77" s="2" t="n">
        <f aca="false">IF(K77&gt;=0,1,0)</f>
        <v>0</v>
      </c>
    </row>
    <row r="78" customFormat="false" ht="15" hidden="false" customHeight="false" outlineLevel="0" collapsed="false">
      <c r="A78" s="2" t="n">
        <v>3</v>
      </c>
      <c r="B78" s="2" t="s">
        <v>392</v>
      </c>
      <c r="C78" s="39" t="n">
        <f aca="false">TÆLLA!O78+TÆLLA!AB78</f>
        <v>489.595588235294</v>
      </c>
      <c r="D78" s="39" t="n">
        <f aca="false">'Read Layer'!T78</f>
        <v>6422.03225806452</v>
      </c>
      <c r="E78" s="39" t="n">
        <f aca="false">SOMNIO!Q78</f>
        <v>38.2738317757009</v>
      </c>
      <c r="F78" s="39" t="n">
        <f aca="false">TÆLLA!Y78</f>
        <v>-2647.47571791355</v>
      </c>
      <c r="G78" s="39" t="n">
        <f aca="false">'Read Layer'!AA78</f>
        <v>4985.86914262048</v>
      </c>
      <c r="H78" s="39" t="n">
        <f aca="false">SOMNIO!U78</f>
        <v>-360.08666138967</v>
      </c>
      <c r="I78" s="38" t="n">
        <f aca="false">C78+D78+E78</f>
        <v>6949.90167807551</v>
      </c>
      <c r="J78" s="38" t="n">
        <f aca="false">F78+G78+H78</f>
        <v>1978.30676331726</v>
      </c>
      <c r="K78" s="38" t="n">
        <f aca="false">K77+J78</f>
        <v>-8402.61175355435</v>
      </c>
      <c r="L78" s="2" t="n">
        <f aca="false">IF(J78&gt;0,1,0)</f>
        <v>1</v>
      </c>
      <c r="M78" s="2" t="n">
        <f aca="false">IF(K78&gt;=0,1,0)</f>
        <v>0</v>
      </c>
    </row>
    <row r="79" customFormat="false" ht="15" hidden="false" customHeight="false" outlineLevel="0" collapsed="false">
      <c r="A79" s="2" t="n">
        <v>4</v>
      </c>
      <c r="B79" s="2" t="s">
        <v>393</v>
      </c>
      <c r="C79" s="39" t="n">
        <f aca="false">TÆLLA!O79+TÆLLA!AB79</f>
        <v>584.920639285714</v>
      </c>
      <c r="D79" s="39" t="n">
        <f aca="false">'Read Layer'!T79</f>
        <v>6422.03225806452</v>
      </c>
      <c r="E79" s="39" t="n">
        <f aca="false">SOMNIO!Q79</f>
        <v>76.5476635514019</v>
      </c>
      <c r="F79" s="39" t="n">
        <f aca="false">TÆLLA!Y79</f>
        <v>-2562.8153415786</v>
      </c>
      <c r="G79" s="39" t="n">
        <f aca="false">'Read Layer'!AA79</f>
        <v>5265.86914262048</v>
      </c>
      <c r="H79" s="39" t="n">
        <f aca="false">SOMNIO!U79</f>
        <v>-251.812829613969</v>
      </c>
      <c r="I79" s="38" t="n">
        <f aca="false">C79+D79+E79</f>
        <v>7083.50056090163</v>
      </c>
      <c r="J79" s="38" t="n">
        <f aca="false">F79+G79+H79</f>
        <v>2451.24097142791</v>
      </c>
      <c r="K79" s="38" t="n">
        <f aca="false">K78+J79</f>
        <v>-5951.37078212644</v>
      </c>
      <c r="L79" s="2" t="n">
        <f aca="false">IF(J79&gt;0,1,0)</f>
        <v>1</v>
      </c>
      <c r="M79" s="2" t="n">
        <f aca="false">IF(K79&gt;=0,1,0)</f>
        <v>0</v>
      </c>
    </row>
    <row r="80" customFormat="false" ht="15" hidden="false" customHeight="false" outlineLevel="0" collapsed="false">
      <c r="A80" s="2" t="n">
        <v>5</v>
      </c>
      <c r="B80" s="2" t="s">
        <v>394</v>
      </c>
      <c r="C80" s="39" t="n">
        <f aca="false">TÆLLA!O80+TÆLLA!AB80</f>
        <v>697.845649993308</v>
      </c>
      <c r="D80" s="39" t="n">
        <f aca="false">'Read Layer'!T80</f>
        <v>6422.03225806452</v>
      </c>
      <c r="E80" s="39" t="n">
        <f aca="false">SOMNIO!Q80</f>
        <v>114.821495327103</v>
      </c>
      <c r="F80" s="39" t="n">
        <f aca="false">TÆLLA!Y80</f>
        <v>-2702.60876908836</v>
      </c>
      <c r="G80" s="39" t="n">
        <f aca="false">'Read Layer'!AA80</f>
        <v>4705.86914262048</v>
      </c>
      <c r="H80" s="39" t="n">
        <f aca="false">SOMNIO!U80</f>
        <v>-213.538997838268</v>
      </c>
      <c r="I80" s="38" t="n">
        <f aca="false">C80+D80+E80</f>
        <v>7234.69940338493</v>
      </c>
      <c r="J80" s="38" t="n">
        <f aca="false">F80+G80+H80</f>
        <v>1789.72137569385</v>
      </c>
      <c r="K80" s="38" t="n">
        <f aca="false">K79+J80</f>
        <v>-4161.64940643259</v>
      </c>
      <c r="L80" s="2" t="n">
        <f aca="false">IF(J80&gt;0,1,0)</f>
        <v>1</v>
      </c>
      <c r="M80" s="2" t="n">
        <f aca="false">IF(K80&gt;=0,1,0)</f>
        <v>0</v>
      </c>
    </row>
    <row r="81" customFormat="false" ht="15" hidden="false" customHeight="false" outlineLevel="0" collapsed="false">
      <c r="A81" s="2" t="n">
        <v>6</v>
      </c>
      <c r="B81" s="2" t="s">
        <v>395</v>
      </c>
      <c r="C81" s="39" t="n">
        <f aca="false">TÆLLA!O81+TÆLLA!AB81</f>
        <v>2987.34690474343</v>
      </c>
      <c r="D81" s="39" t="n">
        <f aca="false">'Read Layer'!T81</f>
        <v>9362.03225806452</v>
      </c>
      <c r="E81" s="39" t="n">
        <f aca="false">SOMNIO!Q81</f>
        <v>153.095327102804</v>
      </c>
      <c r="F81" s="39" t="n">
        <f aca="false">TÆLLA!Y81</f>
        <v>-334.531900844979</v>
      </c>
      <c r="G81" s="39" t="n">
        <f aca="false">'Read Layer'!AA81</f>
        <v>6353.83868299222</v>
      </c>
      <c r="H81" s="39" t="n">
        <f aca="false">SOMNIO!U81</f>
        <v>-175.265166062568</v>
      </c>
      <c r="I81" s="38" t="n">
        <f aca="false">C81+D81+E81</f>
        <v>12502.4744899107</v>
      </c>
      <c r="J81" s="38" t="n">
        <f aca="false">F81+G81+H81</f>
        <v>5844.04161608467</v>
      </c>
      <c r="K81" s="38" t="n">
        <f aca="false">K80+J81</f>
        <v>1682.39220965208</v>
      </c>
      <c r="L81" s="2" t="n">
        <f aca="false">IF(J81&gt;0,1,0)</f>
        <v>1</v>
      </c>
      <c r="M81" s="2" t="n">
        <f aca="false">IF(K81&gt;=0,1,0)</f>
        <v>1</v>
      </c>
    </row>
    <row r="82" customFormat="false" ht="15" hidden="false" customHeight="false" outlineLevel="0" collapsed="false">
      <c r="A82" s="2" t="n">
        <v>7</v>
      </c>
      <c r="B82" s="2" t="s">
        <v>396</v>
      </c>
      <c r="C82" s="39" t="n">
        <f aca="false">TÆLLA!O82+TÆLLA!AB82</f>
        <v>3799.26084169524</v>
      </c>
      <c r="D82" s="39" t="n">
        <f aca="false">'Read Layer'!T82</f>
        <v>9362.03225806452</v>
      </c>
      <c r="E82" s="39" t="n">
        <f aca="false">SOMNIO!Q82</f>
        <v>971.369158878505</v>
      </c>
      <c r="F82" s="39" t="n">
        <f aca="false">TÆLLA!Y82</f>
        <v>466.310418601915</v>
      </c>
      <c r="G82" s="39" t="n">
        <f aca="false">'Read Layer'!AA82</f>
        <v>6353.83868299222</v>
      </c>
      <c r="H82" s="39" t="n">
        <f aca="false">SOMNIO!U82</f>
        <v>625.66517917038</v>
      </c>
      <c r="I82" s="38" t="n">
        <f aca="false">C82+D82+E82</f>
        <v>14132.6622586383</v>
      </c>
      <c r="J82" s="38" t="n">
        <f aca="false">F82+G82+H82</f>
        <v>7445.81428076452</v>
      </c>
      <c r="K82" s="38" t="n">
        <f aca="false">K81+J82</f>
        <v>9128.2064904166</v>
      </c>
      <c r="L82" s="2" t="n">
        <f aca="false">IF(J82&gt;0,1,0)</f>
        <v>1</v>
      </c>
      <c r="M82" s="2" t="n">
        <f aca="false">IF(K82&gt;=0,1,0)</f>
        <v>1</v>
      </c>
    </row>
    <row r="83" customFormat="false" ht="15" hidden="false" customHeight="false" outlineLevel="0" collapsed="false">
      <c r="A83" s="2" t="n">
        <v>8</v>
      </c>
      <c r="B83" s="2" t="s">
        <v>397</v>
      </c>
      <c r="C83" s="39" t="n">
        <f aca="false">TÆLLA!O83+TÆLLA!AB83</f>
        <v>4022.45260450885</v>
      </c>
      <c r="D83" s="39" t="n">
        <f aca="false">'Read Layer'!T83</f>
        <v>9362.03225806452</v>
      </c>
      <c r="E83" s="39" t="n">
        <f aca="false">SOMNIO!Q83</f>
        <v>1009.64299065421</v>
      </c>
      <c r="F83" s="39" t="n">
        <f aca="false">TÆLLA!Y83</f>
        <v>674.375476909104</v>
      </c>
      <c r="G83" s="39" t="n">
        <f aca="false">'Read Layer'!AA83</f>
        <v>6353.83868299222</v>
      </c>
      <c r="H83" s="39" t="n">
        <f aca="false">SOMNIO!U83</f>
        <v>663.939010946081</v>
      </c>
      <c r="I83" s="38" t="n">
        <f aca="false">C83+D83+E83</f>
        <v>14394.1278532276</v>
      </c>
      <c r="J83" s="38" t="n">
        <f aca="false">F83+G83+H83</f>
        <v>7692.15317084741</v>
      </c>
      <c r="K83" s="38" t="n">
        <f aca="false">K82+J83</f>
        <v>16820.359661264</v>
      </c>
      <c r="L83" s="2" t="n">
        <f aca="false">IF(J83&gt;0,1,0)</f>
        <v>1</v>
      </c>
      <c r="M83" s="2" t="n">
        <f aca="false">IF(K83&gt;=0,1,0)</f>
        <v>1</v>
      </c>
    </row>
    <row r="84" customFormat="false" ht="15" hidden="false" customHeight="false" outlineLevel="0" collapsed="false">
      <c r="A84" s="2" t="n">
        <v>9</v>
      </c>
      <c r="B84" s="2" t="s">
        <v>398</v>
      </c>
      <c r="C84" s="39" t="n">
        <f aca="false">TÆLLA!O84+TÆLLA!AB84</f>
        <v>4312.20950280197</v>
      </c>
      <c r="D84" s="39" t="n">
        <f aca="false">'Read Layer'!T84</f>
        <v>9362.03225806452</v>
      </c>
      <c r="E84" s="39" t="n">
        <f aca="false">SOMNIO!Q84</f>
        <v>1047.91682242991</v>
      </c>
      <c r="F84" s="39" t="n">
        <f aca="false">TÆLLA!Y84</f>
        <v>944.138598994284</v>
      </c>
      <c r="G84" s="39" t="n">
        <f aca="false">'Read Layer'!AA84</f>
        <v>6353.83868299222</v>
      </c>
      <c r="H84" s="39" t="n">
        <f aca="false">SOMNIO!U84</f>
        <v>702.212842721782</v>
      </c>
      <c r="I84" s="38" t="n">
        <f aca="false">C84+D84+E84</f>
        <v>14722.1585832964</v>
      </c>
      <c r="J84" s="38" t="n">
        <f aca="false">F84+G84+H84</f>
        <v>8000.19012470829</v>
      </c>
      <c r="K84" s="38" t="n">
        <f aca="false">K83+J84</f>
        <v>24820.5497859723</v>
      </c>
      <c r="L84" s="2" t="n">
        <f aca="false">IF(J84&gt;0,1,0)</f>
        <v>1</v>
      </c>
      <c r="M84" s="2" t="n">
        <f aca="false">IF(K84&gt;=0,1,0)</f>
        <v>1</v>
      </c>
    </row>
    <row r="85" customFormat="false" ht="15" hidden="false" customHeight="false" outlineLevel="0" collapsed="false">
      <c r="A85" s="2" t="n">
        <v>10</v>
      </c>
      <c r="B85" s="2" t="s">
        <v>399</v>
      </c>
      <c r="C85" s="39" t="n">
        <f aca="false">TÆLLA!O85+TÆLLA!AB85</f>
        <v>4682.14903348498</v>
      </c>
      <c r="D85" s="39" t="n">
        <f aca="false">'Read Layer'!T85</f>
        <v>9362.03225806452</v>
      </c>
      <c r="E85" s="39" t="n">
        <f aca="false">SOMNIO!Q85</f>
        <v>1086.19065420561</v>
      </c>
      <c r="F85" s="39" t="n">
        <f aca="false">TÆLLA!Y85</f>
        <v>1288.23006868941</v>
      </c>
      <c r="G85" s="39" t="n">
        <f aca="false">'Read Layer'!AA85</f>
        <v>6353.83868299222</v>
      </c>
      <c r="H85" s="39" t="n">
        <f aca="false">SOMNIO!U85</f>
        <v>740.486674497483</v>
      </c>
      <c r="I85" s="38" t="n">
        <f aca="false">C85+D85+E85</f>
        <v>15130.3719457551</v>
      </c>
      <c r="J85" s="38" t="n">
        <f aca="false">F85+G85+H85</f>
        <v>8382.55542617912</v>
      </c>
      <c r="K85" s="38" t="n">
        <f aca="false">K84+J85</f>
        <v>33203.1052121514</v>
      </c>
      <c r="L85" s="2" t="n">
        <f aca="false">IF(J85&gt;0,1,0)</f>
        <v>1</v>
      </c>
      <c r="M85" s="2" t="n">
        <f aca="false">IF(K85&gt;=0,1,0)</f>
        <v>1</v>
      </c>
    </row>
    <row r="86" customFormat="false" ht="15" hidden="false" customHeight="false" outlineLevel="0" collapsed="false">
      <c r="A86" s="2" t="n">
        <v>11</v>
      </c>
      <c r="B86" s="2" t="s">
        <v>400</v>
      </c>
      <c r="C86" s="39" t="n">
        <f aca="false">TÆLLA!O86+TÆLLA!AB86</f>
        <v>5148.78111355175</v>
      </c>
      <c r="D86" s="39" t="n">
        <f aca="false">'Read Layer'!T86</f>
        <v>9362.03225806452</v>
      </c>
      <c r="E86" s="39" t="n">
        <f aca="false">SOMNIO!Q86</f>
        <v>1124.46448598131</v>
      </c>
      <c r="F86" s="39" t="n">
        <f aca="false">TÆLLA!Y86</f>
        <v>1721.96166870732</v>
      </c>
      <c r="G86" s="39" t="n">
        <f aca="false">'Read Layer'!AA86</f>
        <v>6353.83868299222</v>
      </c>
      <c r="H86" s="39" t="n">
        <f aca="false">SOMNIO!U86</f>
        <v>778.760506273184</v>
      </c>
      <c r="I86" s="38" t="n">
        <f aca="false">C86+D86+E86</f>
        <v>15635.2778575976</v>
      </c>
      <c r="J86" s="38" t="n">
        <f aca="false">F86+G86+H86</f>
        <v>8854.56085797273</v>
      </c>
      <c r="K86" s="38" t="n">
        <f aca="false">K85+J86</f>
        <v>42057.6660701241</v>
      </c>
      <c r="L86" s="2" t="n">
        <f aca="false">IF(J86&gt;0,1,0)</f>
        <v>1</v>
      </c>
      <c r="M86" s="2" t="n">
        <f aca="false">IF(K86&gt;=0,1,0)</f>
        <v>1</v>
      </c>
    </row>
    <row r="87" customFormat="false" ht="15" hidden="false" customHeight="false" outlineLevel="0" collapsed="false">
      <c r="A87" s="2" t="n">
        <v>12</v>
      </c>
      <c r="B87" s="2" t="s">
        <v>401</v>
      </c>
      <c r="C87" s="39" t="n">
        <f aca="false">TÆLLA!O87+TÆLLA!AB87</f>
        <v>5732.08261996265</v>
      </c>
      <c r="D87" s="39" t="n">
        <f aca="false">'Read Layer'!T87</f>
        <v>9362.03225806452</v>
      </c>
      <c r="E87" s="39" t="n">
        <f aca="false">SOMNIO!Q87</f>
        <v>1162.73831775701</v>
      </c>
      <c r="F87" s="39" t="n">
        <f aca="false">TÆLLA!Y87</f>
        <v>2263.85893989758</v>
      </c>
      <c r="G87" s="39" t="n">
        <f aca="false">'Read Layer'!AA87</f>
        <v>6353.83868299222</v>
      </c>
      <c r="H87" s="39" t="n">
        <f aca="false">SOMNIO!U87</f>
        <v>817.034338048885</v>
      </c>
      <c r="I87" s="38" t="n">
        <f aca="false">C87+D87+E87</f>
        <v>16256.8531957842</v>
      </c>
      <c r="J87" s="38" t="n">
        <f aca="false">F87+G87+H87</f>
        <v>9434.73196093869</v>
      </c>
      <c r="K87" s="38" t="n">
        <f aca="false">K86+J87</f>
        <v>51492.3980310628</v>
      </c>
      <c r="L87" s="2" t="n">
        <f aca="false">IF(J87&gt;0,1,0)</f>
        <v>1</v>
      </c>
      <c r="M87" s="2" t="n">
        <f aca="false">IF(K87&gt;=0,1,0)</f>
        <v>1</v>
      </c>
    </row>
    <row r="88" customFormat="false" ht="15" hidden="false" customHeight="false" outlineLevel="0" collapsed="false">
      <c r="A88" s="2" t="n">
        <v>13</v>
      </c>
      <c r="B88" s="2" t="s">
        <v>402</v>
      </c>
      <c r="C88" s="39" t="n">
        <f aca="false">TÆLLA!O88+TÆLLA!AB88</f>
        <v>6456.17051104352</v>
      </c>
      <c r="D88" s="39" t="n">
        <f aca="false">'Read Layer'!T88</f>
        <v>9362.03225806452</v>
      </c>
      <c r="E88" s="39" t="n">
        <f aca="false">SOMNIO!Q88</f>
        <v>1201.01214953271</v>
      </c>
      <c r="F88" s="39" t="n">
        <f aca="false">TÆLLA!Y88</f>
        <v>2936.28456546123</v>
      </c>
      <c r="G88" s="39" t="n">
        <f aca="false">'Read Layer'!AA88</f>
        <v>6353.83868299222</v>
      </c>
      <c r="H88" s="39" t="n">
        <f aca="false">SOMNIO!U88</f>
        <v>855.308169824586</v>
      </c>
      <c r="I88" s="38" t="n">
        <f aca="false">C88+D88+E88</f>
        <v>17019.2149186407</v>
      </c>
      <c r="J88" s="38" t="n">
        <f aca="false">F88+G88+H88</f>
        <v>10145.431418278</v>
      </c>
      <c r="K88" s="38" t="n">
        <f aca="false">K87+J88</f>
        <v>61637.8294493409</v>
      </c>
      <c r="L88" s="2" t="n">
        <f aca="false">IF(J88&gt;0,1,0)</f>
        <v>1</v>
      </c>
      <c r="M88" s="2" t="n">
        <f aca="false">IF(K88&gt;=0,1,0)</f>
        <v>1</v>
      </c>
    </row>
    <row r="89" customFormat="false" ht="15" hidden="false" customHeight="false" outlineLevel="0" collapsed="false">
      <c r="A89" s="2" t="n">
        <v>14</v>
      </c>
      <c r="B89" s="2" t="s">
        <v>403</v>
      </c>
      <c r="C89" s="39" t="n">
        <f aca="false">TÆLLA!O89+TÆLLA!AB89</f>
        <v>7350.08263974835</v>
      </c>
      <c r="D89" s="39" t="n">
        <f aca="false">'Read Layer'!T89</f>
        <v>9362.03225806452</v>
      </c>
      <c r="E89" s="39" t="n">
        <f aca="false">SOMNIO!Q89</f>
        <v>1239.28598130841</v>
      </c>
      <c r="F89" s="39" t="n">
        <f aca="false">TÆLLA!Y89</f>
        <v>3766.16118791134</v>
      </c>
      <c r="G89" s="39" t="n">
        <f aca="false">'Read Layer'!AA89</f>
        <v>6353.83868299222</v>
      </c>
      <c r="H89" s="39" t="n">
        <f aca="false">SOMNIO!U89</f>
        <v>893.582001600287</v>
      </c>
      <c r="I89" s="38" t="n">
        <f aca="false">C89+D89+E89</f>
        <v>17951.4008791213</v>
      </c>
      <c r="J89" s="38" t="n">
        <f aca="false">F89+G89+H89</f>
        <v>11013.5818725038</v>
      </c>
      <c r="K89" s="38" t="n">
        <f aca="false">K88+J89</f>
        <v>72651.4113218447</v>
      </c>
      <c r="L89" s="2" t="n">
        <f aca="false">IF(J89&gt;0,1,0)</f>
        <v>1</v>
      </c>
      <c r="M89" s="2" t="n">
        <f aca="false">IF(K89&gt;=0,1,0)</f>
        <v>1</v>
      </c>
    </row>
    <row r="90" customFormat="false" ht="15" hidden="false" customHeight="false" outlineLevel="0" collapsed="false">
      <c r="A90" s="2" t="n">
        <v>15</v>
      </c>
      <c r="B90" s="2" t="s">
        <v>404</v>
      </c>
      <c r="C90" s="39" t="n">
        <f aca="false">TÆLLA!O90+TÆLLA!AB90</f>
        <v>8448.67195228254</v>
      </c>
      <c r="D90" s="39" t="n">
        <f aca="false">'Read Layer'!T90</f>
        <v>9362.03225806452</v>
      </c>
      <c r="E90" s="39" t="n">
        <f aca="false">SOMNIO!Q90</f>
        <v>1277.55981308411</v>
      </c>
      <c r="F90" s="39" t="n">
        <f aca="false">TÆLLA!Y90</f>
        <v>4785.79873717174</v>
      </c>
      <c r="G90" s="39" t="n">
        <f aca="false">'Read Layer'!AA90</f>
        <v>6353.83868299222</v>
      </c>
      <c r="H90" s="39" t="n">
        <f aca="false">SOMNIO!U90</f>
        <v>931.855833375988</v>
      </c>
      <c r="I90" s="38" t="n">
        <f aca="false">C90+D90+E90</f>
        <v>19088.2640234312</v>
      </c>
      <c r="J90" s="38" t="n">
        <f aca="false">F90+G90+H90</f>
        <v>12071.49325354</v>
      </c>
      <c r="K90" s="38" t="n">
        <f aca="false">K89+J90</f>
        <v>84722.9045753847</v>
      </c>
      <c r="L90" s="2" t="n">
        <f aca="false">IF(J90&gt;0,1,0)</f>
        <v>1</v>
      </c>
      <c r="M90" s="2" t="n">
        <f aca="false">IF(K90&gt;=0,1,0)</f>
        <v>1</v>
      </c>
    </row>
    <row r="91" customFormat="false" ht="15" hidden="false" customHeight="false" outlineLevel="0" collapsed="false">
      <c r="A91" s="2" t="n">
        <v>16</v>
      </c>
      <c r="B91" s="2" t="s">
        <v>405</v>
      </c>
      <c r="C91" s="39" t="n">
        <f aca="false">TÆLLA!O91+TÆLLA!AB91</f>
        <v>9793.61347558236</v>
      </c>
      <c r="D91" s="39" t="n">
        <f aca="false">'Read Layer'!T91</f>
        <v>9362.03225806452</v>
      </c>
      <c r="E91" s="39" t="n">
        <f aca="false">SOMNIO!Q91</f>
        <v>1315.83364485981</v>
      </c>
      <c r="F91" s="39" t="n">
        <f aca="false">TÆLLA!Y91</f>
        <v>5810.30524976821</v>
      </c>
      <c r="G91" s="39" t="n">
        <f aca="false">'Read Layer'!AA91</f>
        <v>6353.83868299222</v>
      </c>
      <c r="H91" s="39" t="n">
        <f aca="false">SOMNIO!U91</f>
        <v>970.129665151689</v>
      </c>
      <c r="I91" s="38" t="n">
        <f aca="false">C91+D91+E91</f>
        <v>20471.4793785067</v>
      </c>
      <c r="J91" s="38" t="n">
        <f aca="false">F91+G91+H91</f>
        <v>13134.2735979121</v>
      </c>
      <c r="K91" s="38" t="n">
        <f aca="false">K90+J91</f>
        <v>97857.1781732968</v>
      </c>
      <c r="L91" s="2" t="n">
        <f aca="false">IF(J91&gt;0,1,0)</f>
        <v>1</v>
      </c>
      <c r="M91" s="2" t="n">
        <f aca="false">IF(K91&gt;=0,1,0)</f>
        <v>1</v>
      </c>
    </row>
    <row r="92" customFormat="false" ht="15" hidden="false" customHeight="false" outlineLevel="0" collapsed="false">
      <c r="A92" s="2" t="n">
        <v>17</v>
      </c>
      <c r="B92" s="2" t="s">
        <v>406</v>
      </c>
      <c r="C92" s="39" t="n">
        <f aca="false">TÆLLA!O92+TÆLLA!AB92</f>
        <v>11434.5130450036</v>
      </c>
      <c r="D92" s="39" t="n">
        <f aca="false">'Read Layer'!T92</f>
        <v>9362.03225806452</v>
      </c>
      <c r="E92" s="39" t="n">
        <f aca="false">SOMNIO!Q92</f>
        <v>1354.10747663551</v>
      </c>
      <c r="F92" s="39" t="n">
        <f aca="false">TÆLLA!Y92</f>
        <v>7050.15948930844</v>
      </c>
      <c r="G92" s="39" t="n">
        <f aca="false">'Read Layer'!AA92</f>
        <v>6353.83868299222</v>
      </c>
      <c r="H92" s="39" t="n">
        <f aca="false">SOMNIO!U92</f>
        <v>1008.40349692739</v>
      </c>
      <c r="I92" s="38" t="n">
        <f aca="false">C92+D92+E92</f>
        <v>22150.6527797037</v>
      </c>
      <c r="J92" s="38" t="n">
        <f aca="false">F92+G92+H92</f>
        <v>14412.4016692281</v>
      </c>
      <c r="K92" s="38" t="n">
        <f aca="false">K91+J92</f>
        <v>112269.579842525</v>
      </c>
      <c r="L92" s="2" t="n">
        <f aca="false">IF(J92&gt;0,1,0)</f>
        <v>1</v>
      </c>
      <c r="M92" s="2" t="n">
        <f aca="false">IF(K92&gt;=0,1,0)</f>
        <v>1</v>
      </c>
    </row>
    <row r="93" customFormat="false" ht="15" hidden="false" customHeight="false" outlineLevel="0" collapsed="false">
      <c r="A93" s="2" t="n">
        <v>18</v>
      </c>
      <c r="B93" s="2" t="s">
        <v>407</v>
      </c>
      <c r="C93" s="39" t="n">
        <f aca="false">TÆLLA!O93+TÆLLA!AB93</f>
        <v>13430.0904752935</v>
      </c>
      <c r="D93" s="39" t="n">
        <f aca="false">'Read Layer'!T93</f>
        <v>9362.03225806452</v>
      </c>
      <c r="E93" s="39" t="n">
        <f aca="false">SOMNIO!Q93</f>
        <v>1392.38130841121</v>
      </c>
      <c r="F93" s="39" t="n">
        <f aca="false">TÆLLA!Y93</f>
        <v>8555.40245081463</v>
      </c>
      <c r="G93" s="39" t="n">
        <f aca="false">'Read Layer'!AA93</f>
        <v>6353.83868299222</v>
      </c>
      <c r="H93" s="39" t="n">
        <f aca="false">SOMNIO!U93</f>
        <v>1046.67732870309</v>
      </c>
      <c r="I93" s="38" t="n">
        <f aca="false">C93+D93+E93</f>
        <v>24184.5040417693</v>
      </c>
      <c r="J93" s="38" t="n">
        <f aca="false">F93+G93+H93</f>
        <v>15955.9184625099</v>
      </c>
      <c r="K93" s="38" t="n">
        <f aca="false">K92+J93</f>
        <v>128225.498305035</v>
      </c>
      <c r="L93" s="2" t="n">
        <f aca="false">IF(J93&gt;0,1,0)</f>
        <v>1</v>
      </c>
      <c r="M93" s="2" t="n">
        <f aca="false">IF(K93&gt;=0,1,0)</f>
        <v>1</v>
      </c>
    </row>
    <row r="94" customFormat="false" ht="15" hidden="false" customHeight="false" outlineLevel="0" collapsed="false">
      <c r="A94" s="2" t="n">
        <v>19</v>
      </c>
      <c r="B94" s="2" t="s">
        <v>408</v>
      </c>
      <c r="C94" s="39" t="n">
        <f aca="false">TÆLLA!O94+TÆLLA!AB94</f>
        <v>15849.3859084234</v>
      </c>
      <c r="D94" s="39" t="n">
        <f aca="false">'Read Layer'!T94</f>
        <v>9362.03225806452</v>
      </c>
      <c r="E94" s="39" t="n">
        <f aca="false">SOMNIO!Q94</f>
        <v>1430.65514018692</v>
      </c>
      <c r="F94" s="39" t="n">
        <f aca="false">TÆLLA!Y94</f>
        <v>10377.2729380711</v>
      </c>
      <c r="G94" s="39" t="n">
        <f aca="false">'Read Layer'!AA94</f>
        <v>6353.83868299222</v>
      </c>
      <c r="H94" s="39" t="n">
        <f aca="false">SOMNIO!U94</f>
        <v>1084.95116047879</v>
      </c>
      <c r="I94" s="38" t="n">
        <f aca="false">C94+D94+E94</f>
        <v>26642.0733066748</v>
      </c>
      <c r="J94" s="38" t="n">
        <f aca="false">F94+G94+H94</f>
        <v>17816.0627815422</v>
      </c>
      <c r="K94" s="38" t="n">
        <f aca="false">K93+J94</f>
        <v>146041.561086577</v>
      </c>
      <c r="L94" s="2" t="n">
        <f aca="false">IF(J94&gt;0,1,0)</f>
        <v>1</v>
      </c>
      <c r="M94" s="2" t="n">
        <f aca="false">IF(K94&gt;=0,1,0)</f>
        <v>1</v>
      </c>
    </row>
    <row r="95" customFormat="false" ht="15" hidden="false" customHeight="false" outlineLevel="0" collapsed="false">
      <c r="A95" s="2" t="n">
        <v>20</v>
      </c>
      <c r="B95" s="2" t="s">
        <v>409</v>
      </c>
      <c r="C95" s="39" t="n">
        <f aca="false">TÆLLA!O95+TÆLLA!AB95</f>
        <v>18772.9043723541</v>
      </c>
      <c r="D95" s="39" t="n">
        <f aca="false">'Read Layer'!T95</f>
        <v>9362.03225806452</v>
      </c>
      <c r="E95" s="39" t="n">
        <f aca="false">SOMNIO!Q95</f>
        <v>1468.92897196262</v>
      </c>
      <c r="F95" s="39" t="n">
        <f aca="false">TÆLLA!Y95</f>
        <v>12575.2887155762</v>
      </c>
      <c r="G95" s="39" t="n">
        <f aca="false">'Read Layer'!AA95</f>
        <v>6353.83868299222</v>
      </c>
      <c r="H95" s="39" t="n">
        <f aca="false">SOMNIO!U95</f>
        <v>1123.22499225449</v>
      </c>
      <c r="I95" s="38" t="n">
        <f aca="false">C95+D95+E95</f>
        <v>29603.8656023813</v>
      </c>
      <c r="J95" s="38" t="n">
        <f aca="false">F95+G95+H95</f>
        <v>20052.3523908229</v>
      </c>
      <c r="K95" s="38" t="n">
        <f aca="false">K94+J95</f>
        <v>166093.9134774</v>
      </c>
      <c r="L95" s="2" t="n">
        <f aca="false">IF(J95&gt;0,1,0)</f>
        <v>1</v>
      </c>
      <c r="M95" s="2" t="n">
        <f aca="false">IF(K95&gt;=0,1,0)</f>
        <v>1</v>
      </c>
    </row>
    <row r="96" customFormat="false" ht="15" hidden="false" customHeight="false" outlineLevel="0" collapsed="false">
      <c r="A96" s="2" t="n">
        <v>21</v>
      </c>
      <c r="B96" s="2" t="s">
        <v>410</v>
      </c>
      <c r="C96" s="39" t="n">
        <f aca="false">TÆLLA!O96+TÆLLA!AB96</f>
        <v>22293.5685415283</v>
      </c>
      <c r="D96" s="39" t="n">
        <f aca="false">'Read Layer'!T96</f>
        <v>9362.03225806452</v>
      </c>
      <c r="E96" s="39" t="n">
        <f aca="false">SOMNIO!Q96</f>
        <v>1507.20280373832</v>
      </c>
      <c r="F96" s="39" t="n">
        <f aca="false">TÆLLA!Y96</f>
        <v>15217.8163727408</v>
      </c>
      <c r="G96" s="39" t="n">
        <f aca="false">'Read Layer'!AA96</f>
        <v>6353.83868299222</v>
      </c>
      <c r="H96" s="39" t="n">
        <f aca="false">SOMNIO!U96</f>
        <v>1161.49882403019</v>
      </c>
      <c r="I96" s="38" t="n">
        <f aca="false">C96+D96+E96</f>
        <v>33162.8036033311</v>
      </c>
      <c r="J96" s="38" t="n">
        <f aca="false">F96+G96+H96</f>
        <v>22733.1538797632</v>
      </c>
      <c r="K96" s="38" t="n">
        <f aca="false">K95+J96</f>
        <v>188827.067357163</v>
      </c>
      <c r="L96" s="2" t="n">
        <f aca="false">IF(J96&gt;0,1,0)</f>
        <v>1</v>
      </c>
      <c r="M96" s="2" t="n">
        <f aca="false">IF(K96&gt;=0,1,0)</f>
        <v>1</v>
      </c>
    </row>
    <row r="97" customFormat="false" ht="15" hidden="false" customHeight="false" outlineLevel="0" collapsed="false">
      <c r="A97" s="2" t="n">
        <v>22</v>
      </c>
      <c r="B97" s="2" t="s">
        <v>411</v>
      </c>
      <c r="C97" s="39" t="n">
        <f aca="false">TÆLLA!O97+TÆLLA!AB97</f>
        <v>26517.2929920936</v>
      </c>
      <c r="D97" s="39" t="n">
        <f aca="false">'Read Layer'!T97</f>
        <v>9362.03225806452</v>
      </c>
      <c r="E97" s="39" t="n">
        <f aca="false">SOMNIO!Q97</f>
        <v>1545.47663551402</v>
      </c>
      <c r="F97" s="39" t="n">
        <f aca="false">TÆLLA!Y97</f>
        <v>18382.3044368015</v>
      </c>
      <c r="G97" s="39" t="n">
        <f aca="false">'Read Layer'!AA97</f>
        <v>6353.83868299222</v>
      </c>
      <c r="H97" s="39" t="n">
        <f aca="false">SOMNIO!U97</f>
        <v>1199.77265580589</v>
      </c>
      <c r="I97" s="38" t="n">
        <f aca="false">C97+D97+E97</f>
        <v>37424.8018856722</v>
      </c>
      <c r="J97" s="38" t="n">
        <f aca="false">F97+G97+H97</f>
        <v>25935.9157755997</v>
      </c>
      <c r="K97" s="38" t="n">
        <f aca="false">K96+J97</f>
        <v>214762.983132763</v>
      </c>
      <c r="L97" s="2" t="n">
        <f aca="false">IF(J97&gt;0,1,0)</f>
        <v>1</v>
      </c>
      <c r="M97" s="2" t="n">
        <f aca="false">IF(K97&gt;=0,1,0)</f>
        <v>1</v>
      </c>
    </row>
    <row r="98" customFormat="false" ht="15" hidden="false" customHeight="false" outlineLevel="0" collapsed="false">
      <c r="A98" s="2" t="n">
        <v>23</v>
      </c>
      <c r="B98" s="2" t="s">
        <v>412</v>
      </c>
      <c r="C98" s="39" t="n">
        <f aca="false">TÆLLA!O98+TÆLLA!AB98</f>
        <v>31562.9273908512</v>
      </c>
      <c r="D98" s="39" t="n">
        <f aca="false">'Read Layer'!T98</f>
        <v>9362.03225806452</v>
      </c>
      <c r="E98" s="39" t="n">
        <f aca="false">SOMNIO!Q98</f>
        <v>1583.75046728972</v>
      </c>
      <c r="F98" s="39" t="n">
        <f aca="false">TÆLLA!Y98</f>
        <v>22154.9780845133</v>
      </c>
      <c r="G98" s="39" t="n">
        <f aca="false">'Read Layer'!AA98</f>
        <v>6353.83868299222</v>
      </c>
      <c r="H98" s="39" t="n">
        <f aca="false">SOMNIO!U98</f>
        <v>1238.0464875816</v>
      </c>
      <c r="I98" s="38" t="n">
        <f aca="false">C98+D98+E98</f>
        <v>42508.7101162054</v>
      </c>
      <c r="J98" s="38" t="n">
        <f aca="false">F98+G98+H98</f>
        <v>29746.8632550871</v>
      </c>
      <c r="K98" s="38" t="n">
        <f aca="false">K97+J98</f>
        <v>244509.84638785</v>
      </c>
      <c r="L98" s="2" t="n">
        <f aca="false">IF(J98&gt;0,1,0)</f>
        <v>1</v>
      </c>
      <c r="M98" s="2" t="n">
        <f aca="false">IF(K98&gt;=0,1,0)</f>
        <v>1</v>
      </c>
    </row>
    <row r="99" customFormat="false" ht="15" hidden="false" customHeight="false" outlineLevel="0" collapsed="false">
      <c r="A99" s="2" t="n">
        <v>24</v>
      </c>
      <c r="B99" s="2" t="s">
        <v>413</v>
      </c>
      <c r="C99" s="39" t="n">
        <f aca="false">TÆLLA!O99+TÆLLA!AB99</f>
        <v>37561.2485487633</v>
      </c>
      <c r="D99" s="39" t="n">
        <f aca="false">'Read Layer'!T99</f>
        <v>9362.03225806452</v>
      </c>
      <c r="E99" s="39" t="n">
        <f aca="false">SOMNIO!Q99</f>
        <v>1622.02429906542</v>
      </c>
      <c r="F99" s="39" t="n">
        <f aca="false">TÆLLA!Y99</f>
        <v>26629.7453244028</v>
      </c>
      <c r="G99" s="39" t="n">
        <f aca="false">'Read Layer'!AA99</f>
        <v>6353.83868299222</v>
      </c>
      <c r="H99" s="39" t="n">
        <f aca="false">SOMNIO!U99</f>
        <v>1276.3203193573</v>
      </c>
      <c r="I99" s="38" t="n">
        <f aca="false">C99+D99+E99</f>
        <v>48545.3051058932</v>
      </c>
      <c r="J99" s="38" t="n">
        <f aca="false">F99+G99+H99</f>
        <v>34259.9043267523</v>
      </c>
      <c r="K99" s="38" t="n">
        <f aca="false">K98+J99</f>
        <v>278769.750714602</v>
      </c>
      <c r="L99" s="2" t="n">
        <f aca="false">IF(J99&gt;0,1,0)</f>
        <v>1</v>
      </c>
      <c r="M99" s="2" t="n">
        <f aca="false">IF(K99&gt;=0,1,0)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42"/>
    <col collapsed="false" customWidth="true" hidden="false" outlineLevel="0" max="4" min="4" style="0" width="40"/>
    <col collapsed="false" customWidth="true" hidden="false" outlineLevel="0" max="6" min="5" style="0" width="14"/>
    <col collapsed="false" customWidth="true" hidden="false" outlineLevel="0" max="7" min="7" style="0" width="9"/>
    <col collapsed="false" customWidth="true" hidden="false" outlineLevel="0" max="8" min="8" style="0" width="46"/>
    <col collapsed="false" customWidth="true" hidden="false" outlineLevel="0" max="9" min="9" style="0" width="32"/>
    <col collapsed="false" customWidth="true" hidden="false" outlineLevel="0" max="10" min="10" style="0" width="7"/>
  </cols>
  <sheetData>
    <row r="1" customFormat="false" ht="17.35" hidden="false" customHeight="false" outlineLevel="0" collapsed="false">
      <c r="A1" s="1" t="s">
        <v>479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7" t="s">
        <v>480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481</v>
      </c>
      <c r="B4" s="4" t="s">
        <v>482</v>
      </c>
      <c r="C4" s="4" t="s">
        <v>483</v>
      </c>
      <c r="D4" s="4" t="s">
        <v>484</v>
      </c>
      <c r="E4" s="4" t="s">
        <v>485</v>
      </c>
      <c r="F4" s="4" t="s">
        <v>486</v>
      </c>
      <c r="G4" s="4" t="s">
        <v>487</v>
      </c>
      <c r="H4" s="4" t="s">
        <v>488</v>
      </c>
      <c r="I4" s="4" t="s">
        <v>489</v>
      </c>
      <c r="J4" s="4" t="s">
        <v>490</v>
      </c>
    </row>
    <row r="5" customFormat="false" ht="39.55" hidden="false" customHeight="false" outlineLevel="0" collapsed="false">
      <c r="A5" s="9" t="s">
        <v>491</v>
      </c>
      <c r="B5" s="9" t="s">
        <v>492</v>
      </c>
      <c r="C5" s="9" t="s">
        <v>493</v>
      </c>
      <c r="D5" s="9" t="s">
        <v>494</v>
      </c>
      <c r="E5" s="40" t="n">
        <v>5000</v>
      </c>
      <c r="F5" s="40" t="n">
        <v>25000</v>
      </c>
      <c r="G5" s="9" t="s">
        <v>495</v>
      </c>
      <c r="H5" s="9" t="s">
        <v>496</v>
      </c>
      <c r="I5" s="9" t="s">
        <v>497</v>
      </c>
      <c r="J5" s="9" t="n">
        <v>1</v>
      </c>
    </row>
    <row r="6" customFormat="false" ht="39.55" hidden="false" customHeight="false" outlineLevel="0" collapsed="false">
      <c r="A6" s="9" t="s">
        <v>498</v>
      </c>
      <c r="B6" s="9" t="s">
        <v>499</v>
      </c>
      <c r="C6" s="9" t="s">
        <v>500</v>
      </c>
      <c r="D6" s="9" t="s">
        <v>501</v>
      </c>
      <c r="E6" s="40" t="n">
        <v>10000</v>
      </c>
      <c r="F6" s="40" t="n">
        <v>60000</v>
      </c>
      <c r="G6" s="9" t="s">
        <v>502</v>
      </c>
      <c r="H6" s="9" t="s">
        <v>503</v>
      </c>
      <c r="I6" s="9" t="s">
        <v>504</v>
      </c>
      <c r="J6" s="9" t="n">
        <v>2</v>
      </c>
    </row>
    <row r="7" customFormat="false" ht="39.55" hidden="false" customHeight="false" outlineLevel="0" collapsed="false">
      <c r="A7" s="9" t="s">
        <v>505</v>
      </c>
      <c r="B7" s="9" t="s">
        <v>506</v>
      </c>
      <c r="C7" s="9" t="s">
        <v>507</v>
      </c>
      <c r="D7" s="9" t="s">
        <v>508</v>
      </c>
      <c r="E7" s="40" t="n">
        <v>2000</v>
      </c>
      <c r="F7" s="40" t="n">
        <v>15000</v>
      </c>
      <c r="G7" s="9" t="s">
        <v>495</v>
      </c>
      <c r="H7" s="9" t="s">
        <v>509</v>
      </c>
      <c r="I7" s="9" t="s">
        <v>510</v>
      </c>
      <c r="J7" s="9" t="n">
        <v>3</v>
      </c>
    </row>
    <row r="8" customFormat="false" ht="26.85" hidden="false" customHeight="false" outlineLevel="0" collapsed="false">
      <c r="A8" s="9" t="s">
        <v>511</v>
      </c>
      <c r="B8" s="9" t="s">
        <v>512</v>
      </c>
      <c r="C8" s="9" t="s">
        <v>513</v>
      </c>
      <c r="D8" s="9" t="s">
        <v>514</v>
      </c>
      <c r="E8" s="40" t="n">
        <v>5000</v>
      </c>
      <c r="F8" s="40" t="n">
        <v>30000</v>
      </c>
      <c r="G8" s="9" t="s">
        <v>502</v>
      </c>
      <c r="H8" s="9" t="s">
        <v>515</v>
      </c>
      <c r="I8" s="9" t="s">
        <v>516</v>
      </c>
      <c r="J8" s="9"/>
    </row>
    <row r="9" customFormat="false" ht="26.85" hidden="false" customHeight="false" outlineLevel="0" collapsed="false">
      <c r="A9" s="9" t="s">
        <v>517</v>
      </c>
      <c r="B9" s="9" t="s">
        <v>518</v>
      </c>
      <c r="C9" s="9" t="s">
        <v>519</v>
      </c>
      <c r="D9" s="9" t="s">
        <v>520</v>
      </c>
      <c r="E9" s="40" t="n">
        <v>5000</v>
      </c>
      <c r="F9" s="40" t="n">
        <v>40000</v>
      </c>
      <c r="G9" s="9" t="s">
        <v>521</v>
      </c>
      <c r="H9" s="9" t="s">
        <v>522</v>
      </c>
      <c r="I9" s="9" t="s">
        <v>523</v>
      </c>
      <c r="J9" s="9"/>
    </row>
    <row r="10" customFormat="false" ht="26.85" hidden="false" customHeight="false" outlineLevel="0" collapsed="false">
      <c r="A10" s="9" t="s">
        <v>524</v>
      </c>
      <c r="B10" s="9" t="s">
        <v>525</v>
      </c>
      <c r="C10" s="9" t="s">
        <v>526</v>
      </c>
      <c r="D10" s="9" t="s">
        <v>527</v>
      </c>
      <c r="E10" s="40" t="n">
        <v>5000</v>
      </c>
      <c r="F10" s="40" t="n">
        <v>30000</v>
      </c>
      <c r="G10" s="9" t="s">
        <v>502</v>
      </c>
      <c r="H10" s="9" t="s">
        <v>528</v>
      </c>
      <c r="I10" s="9" t="s">
        <v>529</v>
      </c>
      <c r="J10" s="9"/>
    </row>
    <row r="11" customFormat="false" ht="26.85" hidden="false" customHeight="false" outlineLevel="0" collapsed="false">
      <c r="A11" s="9" t="s">
        <v>530</v>
      </c>
      <c r="B11" s="9" t="s">
        <v>531</v>
      </c>
      <c r="C11" s="9" t="s">
        <v>532</v>
      </c>
      <c r="D11" s="9" t="s">
        <v>533</v>
      </c>
      <c r="E11" s="40" t="n">
        <v>2000</v>
      </c>
      <c r="F11" s="40" t="n">
        <v>20000</v>
      </c>
      <c r="G11" s="9" t="s">
        <v>502</v>
      </c>
      <c r="H11" s="9" t="s">
        <v>534</v>
      </c>
      <c r="I11" s="9" t="s">
        <v>535</v>
      </c>
      <c r="J11" s="9"/>
    </row>
    <row r="12" customFormat="false" ht="26.85" hidden="false" customHeight="false" outlineLevel="0" collapsed="false">
      <c r="A12" s="9" t="s">
        <v>536</v>
      </c>
      <c r="B12" s="9" t="s">
        <v>537</v>
      </c>
      <c r="C12" s="9" t="s">
        <v>538</v>
      </c>
      <c r="D12" s="9" t="s">
        <v>539</v>
      </c>
      <c r="E12" s="40" t="n">
        <v>5000</v>
      </c>
      <c r="F12" s="40" t="n">
        <v>30000</v>
      </c>
      <c r="G12" s="9" t="s">
        <v>502</v>
      </c>
      <c r="H12" s="9" t="s">
        <v>540</v>
      </c>
      <c r="I12" s="9" t="s">
        <v>510</v>
      </c>
      <c r="J12" s="9"/>
    </row>
    <row r="13" customFormat="false" ht="39.55" hidden="false" customHeight="false" outlineLevel="0" collapsed="false">
      <c r="A13" s="9" t="s">
        <v>541</v>
      </c>
      <c r="B13" s="9" t="s">
        <v>542</v>
      </c>
      <c r="C13" s="9" t="s">
        <v>543</v>
      </c>
      <c r="D13" s="9" t="s">
        <v>544</v>
      </c>
      <c r="E13" s="40" t="n">
        <v>5000</v>
      </c>
      <c r="F13" s="40" t="n">
        <v>30000</v>
      </c>
      <c r="G13" s="9" t="s">
        <v>502</v>
      </c>
      <c r="H13" s="9" t="s">
        <v>545</v>
      </c>
      <c r="I13" s="9" t="s">
        <v>546</v>
      </c>
      <c r="J13" s="9"/>
    </row>
    <row r="14" customFormat="false" ht="39.55" hidden="false" customHeight="false" outlineLevel="0" collapsed="false">
      <c r="A14" s="9" t="s">
        <v>547</v>
      </c>
      <c r="B14" s="9" t="s">
        <v>548</v>
      </c>
      <c r="C14" s="9" t="s">
        <v>549</v>
      </c>
      <c r="D14" s="9" t="s">
        <v>550</v>
      </c>
      <c r="E14" s="40" t="n">
        <v>0</v>
      </c>
      <c r="F14" s="40" t="n">
        <v>10000</v>
      </c>
      <c r="G14" s="9" t="s">
        <v>521</v>
      </c>
      <c r="H14" s="9" t="s">
        <v>551</v>
      </c>
      <c r="I14" s="9" t="s">
        <v>552</v>
      </c>
      <c r="J14" s="9"/>
    </row>
    <row r="15" customFormat="false" ht="64.9" hidden="false" customHeight="false" outlineLevel="0" collapsed="false">
      <c r="A15" s="9" t="s">
        <v>553</v>
      </c>
      <c r="B15" s="9" t="s">
        <v>554</v>
      </c>
      <c r="C15" s="9" t="s">
        <v>555</v>
      </c>
      <c r="D15" s="9" t="s">
        <v>556</v>
      </c>
      <c r="E15" s="40" t="n">
        <v>3000</v>
      </c>
      <c r="F15" s="40" t="n">
        <v>25000</v>
      </c>
      <c r="G15" s="9" t="s">
        <v>502</v>
      </c>
      <c r="H15" s="9" t="s">
        <v>557</v>
      </c>
      <c r="I15" s="9" t="s">
        <v>558</v>
      </c>
      <c r="J15" s="9"/>
    </row>
    <row r="16" customFormat="false" ht="64.9" hidden="false" customHeight="false" outlineLevel="0" collapsed="false">
      <c r="A16" s="9" t="s">
        <v>559</v>
      </c>
      <c r="B16" s="9" t="s">
        <v>560</v>
      </c>
      <c r="C16" s="9" t="s">
        <v>561</v>
      </c>
      <c r="D16" s="9" t="s">
        <v>562</v>
      </c>
      <c r="E16" s="40" t="n">
        <v>0</v>
      </c>
      <c r="F16" s="40" t="n">
        <v>10000</v>
      </c>
      <c r="G16" s="9" t="s">
        <v>502</v>
      </c>
      <c r="H16" s="9" t="s">
        <v>563</v>
      </c>
      <c r="I16" s="9" t="s">
        <v>564</v>
      </c>
      <c r="J16" s="9"/>
    </row>
    <row r="17" customFormat="false" ht="26.85" hidden="false" customHeight="false" outlineLevel="0" collapsed="false">
      <c r="A17" s="9" t="s">
        <v>565</v>
      </c>
      <c r="B17" s="9" t="s">
        <v>566</v>
      </c>
      <c r="C17" s="9" t="s">
        <v>567</v>
      </c>
      <c r="D17" s="9" t="s">
        <v>568</v>
      </c>
      <c r="E17" s="40" t="n">
        <v>2000</v>
      </c>
      <c r="F17" s="40" t="n">
        <v>15000</v>
      </c>
      <c r="G17" s="9" t="s">
        <v>502</v>
      </c>
      <c r="H17" s="9" t="s">
        <v>569</v>
      </c>
      <c r="I17" s="9" t="s">
        <v>570</v>
      </c>
      <c r="J17" s="9"/>
    </row>
    <row r="18" customFormat="false" ht="15" hidden="false" customHeight="false" outlineLevel="0" collapsed="false">
      <c r="A18" s="33" t="s">
        <v>571</v>
      </c>
      <c r="B18" s="2"/>
      <c r="C18" s="2"/>
      <c r="D18" s="2"/>
      <c r="E18" s="37" t="n">
        <f aca="false">SUM(E5:E17)</f>
        <v>49000</v>
      </c>
      <c r="F18" s="37" t="n">
        <f aca="false">SUM(F5:F17)</f>
        <v>340000</v>
      </c>
      <c r="G18" s="2"/>
      <c r="H18" s="2"/>
      <c r="I18" s="2"/>
      <c r="J1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42" min="3" style="0" width="13"/>
  </cols>
  <sheetData>
    <row r="1" customFormat="false" ht="17.35" hidden="false" customHeight="false" outlineLevel="0" collapsed="false">
      <c r="A1" s="1" t="s">
        <v>572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customFormat="false" ht="52.2" hidden="false" customHeight="false" outlineLevel="0" collapsed="false">
      <c r="A3" s="4" t="s">
        <v>348</v>
      </c>
      <c r="B3" s="32" t="str">
        <f aca="false">"vorsichtig – "&amp;Annahmen!$B$142</f>
        <v>vorsichtig – teures Hobby</v>
      </c>
      <c r="C3" s="32" t="str">
        <f aca="false">"mittel – "&amp;Annahmen!$C$142</f>
        <v>mittel – profitabler Nebenerwerb</v>
      </c>
      <c r="D3" s="32" t="str">
        <f aca="false">"stark – "&amp;Annahmen!$D$142</f>
        <v>stark – skalierbares Business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 customFormat="false" ht="15" hidden="false" customHeight="false" outlineLevel="0" collapsed="false">
      <c r="A4" s="33" t="s">
        <v>573</v>
      </c>
      <c r="B4" s="33" t="str">
        <f aca="false">IFERROR("Monat "&amp;MATCH(1,AO34:AO57,0)&amp;" ("&amp;INDEX($B$34:$B$57,MATCH(1,AO34:AO57,0))&amp;")","nicht in 24 M")</f>
        <v>nicht in 24 M</v>
      </c>
      <c r="C4" s="33" t="str">
        <f aca="false">IFERROR("Monat "&amp;MATCH(1,AO63:AO86,0)&amp;" ("&amp;INDEX($B$63:$B$86,MATCH(1,AO63:AO86,0))&amp;")","nicht in 24 M")</f>
        <v>Monat 16 (04/2028)</v>
      </c>
      <c r="D4" s="33" t="str">
        <f aca="false">IFERROR("Monat "&amp;MATCH(1,AO92:AO115,0)&amp;" ("&amp;INDEX($B$92:$B$115,MATCH(1,AO92:AO115,0))&amp;")","nicht in 24 M")</f>
        <v>Monat 9 (09/2027)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</row>
    <row r="5" customFormat="false" ht="15" hidden="false" customHeight="false" outlineLevel="0" collapsed="false">
      <c r="A5" s="33" t="s">
        <v>574</v>
      </c>
      <c r="B5" s="33" t="str">
        <f aca="false">IFERROR("Monat "&amp;MATCH(1,AP34:AP57,0)&amp;" ("&amp;INDEX($B$34:$B$57,MATCH(1,AP34:AP57,0))&amp;")","nicht in 24 M")</f>
        <v>nicht in 24 M</v>
      </c>
      <c r="C5" s="33" t="str">
        <f aca="false">IFERROR("Monat "&amp;MATCH(1,AP63:AP86,0)&amp;" ("&amp;INDEX($B$63:$B$86,MATCH(1,AP63:AP86,0))&amp;")","nicht in 24 M")</f>
        <v>Monat 24 (12/2028)</v>
      </c>
      <c r="D5" s="33" t="str">
        <f aca="false">IFERROR("Monat "&amp;MATCH(1,AP92:AP115,0)&amp;" ("&amp;INDEX($B$92:$B$115,MATCH(1,AP92:AP115,0))&amp;")","nicht in 24 M")</f>
        <v>Monat 15 (03/2028)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customFormat="false" ht="15" hidden="false" customHeight="false" outlineLevel="0" collapsed="false">
      <c r="A6" s="33" t="s">
        <v>575</v>
      </c>
      <c r="B6" s="33" t="str">
        <f aca="false">IFERROR("Monat "&amp;MATCH(1,AI34:AI57,0)&amp;" ("&amp;INDEX($B$34:$B$57,MATCH(1,AI34:AI57,0))&amp;")","nicht in 24 M")</f>
        <v>Monat 6 (06/2027)</v>
      </c>
      <c r="C6" s="33" t="str">
        <f aca="false">IFERROR("Monat "&amp;MATCH(1,AI63:AI86,0)&amp;" ("&amp;INDEX($B$63:$B$86,MATCH(1,AI63:AI86,0))&amp;")","nicht in 24 M")</f>
        <v>Monat 4 (04/2027)</v>
      </c>
      <c r="D6" s="33" t="str">
        <f aca="false">IFERROR("Monat "&amp;MATCH(1,AI92:AI115,0)&amp;" ("&amp;INDEX($B$92:$B$115,MATCH(1,AI92:AI115,0))&amp;")","nicht in 24 M")</f>
        <v>Monat 3 (03/2027)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</row>
    <row r="7" customFormat="false" ht="15" hidden="false" customHeight="false" outlineLevel="0" collapsed="false">
      <c r="A7" s="33" t="s">
        <v>576</v>
      </c>
      <c r="B7" s="33" t="str">
        <f aca="false">IFERROR("Monat "&amp;MATCH(1,AJ34:AJ57,0)&amp;" ("&amp;INDEX($B$34:$B$57,MATCH(1,AJ34:AJ57,0))&amp;")","nicht in 24 M")</f>
        <v>nicht in 24 M</v>
      </c>
      <c r="C7" s="33" t="str">
        <f aca="false">IFERROR("Monat "&amp;MATCH(1,AJ63:AJ86,0)&amp;" ("&amp;INDEX($B$63:$B$86,MATCH(1,AJ63:AJ86,0))&amp;")","nicht in 24 M")</f>
        <v>Monat 9 (09/2027)</v>
      </c>
      <c r="D7" s="33" t="str">
        <f aca="false">IFERROR("Monat "&amp;MATCH(1,AJ92:AJ115,0)&amp;" ("&amp;INDEX($B$92:$B$115,MATCH(1,AJ92:AJ115,0))&amp;")","nicht in 24 M")</f>
        <v>Monat 5 (05/2027)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</row>
    <row r="9" customFormat="false" ht="15" hidden="false" customHeight="false" outlineLevel="0" collapsed="false">
      <c r="A9" s="4" t="s">
        <v>577</v>
      </c>
      <c r="B9" s="4" t="str">
        <f aca="false">"vorsichtig"</f>
        <v>vorsichtig</v>
      </c>
      <c r="C9" s="4" t="str">
        <f aca="false">"mittel"</f>
        <v>mittel</v>
      </c>
      <c r="D9" s="4" t="str">
        <f aca="false">"stark"</f>
        <v>stark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 customFormat="false" ht="15" hidden="false" customHeight="false" outlineLevel="0" collapsed="false">
      <c r="A10" s="7" t="s">
        <v>578</v>
      </c>
      <c r="B10" s="41" t="n">
        <f aca="false">TÆLLA!C41</f>
        <v>1006.55448385369</v>
      </c>
      <c r="C10" s="41" t="n">
        <f aca="false">TÆLLA!C70</f>
        <v>9439.14909138106</v>
      </c>
      <c r="D10" s="41" t="n">
        <f aca="false">TÆLLA!C99</f>
        <v>70809.6074853419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</row>
    <row r="11" customFormat="false" ht="15" hidden="false" customHeight="false" outlineLevel="0" collapsed="false">
      <c r="A11" s="7" t="s">
        <v>579</v>
      </c>
      <c r="B11" s="41" t="n">
        <f aca="false">C57</f>
        <v>1178.03734832661</v>
      </c>
      <c r="C11" s="41" t="n">
        <f aca="false">C86</f>
        <v>22827.841974864</v>
      </c>
      <c r="D11" s="41" t="n">
        <f aca="false">C115</f>
        <v>305929.385515455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 customFormat="false" ht="15" hidden="false" customHeight="false" outlineLevel="0" collapsed="false">
      <c r="A12" s="7" t="s">
        <v>580</v>
      </c>
      <c r="B12" s="41" t="n">
        <f aca="false">TÆLLA!E41</f>
        <v>30.0308053996565</v>
      </c>
      <c r="C12" s="41" t="n">
        <f aca="false">TÆLLA!E70</f>
        <v>456.233899753217</v>
      </c>
      <c r="D12" s="41" t="n">
        <f aca="false">TÆLLA!E99</f>
        <v>4431.82265281932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3" customFormat="false" ht="15" hidden="false" customHeight="false" outlineLevel="0" collapsed="false">
      <c r="A13" s="7" t="s">
        <v>581</v>
      </c>
      <c r="B13" s="41" t="n">
        <f aca="false">I57</f>
        <v>36.2403007602431</v>
      </c>
      <c r="C13" s="41" t="n">
        <f aca="false">I86</f>
        <v>1155.24128763488</v>
      </c>
      <c r="D13" s="41" t="n">
        <f aca="false">I115</f>
        <v>24572.1578687191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</row>
    <row r="14" customFormat="false" ht="15" hidden="false" customHeight="false" outlineLevel="0" collapsed="false">
      <c r="A14" s="7" t="s">
        <v>582</v>
      </c>
      <c r="B14" s="41" t="n">
        <f aca="false">D57</f>
        <v>38</v>
      </c>
      <c r="C14" s="41" t="n">
        <f aca="false">D86</f>
        <v>105</v>
      </c>
      <c r="D14" s="41" t="n">
        <f aca="false">D115</f>
        <v>220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</row>
    <row r="15" customFormat="false" ht="15" hidden="false" customHeight="false" outlineLevel="0" collapsed="false">
      <c r="A15" s="7" t="s">
        <v>583</v>
      </c>
      <c r="B15" s="39" t="n">
        <f aca="false">SUM(TÆLLA!Y18:Y41)</f>
        <v>-13776.1553292021</v>
      </c>
      <c r="C15" s="39" t="n">
        <f aca="false">SUM(TÆLLA!Y47:Y70)</f>
        <v>-3260.43457670298</v>
      </c>
      <c r="D15" s="39" t="n">
        <f aca="false">SUM(TÆLLA!Y76:Y99)</f>
        <v>130364.60704429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</row>
    <row r="16" customFormat="false" ht="15" hidden="false" customHeight="false" outlineLevel="0" collapsed="false">
      <c r="A16" s="7" t="s">
        <v>584</v>
      </c>
      <c r="B16" s="39" t="n">
        <f aca="false">SUM(Z34:Z57)</f>
        <v>-13999.0267976385</v>
      </c>
      <c r="C16" s="39" t="n">
        <f aca="false">SUM(Z63:Z86)</f>
        <v>2503.58295031589</v>
      </c>
      <c r="D16" s="39" t="n">
        <f aca="false">SUM(Z92:Z115)</f>
        <v>356182.107275857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</row>
    <row r="17" customFormat="false" ht="15" hidden="false" customHeight="false" outlineLevel="0" collapsed="false">
      <c r="A17" s="7" t="s">
        <v>585</v>
      </c>
      <c r="B17" s="39" t="n">
        <f aca="false">SUM(R34:R57)</f>
        <v>404.017184294931</v>
      </c>
      <c r="C17" s="39" t="n">
        <f aca="false">SUM(R63:R86)</f>
        <v>12181.7928049352</v>
      </c>
      <c r="D17" s="39" t="n">
        <f aca="false">SUM(R92:R115)</f>
        <v>242404.093663411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 customFormat="false" ht="15" hidden="false" customHeight="false" outlineLevel="0" collapsed="false">
      <c r="A18" s="7" t="s">
        <v>586</v>
      </c>
      <c r="B18" s="39" t="n">
        <f aca="false">SUM(TÆLLA!AB18:AB41)</f>
        <v>416.01661470939</v>
      </c>
      <c r="C18" s="39" t="n">
        <f aca="false">SUM(TÆLLA!AB47:AB70)</f>
        <v>6481.34827392597</v>
      </c>
      <c r="D18" s="39" t="n">
        <f aca="false">SUM(TÆLLA!AB76:AB99)</f>
        <v>78768.2131245635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  <row r="19" customFormat="false" ht="15" hidden="false" customHeight="false" outlineLevel="0" collapsed="false">
      <c r="A19" s="7" t="s">
        <v>587</v>
      </c>
      <c r="B19" s="39" t="n">
        <f aca="false">SUM(AL34:AL57)</f>
        <v>456.657168306064</v>
      </c>
      <c r="C19" s="39" t="n">
        <f aca="false">SUM(AL63:AL86)</f>
        <v>11679.2478772578</v>
      </c>
      <c r="D19" s="39" t="n">
        <f aca="false">SUM(AL92:AL115)</f>
        <v>283076.23060039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</row>
    <row r="20" customFormat="false" ht="15" hidden="false" customHeight="false" outlineLevel="0" collapsed="false">
      <c r="A20" s="7" t="s">
        <v>588</v>
      </c>
      <c r="B20" s="39" t="n">
        <f aca="false">SUM(AD34:AD57)</f>
        <v>11050.4</v>
      </c>
      <c r="C20" s="39" t="n">
        <f aca="false">SUM(AD63:AD86)</f>
        <v>31101</v>
      </c>
      <c r="D20" s="39" t="n">
        <f aca="false">SUM(AD92:AD115)</f>
        <v>66352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</row>
    <row r="21" customFormat="false" ht="15" hidden="false" customHeight="false" outlineLevel="0" collapsed="false">
      <c r="A21" s="7" t="s">
        <v>589</v>
      </c>
      <c r="B21" s="39" t="n">
        <f aca="false">SUM(AF34:AF57)</f>
        <v>10447.2737556877</v>
      </c>
      <c r="C21" s="39" t="n">
        <f aca="false">SUM(AF63:AF86)</f>
        <v>29056.4669565055</v>
      </c>
      <c r="D21" s="39" t="n">
        <f aca="false">SUM(AF92:AF115)</f>
        <v>61276.2164802972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</row>
    <row r="22" customFormat="false" ht="15" hidden="false" customHeight="false" outlineLevel="0" collapsed="false">
      <c r="A22" s="7" t="s">
        <v>590</v>
      </c>
      <c r="B22" s="39" t="n">
        <f aca="false">SUM(Gesamt!J18:J41)</f>
        <v>-14445.2310180897</v>
      </c>
      <c r="C22" s="39" t="n">
        <f aca="false">SUM(Gesamt!J47:J70)</f>
        <v>33578.6378422708</v>
      </c>
      <c r="D22" s="39" t="n">
        <f aca="false">SUM(Gesamt!J76:J99)</f>
        <v>278769.750714602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  <row r="23" customFormat="false" ht="15" hidden="false" customHeight="false" outlineLevel="0" collapsed="false">
      <c r="A23" s="7" t="s">
        <v>591</v>
      </c>
      <c r="B23" s="39" t="n">
        <f aca="false">SUM(AG34:AG57)</f>
        <v>-4220.8287308384</v>
      </c>
      <c r="C23" s="39" t="n">
        <f aca="false">SUM(AG63:AG86)</f>
        <v>68399.1223257952</v>
      </c>
      <c r="D23" s="39" t="n">
        <f aca="false">SUM(AG92:AG115)</f>
        <v>565863.467426467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</row>
    <row r="24" customFormat="false" ht="15" hidden="false" customHeight="false" outlineLevel="0" collapsed="false">
      <c r="A24" s="7" t="s">
        <v>592</v>
      </c>
      <c r="B24" s="39" t="n">
        <f aca="false">MIN(Gesamt!K18:K41)</f>
        <v>-14445.2310180897</v>
      </c>
      <c r="C24" s="39" t="n">
        <f aca="false">MIN(Gesamt!K47:K70)</f>
        <v>-9590.92355884759</v>
      </c>
      <c r="D24" s="39" t="n">
        <f aca="false">MIN(Gesamt!K76:K99)</f>
        <v>-10380.9185168716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</row>
    <row r="25" customFormat="false" ht="15" hidden="false" customHeight="false" outlineLevel="0" collapsed="false">
      <c r="A25" s="7" t="s">
        <v>593</v>
      </c>
      <c r="B25" s="39" t="n">
        <f aca="false">MIN(AH34:AH57)</f>
        <v>-9635.0021946621</v>
      </c>
      <c r="C25" s="39" t="n">
        <f aca="false">MIN(AH63:AH86)</f>
        <v>-9134.5182043828</v>
      </c>
      <c r="D25" s="39" t="n">
        <f aca="false">MIN(AH92:AH115)</f>
        <v>-10380.9185168716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</row>
    <row r="26" customFormat="false" ht="15" hidden="false" customHeight="false" outlineLevel="0" collapsed="false">
      <c r="A26" s="7" t="s">
        <v>594</v>
      </c>
      <c r="B26" s="39" t="n">
        <f aca="false">AG57</f>
        <v>403.014026721544</v>
      </c>
      <c r="C26" s="39" t="n">
        <f aca="false">AG86</f>
        <v>7615.12439113738</v>
      </c>
      <c r="D26" s="39" t="n">
        <f aca="false">AG115</f>
        <v>91725.6938385508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</row>
    <row r="29" customFormat="false" ht="15" hidden="false" customHeight="false" outlineLevel="0" collapsed="false">
      <c r="A29" s="7" t="s">
        <v>595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</row>
    <row r="32" customFormat="false" ht="15" hidden="false" customHeight="false" outlineLevel="0" collapsed="false">
      <c r="A32" s="5" t="str">
        <f aca="false">"Szenario vorsichtig – "&amp;Annahmen!$B$142</f>
        <v>Szenario vorsichtig – teures Hobby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2"/>
      <c r="AP32" s="2"/>
    </row>
    <row r="33" customFormat="false" ht="42" hidden="false" customHeight="true" outlineLevel="0" collapsed="false">
      <c r="A33" s="35" t="s">
        <v>99</v>
      </c>
      <c r="B33" s="35" t="s">
        <v>359</v>
      </c>
      <c r="C33" s="35" t="s">
        <v>360</v>
      </c>
      <c r="D33" s="35" t="s">
        <v>596</v>
      </c>
      <c r="E33" s="35" t="s">
        <v>597</v>
      </c>
      <c r="F33" s="35" t="s">
        <v>598</v>
      </c>
      <c r="G33" s="35" t="s">
        <v>599</v>
      </c>
      <c r="H33" s="35" t="s">
        <v>361</v>
      </c>
      <c r="I33" s="35" t="s">
        <v>362</v>
      </c>
      <c r="J33" s="35" t="s">
        <v>363</v>
      </c>
      <c r="K33" s="35" t="s">
        <v>364</v>
      </c>
      <c r="L33" s="35" t="s">
        <v>365</v>
      </c>
      <c r="M33" s="35" t="s">
        <v>600</v>
      </c>
      <c r="N33" s="35" t="s">
        <v>372</v>
      </c>
      <c r="O33" s="35" t="s">
        <v>601</v>
      </c>
      <c r="P33" s="35" t="s">
        <v>373</v>
      </c>
      <c r="Q33" s="35" t="s">
        <v>602</v>
      </c>
      <c r="R33" s="35" t="s">
        <v>603</v>
      </c>
      <c r="S33" s="35" t="s">
        <v>604</v>
      </c>
      <c r="T33" s="35" t="s">
        <v>376</v>
      </c>
      <c r="U33" s="35" t="s">
        <v>377</v>
      </c>
      <c r="V33" s="35" t="s">
        <v>378</v>
      </c>
      <c r="W33" s="35" t="s">
        <v>379</v>
      </c>
      <c r="X33" s="35" t="s">
        <v>380</v>
      </c>
      <c r="Y33" s="35" t="s">
        <v>381</v>
      </c>
      <c r="Z33" s="35" t="s">
        <v>476</v>
      </c>
      <c r="AA33" s="35" t="s">
        <v>605</v>
      </c>
      <c r="AB33" s="35" t="s">
        <v>606</v>
      </c>
      <c r="AC33" s="35" t="s">
        <v>607</v>
      </c>
      <c r="AD33" s="35" t="s">
        <v>608</v>
      </c>
      <c r="AE33" s="35" t="s">
        <v>609</v>
      </c>
      <c r="AF33" s="35" t="s">
        <v>610</v>
      </c>
      <c r="AG33" s="35" t="s">
        <v>611</v>
      </c>
      <c r="AH33" s="35" t="s">
        <v>612</v>
      </c>
      <c r="AI33" s="35" t="s">
        <v>613</v>
      </c>
      <c r="AJ33" s="35" t="s">
        <v>614</v>
      </c>
      <c r="AK33" s="35" t="s">
        <v>384</v>
      </c>
      <c r="AL33" s="35" t="s">
        <v>385</v>
      </c>
      <c r="AM33" s="35" t="s">
        <v>386</v>
      </c>
      <c r="AN33" s="35" t="s">
        <v>387</v>
      </c>
      <c r="AO33" s="35" t="s">
        <v>388</v>
      </c>
      <c r="AP33" s="35" t="s">
        <v>389</v>
      </c>
    </row>
    <row r="34" customFormat="false" ht="15" hidden="false" customHeight="false" outlineLevel="0" collapsed="false">
      <c r="A34" s="7" t="n">
        <v>1</v>
      </c>
      <c r="B34" s="7" t="s">
        <v>390</v>
      </c>
      <c r="C34" s="15" t="n">
        <f aca="false">AM34+AN34</f>
        <v>0</v>
      </c>
      <c r="D34" s="17" t="n">
        <f aca="false">IF($A34&gt;=Annahmen!$B$180,Annahmen!$B$181,0)</f>
        <v>0</v>
      </c>
      <c r="E34" s="17" t="n">
        <f aca="false">Annahmen!$B$183+Annahmen!$B$67</f>
        <v>19</v>
      </c>
      <c r="F34" s="25" t="n">
        <f aca="false">MIN(Annahmen!$B$185,Annahmen!$B$184*D34/10)</f>
        <v>0</v>
      </c>
      <c r="G34" s="42" t="n">
        <f aca="false">MIN(Annahmen!$B$187,Annahmen!$B$186*D34/10)</f>
        <v>0</v>
      </c>
      <c r="H34" s="17" t="n">
        <f aca="false">IF($A34&gt;Annahmen!$B$68,INDEX($AM$34:$AM$57,$A34-Annahmen!$B$68),0)*(Annahmen!$B$59+G34)+IF($A34=Annahmen!$B$71+Annahmen!$B$73,Annahmen!$B$72*Annahmen!$B$74,0)</f>
        <v>0</v>
      </c>
      <c r="I34" s="17" t="n">
        <f aca="false">H34</f>
        <v>0</v>
      </c>
      <c r="J34" s="17" t="n">
        <f aca="false">I34*(1-Annahmen!$B$61)</f>
        <v>0</v>
      </c>
      <c r="K34" s="17" t="n">
        <f aca="false">I34*Annahmen!$B$61</f>
        <v>0</v>
      </c>
      <c r="L34" s="24" t="n">
        <f aca="false">J34*Annahmen!$B$87+K34*Annahmen!$B$88</f>
        <v>0</v>
      </c>
      <c r="M34" s="24" t="n">
        <f aca="false">IF($A34&gt;=Annahmen!$B$55,Annahmen!$B$64*((1-Annahmen!$B$65)*Annahmen!$B$80+Annahmen!$B$65*Annahmen!$B$81)+Annahmen!$B$66*Annahmen!$B$82,0)</f>
        <v>0</v>
      </c>
      <c r="N34" s="24" t="n">
        <f aca="false">(L34+M34)/(1+Annahmen!$B$9)</f>
        <v>0</v>
      </c>
      <c r="O34" s="24" t="n">
        <f aca="false">L34/(1+Annahmen!$B$9)</f>
        <v>0</v>
      </c>
      <c r="P34" s="24" t="n">
        <f aca="false">N34*(Annahmen!$B$63*Annahmen!$B$83+(1-Annahmen!$B$63)*Annahmen!$B$84)+(I34*Annahmen!$B$62+I34*(1-Annahmen!$B$62)/12+IF($A34&gt;=Annahmen!$B$55,Annahmen!$B$64+Annahmen!$B$66,0))*(1-Annahmen!$B$63)*Annahmen!$B$85</f>
        <v>0</v>
      </c>
      <c r="Q34" s="25" t="n">
        <f aca="false">IF(D34=0,0,MIN(Annahmen!$B$189,Annahmen!$B$188*D34/(Annahmen!$B$188*D34+E34)))</f>
        <v>0</v>
      </c>
      <c r="R34" s="24" t="n">
        <f aca="false">O34*Q34*Annahmen!$B$196</f>
        <v>0</v>
      </c>
      <c r="S34" s="24" t="n">
        <f aca="false">Annahmen!$B$67*(Annahmen!$B$43+Annahmen!$B$154)</f>
        <v>259.483850895744</v>
      </c>
      <c r="T34" s="24" t="n">
        <f aca="false">IF($A34&gt;=Annahmen!$B$55,Annahmen!$B$64*(1-Annahmen!$B$65)*Annahmen!$B$44+(Annahmen!$B$64*Annahmen!$B$65+Annahmen!$B$66)*Annahmen!$B$45,0)</f>
        <v>0</v>
      </c>
      <c r="U34" s="24" t="n">
        <f aca="false">C34*Annahmen!$B$86</f>
        <v>0</v>
      </c>
      <c r="V34" s="24" t="n">
        <f aca="false">SUMPRODUCT((((Annahmen!$C$161:$C$174="monatlich")*(Annahmen!$D$161:$D$174&lt;=$A34))+((Annahmen!$C$161:$C$174="einmalig")*(Annahmen!$D$161:$D$174=$A34)))*Annahmen!$B$161:$B$174*Annahmen!$E$161:$E$174)</f>
        <v>3518.26773742402</v>
      </c>
      <c r="W34" s="24" t="n">
        <f aca="false">IF($A34&gt;=Annahmen!$B$55,Annahmen!$B$143,0)</f>
        <v>0</v>
      </c>
      <c r="X34" s="36" t="n">
        <f aca="false">MAX(0,(I34-Annahmen!$B$147)/Annahmen!$B$148)</f>
        <v>0</v>
      </c>
      <c r="Y34" s="24" t="n">
        <f aca="false">X34*Annahmen!$B$146</f>
        <v>0</v>
      </c>
      <c r="Z34" s="24" t="n">
        <f aca="false">N34-P34-R34-S34-T34-U34-V34-W34-Y34+AL34</f>
        <v>-3777.75158831976</v>
      </c>
      <c r="AA34" s="24" t="n">
        <f aca="false">Z34</f>
        <v>-3777.75158831976</v>
      </c>
      <c r="AB34" s="17" t="n">
        <f aca="false">IF($A34&gt;=Annahmen!$B$180,Annahmen!$B$181,0)</f>
        <v>0</v>
      </c>
      <c r="AC34" s="17" t="n">
        <f aca="false">AB34*(1-Annahmen!$B$199)</f>
        <v>0</v>
      </c>
      <c r="AD34" s="24" t="n">
        <f aca="false">AC34*(Annahmen!$B$197+Annahmen!$B$198)+AB34*Annahmen!$B$155*Annahmen!$B$157</f>
        <v>0</v>
      </c>
      <c r="AE34" s="24" t="n">
        <f aca="false">AB34*(Annahmen!$B$48+Annahmen!$B$182*Annahmen!$B$11+Annahmen!$B$155*Annahmen!$B$154)</f>
        <v>0</v>
      </c>
      <c r="AF34" s="24" t="n">
        <f aca="false">AD34-AE34</f>
        <v>0</v>
      </c>
      <c r="AG34" s="24" t="n">
        <f aca="false">Gesamt!J18-TÆLLA!Y18+Z34+AF34</f>
        <v>-6341.1280905972</v>
      </c>
      <c r="AH34" s="24" t="n">
        <f aca="false">AG34</f>
        <v>-6341.1280905972</v>
      </c>
      <c r="AI34" s="15" t="n">
        <f aca="false">IF(AG34&gt;0,1,0)</f>
        <v>0</v>
      </c>
      <c r="AJ34" s="15" t="n">
        <f aca="false">IF(AH34&gt;=0,1,0)</f>
        <v>0</v>
      </c>
      <c r="AK34" s="15" t="n">
        <f aca="false">MAX(0,C34-I34)</f>
        <v>0</v>
      </c>
      <c r="AL34" s="24" t="n">
        <f aca="false">IF($A34&gt;=Annahmen!$B$69,AK34*Annahmen!$B$70,0)</f>
        <v>0</v>
      </c>
      <c r="AM34" s="15" t="n">
        <f aca="false">IF($A34&lt;Annahmen!$B$55,0,Annahmen!$B$56)</f>
        <v>0</v>
      </c>
      <c r="AN34" s="15" t="n">
        <f aca="false">IF($A34&lt;Annahmen!$B$71,0,IF($A34&lt;Annahmen!$B$71+Annahmen!$B$73,Annahmen!$B$72,Annahmen!$B$72*Annahmen!$B$75))</f>
        <v>0</v>
      </c>
      <c r="AO34" s="7" t="n">
        <f aca="false">IF(Z34&gt;0,1,0)</f>
        <v>0</v>
      </c>
      <c r="AP34" s="7" t="n">
        <f aca="false">IF(AA34&gt;=0,1,0)</f>
        <v>0</v>
      </c>
    </row>
    <row r="35" customFormat="false" ht="15" hidden="false" customHeight="false" outlineLevel="0" collapsed="false">
      <c r="A35" s="7" t="n">
        <v>2</v>
      </c>
      <c r="B35" s="7" t="s">
        <v>391</v>
      </c>
      <c r="C35" s="15" t="n">
        <f aca="false">AM35+AN35</f>
        <v>0</v>
      </c>
      <c r="D35" s="17" t="n">
        <f aca="false">D34+IF($A35&gt;=Annahmen!$B$180,Annahmen!$B$181,0)</f>
        <v>0</v>
      </c>
      <c r="E35" s="17" t="n">
        <f aca="false">E34+Annahmen!$B$67</f>
        <v>23</v>
      </c>
      <c r="F35" s="25" t="n">
        <f aca="false">MIN(Annahmen!$B$185,Annahmen!$B$184*D35/10)</f>
        <v>0</v>
      </c>
      <c r="G35" s="42" t="n">
        <f aca="false">MIN(Annahmen!$B$187,Annahmen!$B$186*D35/10)</f>
        <v>0</v>
      </c>
      <c r="H35" s="17" t="n">
        <f aca="false">IF($A35&gt;Annahmen!$B$68,INDEX($AM$34:$AM$57,$A35-Annahmen!$B$68),0)*(Annahmen!$B$59+G35)+IF($A35=Annahmen!$B$71+Annahmen!$B$73,Annahmen!$B$72*Annahmen!$B$74,0)</f>
        <v>0</v>
      </c>
      <c r="I35" s="17" t="n">
        <f aca="false">I34*(1-Annahmen!$B$60)+H35</f>
        <v>0</v>
      </c>
      <c r="J35" s="17" t="n">
        <f aca="false">I35*(1-Annahmen!$B$61)</f>
        <v>0</v>
      </c>
      <c r="K35" s="17" t="n">
        <f aca="false">I35*Annahmen!$B$61</f>
        <v>0</v>
      </c>
      <c r="L35" s="24" t="n">
        <f aca="false">J35*Annahmen!$B$87+K35*Annahmen!$B$88</f>
        <v>0</v>
      </c>
      <c r="M35" s="24" t="n">
        <f aca="false">IF($A35&gt;=Annahmen!$B$55,Annahmen!$B$64*((1-Annahmen!$B$65)*Annahmen!$B$80+Annahmen!$B$65*Annahmen!$B$81)+Annahmen!$B$66*Annahmen!$B$82,0)</f>
        <v>0</v>
      </c>
      <c r="N35" s="24" t="n">
        <f aca="false">(L35+M35)/(1+Annahmen!$B$9)</f>
        <v>0</v>
      </c>
      <c r="O35" s="24" t="n">
        <f aca="false">L35/(1+Annahmen!$B$9)</f>
        <v>0</v>
      </c>
      <c r="P35" s="24" t="n">
        <f aca="false">N35*(Annahmen!$B$63*Annahmen!$B$83+(1-Annahmen!$B$63)*Annahmen!$B$84)+(I35*Annahmen!$B$62+I35*(1-Annahmen!$B$62)/12+IF($A35&gt;=Annahmen!$B$55,Annahmen!$B$64+Annahmen!$B$66,0))*(1-Annahmen!$B$63)*Annahmen!$B$85</f>
        <v>0</v>
      </c>
      <c r="Q35" s="25" t="n">
        <f aca="false">IF(D35=0,0,MIN(Annahmen!$B$189,Annahmen!$B$188*D35/(Annahmen!$B$188*D35+E35)))</f>
        <v>0</v>
      </c>
      <c r="R35" s="24" t="n">
        <f aca="false">O35*Q35*Annahmen!$B$196</f>
        <v>0</v>
      </c>
      <c r="S35" s="24" t="n">
        <f aca="false">Annahmen!$B$67*(Annahmen!$B$43+Annahmen!$B$154)</f>
        <v>259.483850895744</v>
      </c>
      <c r="T35" s="24" t="n">
        <f aca="false">IF($A35&gt;=Annahmen!$B$55,Annahmen!$B$64*(1-Annahmen!$B$65)*Annahmen!$B$44+(Annahmen!$B$64*Annahmen!$B$65+Annahmen!$B$66)*Annahmen!$B$45,0)</f>
        <v>0</v>
      </c>
      <c r="U35" s="24" t="n">
        <f aca="false">C35*Annahmen!$B$86</f>
        <v>0</v>
      </c>
      <c r="V35" s="24" t="n">
        <f aca="false">SUMPRODUCT((((Annahmen!$C$161:$C$174="monatlich")*(Annahmen!$D$161:$D$174&lt;=$A35))+((Annahmen!$C$161:$C$174="einmalig")*(Annahmen!$D$161:$D$174=$A35)))*Annahmen!$B$161:$B$174*Annahmen!$E$161:$E$174)</f>
        <v>92.3204681497364</v>
      </c>
      <c r="W35" s="24" t="n">
        <f aca="false">IF($A35&gt;=Annahmen!$B$55,Annahmen!$B$143,0)</f>
        <v>0</v>
      </c>
      <c r="X35" s="36" t="n">
        <f aca="false">MAX(0,(I35-Annahmen!$B$147)/Annahmen!$B$148)</f>
        <v>0</v>
      </c>
      <c r="Y35" s="24" t="n">
        <f aca="false">X35*Annahmen!$B$146</f>
        <v>0</v>
      </c>
      <c r="Z35" s="24" t="n">
        <f aca="false">N35-P35-R35-S35-T35-U35-V35-W35-Y35+AL35</f>
        <v>-351.804319045481</v>
      </c>
      <c r="AA35" s="24" t="n">
        <f aca="false">AA34+Z35</f>
        <v>-4129.55590736524</v>
      </c>
      <c r="AB35" s="17" t="n">
        <f aca="false">IF($A35&gt;=Annahmen!$B$180,Annahmen!$B$181,0)</f>
        <v>0</v>
      </c>
      <c r="AC35" s="17" t="n">
        <f aca="false">AB35*(1-Annahmen!$B$199)</f>
        <v>0</v>
      </c>
      <c r="AD35" s="24" t="n">
        <f aca="false">AC35*(Annahmen!$B$197+Annahmen!$B$198)+AB35*Annahmen!$B$155*Annahmen!$B$157</f>
        <v>0</v>
      </c>
      <c r="AE35" s="24" t="n">
        <f aca="false">AB35*(Annahmen!$B$48+Annahmen!$B$182*Annahmen!$B$11+Annahmen!$B$155*Annahmen!$B$154)</f>
        <v>0</v>
      </c>
      <c r="AF35" s="24" t="n">
        <f aca="false">AD35-AE35</f>
        <v>0</v>
      </c>
      <c r="AG35" s="24" t="n">
        <f aca="false">Gesamt!J19-TÆLLA!Y19+Z35+AF35</f>
        <v>-480.992383014032</v>
      </c>
      <c r="AH35" s="24" t="n">
        <f aca="false">AH34+AG35</f>
        <v>-6822.12047361124</v>
      </c>
      <c r="AI35" s="15" t="n">
        <f aca="false">IF(AG35&gt;0,1,0)</f>
        <v>0</v>
      </c>
      <c r="AJ35" s="15" t="n">
        <f aca="false">IF(AH35&gt;=0,1,0)</f>
        <v>0</v>
      </c>
      <c r="AK35" s="15" t="n">
        <f aca="false">MAX(0,C35-I35)</f>
        <v>0</v>
      </c>
      <c r="AL35" s="24" t="n">
        <f aca="false">IF($A35&gt;=Annahmen!$B$69,AK35*Annahmen!$B$70,0)</f>
        <v>0</v>
      </c>
      <c r="AM35" s="15" t="n">
        <f aca="false">IF($A35&lt;Annahmen!$B$55,0,IF($A35=Annahmen!$B$55,Annahmen!$B$56,AM34*(1+(Annahmen!$B$57+F35)*(1-C34/Annahmen!$B$58))))</f>
        <v>0</v>
      </c>
      <c r="AN35" s="15" t="n">
        <f aca="false">IF($A35&lt;Annahmen!$B$71,0,IF($A35&lt;Annahmen!$B$71+Annahmen!$B$73,Annahmen!$B$72,Annahmen!$B$72*Annahmen!$B$75))</f>
        <v>0</v>
      </c>
      <c r="AO35" s="7" t="n">
        <f aca="false">IF(Z35&gt;0,1,0)</f>
        <v>0</v>
      </c>
      <c r="AP35" s="7" t="n">
        <f aca="false">IF(AA35&gt;=0,1,0)</f>
        <v>0</v>
      </c>
    </row>
    <row r="36" customFormat="false" ht="15" hidden="false" customHeight="false" outlineLevel="0" collapsed="false">
      <c r="A36" s="7" t="n">
        <v>3</v>
      </c>
      <c r="B36" s="7" t="s">
        <v>392</v>
      </c>
      <c r="C36" s="15" t="n">
        <f aca="false">AM36+AN36</f>
        <v>0</v>
      </c>
      <c r="D36" s="17" t="n">
        <f aca="false">D35+IF($A36&gt;=Annahmen!$B$180,Annahmen!$B$181,0)</f>
        <v>0</v>
      </c>
      <c r="E36" s="17" t="n">
        <f aca="false">E35+Annahmen!$B$67</f>
        <v>27</v>
      </c>
      <c r="F36" s="25" t="n">
        <f aca="false">MIN(Annahmen!$B$185,Annahmen!$B$184*D36/10)</f>
        <v>0</v>
      </c>
      <c r="G36" s="42" t="n">
        <f aca="false">MIN(Annahmen!$B$187,Annahmen!$B$186*D36/10)</f>
        <v>0</v>
      </c>
      <c r="H36" s="17" t="n">
        <f aca="false">IF($A36&gt;Annahmen!$B$68,INDEX($AM$34:$AM$57,$A36-Annahmen!$B$68),0)*(Annahmen!$B$59+G36)+IF($A36=Annahmen!$B$71+Annahmen!$B$73,Annahmen!$B$72*Annahmen!$B$74,0)</f>
        <v>0</v>
      </c>
      <c r="I36" s="17" t="n">
        <f aca="false">I35*(1-Annahmen!$B$60)+H36</f>
        <v>0</v>
      </c>
      <c r="J36" s="17" t="n">
        <f aca="false">I36*(1-Annahmen!$B$61)</f>
        <v>0</v>
      </c>
      <c r="K36" s="17" t="n">
        <f aca="false">I36*Annahmen!$B$61</f>
        <v>0</v>
      </c>
      <c r="L36" s="24" t="n">
        <f aca="false">J36*Annahmen!$B$87+K36*Annahmen!$B$88</f>
        <v>0</v>
      </c>
      <c r="M36" s="24" t="n">
        <f aca="false">IF($A36&gt;=Annahmen!$B$55,Annahmen!$B$64*((1-Annahmen!$B$65)*Annahmen!$B$80+Annahmen!$B$65*Annahmen!$B$81)+Annahmen!$B$66*Annahmen!$B$82,0)</f>
        <v>0</v>
      </c>
      <c r="N36" s="24" t="n">
        <f aca="false">(L36+M36)/(1+Annahmen!$B$9)</f>
        <v>0</v>
      </c>
      <c r="O36" s="24" t="n">
        <f aca="false">L36/(1+Annahmen!$B$9)</f>
        <v>0</v>
      </c>
      <c r="P36" s="24" t="n">
        <f aca="false">N36*(Annahmen!$B$63*Annahmen!$B$83+(1-Annahmen!$B$63)*Annahmen!$B$84)+(I36*Annahmen!$B$62+I36*(1-Annahmen!$B$62)/12+IF($A36&gt;=Annahmen!$B$55,Annahmen!$B$64+Annahmen!$B$66,0))*(1-Annahmen!$B$63)*Annahmen!$B$85</f>
        <v>0</v>
      </c>
      <c r="Q36" s="25" t="n">
        <f aca="false">IF(D36=0,0,MIN(Annahmen!$B$189,Annahmen!$B$188*D36/(Annahmen!$B$188*D36+E36)))</f>
        <v>0</v>
      </c>
      <c r="R36" s="24" t="n">
        <f aca="false">O36*Q36*Annahmen!$B$196</f>
        <v>0</v>
      </c>
      <c r="S36" s="24" t="n">
        <f aca="false">Annahmen!$B$67*(Annahmen!$B$43+Annahmen!$B$154)</f>
        <v>259.483850895744</v>
      </c>
      <c r="T36" s="24" t="n">
        <f aca="false">IF($A36&gt;=Annahmen!$B$55,Annahmen!$B$64*(1-Annahmen!$B$65)*Annahmen!$B$44+(Annahmen!$B$64*Annahmen!$B$65+Annahmen!$B$66)*Annahmen!$B$45,0)</f>
        <v>0</v>
      </c>
      <c r="U36" s="24" t="n">
        <f aca="false">C36*Annahmen!$B$86</f>
        <v>0</v>
      </c>
      <c r="V36" s="24" t="n">
        <f aca="false">SUMPRODUCT((((Annahmen!$C$161:$C$174="monatlich")*(Annahmen!$D$161:$D$174&lt;=$A36))+((Annahmen!$C$161:$C$174="einmalig")*(Annahmen!$D$161:$D$174=$A36)))*Annahmen!$B$161:$B$174*Annahmen!$E$161:$E$174)</f>
        <v>69.9850799606897</v>
      </c>
      <c r="W36" s="24" t="n">
        <f aca="false">IF($A36&gt;=Annahmen!$B$55,Annahmen!$B$143,0)</f>
        <v>0</v>
      </c>
      <c r="X36" s="36" t="n">
        <f aca="false">MAX(0,(I36-Annahmen!$B$147)/Annahmen!$B$148)</f>
        <v>0</v>
      </c>
      <c r="Y36" s="24" t="n">
        <f aca="false">X36*Annahmen!$B$146</f>
        <v>0</v>
      </c>
      <c r="Z36" s="24" t="n">
        <f aca="false">N36-P36-R36-S36-T36-U36-V36-W36-Y36+AL36</f>
        <v>-329.468930856434</v>
      </c>
      <c r="AA36" s="24" t="n">
        <f aca="false">AA35+Z36</f>
        <v>-4459.02483822168</v>
      </c>
      <c r="AB36" s="17" t="n">
        <f aca="false">IF($A36&gt;=Annahmen!$B$180,Annahmen!$B$181,0)</f>
        <v>0</v>
      </c>
      <c r="AC36" s="17" t="n">
        <f aca="false">AB36*(1-Annahmen!$B$199)</f>
        <v>0</v>
      </c>
      <c r="AD36" s="24" t="n">
        <f aca="false">AC36*(Annahmen!$B$197+Annahmen!$B$198)+AB36*Annahmen!$B$155*Annahmen!$B$157</f>
        <v>0</v>
      </c>
      <c r="AE36" s="24" t="n">
        <f aca="false">AB36*(Annahmen!$B$48+Annahmen!$B$182*Annahmen!$B$11+Annahmen!$B$155*Annahmen!$B$154)</f>
        <v>0</v>
      </c>
      <c r="AF36" s="24" t="n">
        <f aca="false">AD36-AE36</f>
        <v>0</v>
      </c>
      <c r="AG36" s="24" t="n">
        <f aca="false">Gesamt!J20-TÆLLA!Y20+Z36+AF36</f>
        <v>-808.656994824985</v>
      </c>
      <c r="AH36" s="24" t="n">
        <f aca="false">AH35+AG36</f>
        <v>-7630.77746843622</v>
      </c>
      <c r="AI36" s="15" t="n">
        <f aca="false">IF(AG36&gt;0,1,0)</f>
        <v>0</v>
      </c>
      <c r="AJ36" s="15" t="n">
        <f aca="false">IF(AH36&gt;=0,1,0)</f>
        <v>0</v>
      </c>
      <c r="AK36" s="15" t="n">
        <f aca="false">MAX(0,C36-I36)</f>
        <v>0</v>
      </c>
      <c r="AL36" s="24" t="n">
        <f aca="false">IF($A36&gt;=Annahmen!$B$69,AK36*Annahmen!$B$70,0)</f>
        <v>0</v>
      </c>
      <c r="AM36" s="15" t="n">
        <f aca="false">IF($A36&lt;Annahmen!$B$55,0,IF($A36=Annahmen!$B$55,Annahmen!$B$56,AM35*(1+(Annahmen!$B$57+F36)*(1-C35/Annahmen!$B$58))))</f>
        <v>0</v>
      </c>
      <c r="AN36" s="15" t="n">
        <f aca="false">IF($A36&lt;Annahmen!$B$71,0,IF($A36&lt;Annahmen!$B$71+Annahmen!$B$73,Annahmen!$B$72,Annahmen!$B$72*Annahmen!$B$75))</f>
        <v>0</v>
      </c>
      <c r="AO36" s="7" t="n">
        <f aca="false">IF(Z36&gt;0,1,0)</f>
        <v>0</v>
      </c>
      <c r="AP36" s="7" t="n">
        <f aca="false">IF(AA36&gt;=0,1,0)</f>
        <v>0</v>
      </c>
    </row>
    <row r="37" customFormat="false" ht="15" hidden="false" customHeight="false" outlineLevel="0" collapsed="false">
      <c r="A37" s="7" t="n">
        <v>4</v>
      </c>
      <c r="B37" s="7" t="s">
        <v>393</v>
      </c>
      <c r="C37" s="15" t="n">
        <f aca="false">AM37+AN37</f>
        <v>200</v>
      </c>
      <c r="D37" s="17" t="n">
        <f aca="false">D36+IF($A37&gt;=Annahmen!$B$180,Annahmen!$B$181,0)</f>
        <v>0</v>
      </c>
      <c r="E37" s="17" t="n">
        <f aca="false">E36+Annahmen!$B$67</f>
        <v>31</v>
      </c>
      <c r="F37" s="25" t="n">
        <f aca="false">MIN(Annahmen!$B$185,Annahmen!$B$184*D37/10)</f>
        <v>0</v>
      </c>
      <c r="G37" s="42" t="n">
        <f aca="false">MIN(Annahmen!$B$187,Annahmen!$B$186*D37/10)</f>
        <v>0</v>
      </c>
      <c r="H37" s="17" t="n">
        <f aca="false">IF($A37&gt;Annahmen!$B$68,INDEX($AM$34:$AM$57,$A37-Annahmen!$B$68),0)*(Annahmen!$B$59+G37)+IF($A37=Annahmen!$B$71+Annahmen!$B$73,Annahmen!$B$72*Annahmen!$B$74,0)</f>
        <v>0</v>
      </c>
      <c r="I37" s="17" t="n">
        <f aca="false">I36*(1-Annahmen!$B$60)+H37</f>
        <v>0</v>
      </c>
      <c r="J37" s="17" t="n">
        <f aca="false">I37*(1-Annahmen!$B$61)</f>
        <v>0</v>
      </c>
      <c r="K37" s="17" t="n">
        <f aca="false">I37*Annahmen!$B$61</f>
        <v>0</v>
      </c>
      <c r="L37" s="24" t="n">
        <f aca="false">J37*Annahmen!$B$87+K37*Annahmen!$B$88</f>
        <v>0</v>
      </c>
      <c r="M37" s="24" t="n">
        <f aca="false">IF($A37&gt;=Annahmen!$B$55,Annahmen!$B$64*((1-Annahmen!$B$65)*Annahmen!$B$80+Annahmen!$B$65*Annahmen!$B$81)+Annahmen!$B$66*Annahmen!$B$82,0)</f>
        <v>32.245</v>
      </c>
      <c r="N37" s="24" t="n">
        <f aca="false">(L37+M37)/(1+Annahmen!$B$9)</f>
        <v>27.0966386554622</v>
      </c>
      <c r="O37" s="24" t="n">
        <f aca="false">L37/(1+Annahmen!$B$9)</f>
        <v>0</v>
      </c>
      <c r="P37" s="24" t="n">
        <f aca="false">N37*(Annahmen!$B$63*Annahmen!$B$83+(1-Annahmen!$B$63)*Annahmen!$B$84)+(I37*Annahmen!$B$62+I37*(1-Annahmen!$B$62)/12+IF($A37&gt;=Annahmen!$B$55,Annahmen!$B$64+Annahmen!$B$66,0))*(1-Annahmen!$B$63)*Annahmen!$B$85</f>
        <v>2.65127731092437</v>
      </c>
      <c r="Q37" s="25" t="n">
        <f aca="false">IF(D37=0,0,MIN(Annahmen!$B$189,Annahmen!$B$188*D37/(Annahmen!$B$188*D37+E37)))</f>
        <v>0</v>
      </c>
      <c r="R37" s="24" t="n">
        <f aca="false">O37*Q37*Annahmen!$B$196</f>
        <v>0</v>
      </c>
      <c r="S37" s="24" t="n">
        <f aca="false">Annahmen!$B$67*(Annahmen!$B$43+Annahmen!$B$154)</f>
        <v>259.483850895744</v>
      </c>
      <c r="T37" s="24" t="n">
        <f aca="false">IF($A37&gt;=Annahmen!$B$55,Annahmen!$B$64*(1-Annahmen!$B$65)*Annahmen!$B$44+(Annahmen!$B$64*Annahmen!$B$65+Annahmen!$B$66)*Annahmen!$B$45,0)</f>
        <v>15.6845378437918</v>
      </c>
      <c r="U37" s="24" t="n">
        <f aca="false">C37*Annahmen!$B$86</f>
        <v>2</v>
      </c>
      <c r="V37" s="24" t="n">
        <f aca="false">SUMPRODUCT((((Annahmen!$C$161:$C$174="monatlich")*(Annahmen!$D$161:$D$174&lt;=$A37))+((Annahmen!$C$161:$C$174="einmalig")*(Annahmen!$D$161:$D$174=$A37)))*Annahmen!$B$161:$B$174*Annahmen!$E$161:$E$174)</f>
        <v>69.9850799606897</v>
      </c>
      <c r="W37" s="24" t="n">
        <f aca="false">IF($A37&gt;=Annahmen!$B$55,Annahmen!$B$143,0)</f>
        <v>200</v>
      </c>
      <c r="X37" s="36" t="n">
        <f aca="false">MAX(0,(I37-Annahmen!$B$147)/Annahmen!$B$148)</f>
        <v>0</v>
      </c>
      <c r="Y37" s="24" t="n">
        <f aca="false">X37*Annahmen!$B$146</f>
        <v>0</v>
      </c>
      <c r="Z37" s="24" t="n">
        <f aca="false">N37-P37-R37-S37-T37-U37-V37-W37-Y37+AL37</f>
        <v>-522.708107355688</v>
      </c>
      <c r="AA37" s="24" t="n">
        <f aca="false">AA36+Z37</f>
        <v>-4981.73294557737</v>
      </c>
      <c r="AB37" s="17" t="n">
        <f aca="false">IF($A37&gt;=Annahmen!$B$180,Annahmen!$B$181,0)</f>
        <v>0</v>
      </c>
      <c r="AC37" s="17" t="n">
        <f aca="false">AB37*(1-Annahmen!$B$199)</f>
        <v>0</v>
      </c>
      <c r="AD37" s="24" t="n">
        <f aca="false">AC37*(Annahmen!$B$197+Annahmen!$B$198)+AB37*Annahmen!$B$155*Annahmen!$B$157</f>
        <v>0</v>
      </c>
      <c r="AE37" s="24" t="n">
        <f aca="false">AB37*(Annahmen!$B$48+Annahmen!$B$182*Annahmen!$B$11+Annahmen!$B$155*Annahmen!$B$154)</f>
        <v>0</v>
      </c>
      <c r="AF37" s="24" t="n">
        <f aca="false">AD37-AE37</f>
        <v>0</v>
      </c>
      <c r="AG37" s="24" t="n">
        <f aca="false">Gesamt!J21-TÆLLA!Y21+Z37+AF37</f>
        <v>-651.89617132424</v>
      </c>
      <c r="AH37" s="24" t="n">
        <f aca="false">AH36+AG37</f>
        <v>-8282.67363976046</v>
      </c>
      <c r="AI37" s="15" t="n">
        <f aca="false">IF(AG37&gt;0,1,0)</f>
        <v>0</v>
      </c>
      <c r="AJ37" s="15" t="n">
        <f aca="false">IF(AH37&gt;=0,1,0)</f>
        <v>0</v>
      </c>
      <c r="AK37" s="15" t="n">
        <f aca="false">MAX(0,C37-I37)</f>
        <v>200</v>
      </c>
      <c r="AL37" s="24" t="n">
        <f aca="false">IF($A37&gt;=Annahmen!$B$69,AK37*Annahmen!$B$70,0)</f>
        <v>0</v>
      </c>
      <c r="AM37" s="15" t="n">
        <f aca="false">IF($A37&lt;Annahmen!$B$55,0,IF($A37=Annahmen!$B$55,Annahmen!$B$56,AM36*(1+(Annahmen!$B$57+F37)*(1-C36/Annahmen!$B$58))))</f>
        <v>200</v>
      </c>
      <c r="AN37" s="15" t="n">
        <f aca="false">IF($A37&lt;Annahmen!$B$71,0,IF($A37&lt;Annahmen!$B$71+Annahmen!$B$73,Annahmen!$B$72,Annahmen!$B$72*Annahmen!$B$75))</f>
        <v>0</v>
      </c>
      <c r="AO37" s="7" t="n">
        <f aca="false">IF(Z37&gt;0,1,0)</f>
        <v>0</v>
      </c>
      <c r="AP37" s="7" t="n">
        <f aca="false">IF(AA37&gt;=0,1,0)</f>
        <v>0</v>
      </c>
    </row>
    <row r="38" customFormat="false" ht="15" hidden="false" customHeight="false" outlineLevel="0" collapsed="false">
      <c r="A38" s="7" t="n">
        <v>5</v>
      </c>
      <c r="B38" s="7" t="s">
        <v>394</v>
      </c>
      <c r="C38" s="15" t="n">
        <f aca="false">AM38+AN38</f>
        <v>515.936</v>
      </c>
      <c r="D38" s="17" t="n">
        <f aca="false">D37+IF($A38&gt;=Annahmen!$B$180,Annahmen!$B$181,0)</f>
        <v>0</v>
      </c>
      <c r="E38" s="17" t="n">
        <f aca="false">E37+Annahmen!$B$67</f>
        <v>35</v>
      </c>
      <c r="F38" s="25" t="n">
        <f aca="false">MIN(Annahmen!$B$185,Annahmen!$B$184*D38/10)</f>
        <v>0</v>
      </c>
      <c r="G38" s="42" t="n">
        <f aca="false">MIN(Annahmen!$B$187,Annahmen!$B$186*D38/10)</f>
        <v>0</v>
      </c>
      <c r="H38" s="17" t="n">
        <f aca="false">IF($A38&gt;Annahmen!$B$68,INDEX($AM$34:$AM$57,$A38-Annahmen!$B$68),0)*(Annahmen!$B$59+G38)+IF($A38=Annahmen!$B$71+Annahmen!$B$73,Annahmen!$B$72*Annahmen!$B$74,0)</f>
        <v>1</v>
      </c>
      <c r="I38" s="17" t="n">
        <f aca="false">I37*(1-Annahmen!$B$60)+H38</f>
        <v>1</v>
      </c>
      <c r="J38" s="17" t="n">
        <f aca="false">I38*(1-Annahmen!$B$61)</f>
        <v>0.7</v>
      </c>
      <c r="K38" s="17" t="n">
        <f aca="false">I38*Annahmen!$B$61</f>
        <v>0.3</v>
      </c>
      <c r="L38" s="24" t="n">
        <f aca="false">J38*Annahmen!$B$87+K38*Annahmen!$B$88</f>
        <v>6.26275</v>
      </c>
      <c r="M38" s="24" t="n">
        <f aca="false">IF($A38&gt;=Annahmen!$B$55,Annahmen!$B$64*((1-Annahmen!$B$65)*Annahmen!$B$80+Annahmen!$B$65*Annahmen!$B$81)+Annahmen!$B$66*Annahmen!$B$82,0)</f>
        <v>32.245</v>
      </c>
      <c r="N38" s="24" t="n">
        <f aca="false">(L38+M38)/(1+Annahmen!$B$9)</f>
        <v>32.3594537815126</v>
      </c>
      <c r="O38" s="24" t="n">
        <f aca="false">L38/(1+Annahmen!$B$9)</f>
        <v>5.26281512605042</v>
      </c>
      <c r="P38" s="24" t="n">
        <f aca="false">N38*(Annahmen!$B$63*Annahmen!$B$83+(1-Annahmen!$B$63)*Annahmen!$B$84)+(I38*Annahmen!$B$62+I38*(1-Annahmen!$B$62)/12+IF($A38&gt;=Annahmen!$B$55,Annahmen!$B$64+Annahmen!$B$66,0))*(1-Annahmen!$B$63)*Annahmen!$B$85</f>
        <v>3.22900756302521</v>
      </c>
      <c r="Q38" s="25" t="n">
        <f aca="false">IF(D38=0,0,MIN(Annahmen!$B$189,Annahmen!$B$188*D38/(Annahmen!$B$188*D38+E38)))</f>
        <v>0</v>
      </c>
      <c r="R38" s="24" t="n">
        <f aca="false">O38*Q38*Annahmen!$B$196</f>
        <v>0</v>
      </c>
      <c r="S38" s="24" t="n">
        <f aca="false">Annahmen!$B$67*(Annahmen!$B$43+Annahmen!$B$154)</f>
        <v>259.483850895744</v>
      </c>
      <c r="T38" s="24" t="n">
        <f aca="false">IF($A38&gt;=Annahmen!$B$55,Annahmen!$B$64*(1-Annahmen!$B$65)*Annahmen!$B$44+(Annahmen!$B$64*Annahmen!$B$65+Annahmen!$B$66)*Annahmen!$B$45,0)</f>
        <v>15.6845378437918</v>
      </c>
      <c r="U38" s="24" t="n">
        <f aca="false">C38*Annahmen!$B$86</f>
        <v>5.15936</v>
      </c>
      <c r="V38" s="24" t="n">
        <f aca="false">SUMPRODUCT((((Annahmen!$C$161:$C$174="monatlich")*(Annahmen!$D$161:$D$174&lt;=$A38))+((Annahmen!$C$161:$C$174="einmalig")*(Annahmen!$D$161:$D$174=$A38)))*Annahmen!$B$161:$B$174*Annahmen!$E$161:$E$174)</f>
        <v>309.98507996069</v>
      </c>
      <c r="W38" s="24" t="n">
        <f aca="false">IF($A38&gt;=Annahmen!$B$55,Annahmen!$B$143,0)</f>
        <v>200</v>
      </c>
      <c r="X38" s="36" t="n">
        <f aca="false">MAX(0,(I38-Annahmen!$B$147)/Annahmen!$B$148)</f>
        <v>0</v>
      </c>
      <c r="Y38" s="24" t="n">
        <f aca="false">X38*Annahmen!$B$146</f>
        <v>0</v>
      </c>
      <c r="Z38" s="24" t="n">
        <f aca="false">N38-P38-R38-S38-T38-U38-V38-W38-Y38+AL38</f>
        <v>-761.182382481738</v>
      </c>
      <c r="AA38" s="24" t="n">
        <f aca="false">AA37+Z38</f>
        <v>-5742.9153280591</v>
      </c>
      <c r="AB38" s="17" t="n">
        <f aca="false">IF($A38&gt;=Annahmen!$B$180,Annahmen!$B$181,0)</f>
        <v>0</v>
      </c>
      <c r="AC38" s="17" t="n">
        <f aca="false">AB38*(1-Annahmen!$B$199)</f>
        <v>0</v>
      </c>
      <c r="AD38" s="24" t="n">
        <f aca="false">AC38*(Annahmen!$B$197+Annahmen!$B$198)+AB38*Annahmen!$B$155*Annahmen!$B$157</f>
        <v>0</v>
      </c>
      <c r="AE38" s="24" t="n">
        <f aca="false">AB38*(Annahmen!$B$48+Annahmen!$B$182*Annahmen!$B$11+Annahmen!$B$155*Annahmen!$B$154)</f>
        <v>0</v>
      </c>
      <c r="AF38" s="24" t="n">
        <f aca="false">AD38-AE38</f>
        <v>0</v>
      </c>
      <c r="AG38" s="24" t="n">
        <f aca="false">Gesamt!J22-TÆLLA!Y22+Z38+AF38</f>
        <v>-1352.32855490164</v>
      </c>
      <c r="AH38" s="24" t="n">
        <f aca="false">AH37+AG38</f>
        <v>-9635.0021946621</v>
      </c>
      <c r="AI38" s="15" t="n">
        <f aca="false">IF(AG38&gt;0,1,0)</f>
        <v>0</v>
      </c>
      <c r="AJ38" s="15" t="n">
        <f aca="false">IF(AH38&gt;=0,1,0)</f>
        <v>0</v>
      </c>
      <c r="AK38" s="15" t="n">
        <f aca="false">MAX(0,C38-I38)</f>
        <v>514.936</v>
      </c>
      <c r="AL38" s="24" t="n">
        <f aca="false">IF($A38&gt;=Annahmen!$B$69,AK38*Annahmen!$B$70,0)</f>
        <v>0</v>
      </c>
      <c r="AM38" s="15" t="n">
        <f aca="false">IF($A38&lt;Annahmen!$B$55,0,IF($A38=Annahmen!$B$55,Annahmen!$B$56,AM37*(1+(Annahmen!$B$57+F38)*(1-C37/Annahmen!$B$58))))</f>
        <v>215.936</v>
      </c>
      <c r="AN38" s="15" t="n">
        <f aca="false">IF($A38&lt;Annahmen!$B$71,0,IF($A38&lt;Annahmen!$B$71+Annahmen!$B$73,Annahmen!$B$72,Annahmen!$B$72*Annahmen!$B$75))</f>
        <v>300</v>
      </c>
      <c r="AO38" s="7" t="n">
        <f aca="false">IF(Z38&gt;0,1,0)</f>
        <v>0</v>
      </c>
      <c r="AP38" s="7" t="n">
        <f aca="false">IF(AA38&gt;=0,1,0)</f>
        <v>0</v>
      </c>
    </row>
    <row r="39" customFormat="false" ht="15" hidden="false" customHeight="false" outlineLevel="0" collapsed="false">
      <c r="A39" s="7" t="n">
        <v>6</v>
      </c>
      <c r="B39" s="7" t="s">
        <v>395</v>
      </c>
      <c r="C39" s="15" t="n">
        <f aca="false">AM39+AN39</f>
        <v>533.246333167125</v>
      </c>
      <c r="D39" s="17" t="n">
        <f aca="false">D38+IF($A39&gt;=Annahmen!$B$180,Annahmen!$B$181,0)</f>
        <v>2</v>
      </c>
      <c r="E39" s="17" t="n">
        <f aca="false">E38+Annahmen!$B$67</f>
        <v>39</v>
      </c>
      <c r="F39" s="25" t="n">
        <f aca="false">MIN(Annahmen!$B$185,Annahmen!$B$184*D39/10)</f>
        <v>0.001</v>
      </c>
      <c r="G39" s="42" t="n">
        <f aca="false">MIN(Annahmen!$B$187,Annahmen!$B$186*D39/10)</f>
        <v>4E-005</v>
      </c>
      <c r="H39" s="17" t="n">
        <f aca="false">IF($A39&gt;Annahmen!$B$68,INDEX($AM$34:$AM$57,$A39-Annahmen!$B$68),0)*(Annahmen!$B$59+G39)+IF($A39=Annahmen!$B$71+Annahmen!$B$73,Annahmen!$B$72*Annahmen!$B$74,0)</f>
        <v>1.08831744</v>
      </c>
      <c r="I39" s="17" t="n">
        <f aca="false">I38*(1-Annahmen!$B$60)+H39</f>
        <v>2.00831744</v>
      </c>
      <c r="J39" s="17" t="n">
        <f aca="false">I39*(1-Annahmen!$B$61)</f>
        <v>1.405822208</v>
      </c>
      <c r="K39" s="17" t="n">
        <f aca="false">I39*Annahmen!$B$61</f>
        <v>0.602495232</v>
      </c>
      <c r="L39" s="24" t="n">
        <f aca="false">J39*Annahmen!$B$87+K39*Annahmen!$B$88</f>
        <v>12.57759004736</v>
      </c>
      <c r="M39" s="24" t="n">
        <f aca="false">IF($A39&gt;=Annahmen!$B$55,Annahmen!$B$64*((1-Annahmen!$B$65)*Annahmen!$B$80+Annahmen!$B$65*Annahmen!$B$81)+Annahmen!$B$66*Annahmen!$B$82,0)</f>
        <v>32.245</v>
      </c>
      <c r="N39" s="24" t="n">
        <f aca="false">(L39+M39)/(1+Annahmen!$B$9)</f>
        <v>37.666042056605</v>
      </c>
      <c r="O39" s="24" t="n">
        <f aca="false">L39/(1+Annahmen!$B$9)</f>
        <v>10.5694034011429</v>
      </c>
      <c r="P39" s="24" t="n">
        <f aca="false">N39*(Annahmen!$B$63*Annahmen!$B$83+(1-Annahmen!$B$63)*Annahmen!$B$84)+(I39*Annahmen!$B$62+I39*(1-Annahmen!$B$62)/12+IF($A39&gt;=Annahmen!$B$55,Annahmen!$B$64+Annahmen!$B$66,0))*(1-Annahmen!$B$63)*Annahmen!$B$85</f>
        <v>3.81154305183408</v>
      </c>
      <c r="Q39" s="25" t="n">
        <f aca="false">IF(D39=0,0,MIN(Annahmen!$B$189,Annahmen!$B$188*D39/(Annahmen!$B$188*D39+E39)))</f>
        <v>0.0930232558139535</v>
      </c>
      <c r="R39" s="24" t="n">
        <f aca="false">O39*Q39*Annahmen!$B$196</f>
        <v>0.585004188249302</v>
      </c>
      <c r="S39" s="24" t="n">
        <f aca="false">Annahmen!$B$67*(Annahmen!$B$43+Annahmen!$B$154)</f>
        <v>259.483850895744</v>
      </c>
      <c r="T39" s="24" t="n">
        <f aca="false">IF($A39&gt;=Annahmen!$B$55,Annahmen!$B$64*(1-Annahmen!$B$65)*Annahmen!$B$44+(Annahmen!$B$64*Annahmen!$B$65+Annahmen!$B$66)*Annahmen!$B$45,0)</f>
        <v>15.6845378437918</v>
      </c>
      <c r="U39" s="24" t="n">
        <f aca="false">C39*Annahmen!$B$86</f>
        <v>5.33246333167125</v>
      </c>
      <c r="V39" s="24" t="n">
        <f aca="false">SUMPRODUCT((((Annahmen!$C$161:$C$174="monatlich")*(Annahmen!$D$161:$D$174&lt;=$A39))+((Annahmen!$C$161:$C$174="einmalig")*(Annahmen!$D$161:$D$174=$A39)))*Annahmen!$B$161:$B$174*Annahmen!$E$161:$E$174)</f>
        <v>69.9850799606897</v>
      </c>
      <c r="W39" s="24" t="n">
        <f aca="false">IF($A39&gt;=Annahmen!$B$55,Annahmen!$B$143,0)</f>
        <v>200</v>
      </c>
      <c r="X39" s="36" t="n">
        <f aca="false">MAX(0,(I39-Annahmen!$B$147)/Annahmen!$B$148)</f>
        <v>0</v>
      </c>
      <c r="Y39" s="24" t="n">
        <f aca="false">X39*Annahmen!$B$146</f>
        <v>0</v>
      </c>
      <c r="Z39" s="24" t="n">
        <f aca="false">N39-P39-R39-S39-T39-U39-V39-W39-Y39+AL39</f>
        <v>-517.216437215375</v>
      </c>
      <c r="AA39" s="24" t="n">
        <f aca="false">AA38+Z39</f>
        <v>-6260.13176527448</v>
      </c>
      <c r="AB39" s="17" t="n">
        <f aca="false">IF($A39&gt;=Annahmen!$B$180,Annahmen!$B$181,0)</f>
        <v>2</v>
      </c>
      <c r="AC39" s="17" t="n">
        <f aca="false">AB39*(1-Annahmen!$B$199)</f>
        <v>1.6</v>
      </c>
      <c r="AD39" s="24" t="n">
        <f aca="false">AC39*(Annahmen!$B$197+Annahmen!$B$198)+AB39*Annahmen!$B$155*Annahmen!$B$157</f>
        <v>581.6</v>
      </c>
      <c r="AE39" s="24" t="n">
        <f aca="false">AB39*(Annahmen!$B$48+Annahmen!$B$182*Annahmen!$B$11+Annahmen!$B$155*Annahmen!$B$154)</f>
        <v>31.7434865427531</v>
      </c>
      <c r="AF39" s="24" t="n">
        <f aca="false">AD39-AE39</f>
        <v>549.856513457247</v>
      </c>
      <c r="AG39" s="24" t="n">
        <f aca="false">Gesamt!J23-TÆLLA!Y23+Z39+AF39</f>
        <v>2.98110008364836</v>
      </c>
      <c r="AH39" s="24" t="n">
        <f aca="false">AH38+AG39</f>
        <v>-9632.02109457846</v>
      </c>
      <c r="AI39" s="15" t="n">
        <f aca="false">IF(AG39&gt;0,1,0)</f>
        <v>1</v>
      </c>
      <c r="AJ39" s="15" t="n">
        <f aca="false">IF(AH39&gt;=0,1,0)</f>
        <v>0</v>
      </c>
      <c r="AK39" s="15" t="n">
        <f aca="false">MAX(0,C39-I39)</f>
        <v>531.238015727124</v>
      </c>
      <c r="AL39" s="24" t="n">
        <f aca="false">IF($A39&gt;=Annahmen!$B$69,AK39*Annahmen!$B$70,0)</f>
        <v>0</v>
      </c>
      <c r="AM39" s="15" t="n">
        <f aca="false">IF($A39&lt;Annahmen!$B$55,0,IF($A39=Annahmen!$B$55,Annahmen!$B$56,AM38*(1+(Annahmen!$B$57+F39)*(1-C38/Annahmen!$B$58))))</f>
        <v>233.246333167124</v>
      </c>
      <c r="AN39" s="15" t="n">
        <f aca="false">IF($A39&lt;Annahmen!$B$71,0,IF($A39&lt;Annahmen!$B$71+Annahmen!$B$73,Annahmen!$B$72,Annahmen!$B$72*Annahmen!$B$75))</f>
        <v>300</v>
      </c>
      <c r="AO39" s="7" t="n">
        <f aca="false">IF(Z39&gt;0,1,0)</f>
        <v>0</v>
      </c>
      <c r="AP39" s="7" t="n">
        <f aca="false">IF(AA39&gt;=0,1,0)</f>
        <v>0</v>
      </c>
    </row>
    <row r="40" customFormat="false" ht="15" hidden="false" customHeight="false" outlineLevel="0" collapsed="false">
      <c r="A40" s="7" t="n">
        <v>7</v>
      </c>
      <c r="B40" s="7" t="s">
        <v>396</v>
      </c>
      <c r="C40" s="15" t="n">
        <f aca="false">AM40+AN40</f>
        <v>552.168552973736</v>
      </c>
      <c r="D40" s="17" t="n">
        <f aca="false">D39+IF($A40&gt;=Annahmen!$B$180,Annahmen!$B$181,0)</f>
        <v>4</v>
      </c>
      <c r="E40" s="17" t="n">
        <f aca="false">E39+Annahmen!$B$67</f>
        <v>43</v>
      </c>
      <c r="F40" s="25" t="n">
        <f aca="false">MIN(Annahmen!$B$185,Annahmen!$B$184*D40/10)</f>
        <v>0.002</v>
      </c>
      <c r="G40" s="42" t="n">
        <f aca="false">MIN(Annahmen!$B$187,Annahmen!$B$186*D40/10)</f>
        <v>8E-005</v>
      </c>
      <c r="H40" s="17" t="n">
        <f aca="false">IF($A40&gt;Annahmen!$B$68,INDEX($AM$34:$AM$57,$A40-Annahmen!$B$68),0)*(Annahmen!$B$59+G40)+IF($A40=Annahmen!$B$71+Annahmen!$B$73,Annahmen!$B$72*Annahmen!$B$74,0)</f>
        <v>1.18489137248899</v>
      </c>
      <c r="I40" s="17" t="n">
        <f aca="false">I39*(1-Annahmen!$B$60)+H40</f>
        <v>3.03254341728899</v>
      </c>
      <c r="J40" s="17" t="n">
        <f aca="false">I40*(1-Annahmen!$B$61)</f>
        <v>2.1227803921023</v>
      </c>
      <c r="K40" s="17" t="n">
        <f aca="false">I40*Annahmen!$B$61</f>
        <v>0.909763025186698</v>
      </c>
      <c r="L40" s="24" t="n">
        <f aca="false">J40*Annahmen!$B$87+K40*Annahmen!$B$88</f>
        <v>18.9920612866266</v>
      </c>
      <c r="M40" s="24" t="n">
        <f aca="false">IF($A40&gt;=Annahmen!$B$55,Annahmen!$B$64*((1-Annahmen!$B$65)*Annahmen!$B$80+Annahmen!$B$65*Annahmen!$B$81)+Annahmen!$B$66*Annahmen!$B$82,0)</f>
        <v>32.245</v>
      </c>
      <c r="N40" s="24" t="n">
        <f aca="false">(L40+M40)/(1+Annahmen!$B$9)</f>
        <v>43.0563540223753</v>
      </c>
      <c r="O40" s="24" t="n">
        <f aca="false">L40/(1+Annahmen!$B$9)</f>
        <v>15.9597153669131</v>
      </c>
      <c r="P40" s="24" t="n">
        <f aca="false">N40*(Annahmen!$B$63*Annahmen!$B$83+(1-Annahmen!$B$63)*Annahmen!$B$84)+(I40*Annahmen!$B$62+I40*(1-Annahmen!$B$62)/12+IF($A40&gt;=Annahmen!$B$55,Annahmen!$B$64+Annahmen!$B$66,0))*(1-Annahmen!$B$63)*Annahmen!$B$85</f>
        <v>4.40326938390148</v>
      </c>
      <c r="Q40" s="25" t="n">
        <f aca="false">IF(D40=0,0,MIN(Annahmen!$B$189,Annahmen!$B$188*D40/(Annahmen!$B$188*D40+E40)))</f>
        <v>0.156862745098039</v>
      </c>
      <c r="R40" s="24" t="n">
        <f aca="false">O40*Q40*Annahmen!$B$196</f>
        <v>1.48957343424523</v>
      </c>
      <c r="S40" s="24" t="n">
        <f aca="false">Annahmen!$B$67*(Annahmen!$B$43+Annahmen!$B$154)</f>
        <v>259.483850895744</v>
      </c>
      <c r="T40" s="24" t="n">
        <f aca="false">IF($A40&gt;=Annahmen!$B$55,Annahmen!$B$64*(1-Annahmen!$B$65)*Annahmen!$B$44+(Annahmen!$B$64*Annahmen!$B$65+Annahmen!$B$66)*Annahmen!$B$45,0)</f>
        <v>15.6845378437918</v>
      </c>
      <c r="U40" s="24" t="n">
        <f aca="false">C40*Annahmen!$B$86</f>
        <v>5.52168552973736</v>
      </c>
      <c r="V40" s="24" t="n">
        <f aca="false">SUMPRODUCT((((Annahmen!$C$161:$C$174="monatlich")*(Annahmen!$D$161:$D$174&lt;=$A40))+((Annahmen!$C$161:$C$174="einmalig")*(Annahmen!$D$161:$D$174=$A40)))*Annahmen!$B$161:$B$174*Annahmen!$E$161:$E$174)</f>
        <v>69.9850799606897</v>
      </c>
      <c r="W40" s="24" t="n">
        <f aca="false">IF($A40&gt;=Annahmen!$B$55,Annahmen!$B$143,0)</f>
        <v>200</v>
      </c>
      <c r="X40" s="36" t="n">
        <f aca="false">MAX(0,(I40-Annahmen!$B$147)/Annahmen!$B$148)</f>
        <v>0</v>
      </c>
      <c r="Y40" s="24" t="n">
        <f aca="false">X40*Annahmen!$B$146</f>
        <v>0</v>
      </c>
      <c r="Z40" s="24" t="n">
        <f aca="false">N40-P40-R40-S40-T40-U40-V40-W40-Y40+AL40</f>
        <v>-513.511643025734</v>
      </c>
      <c r="AA40" s="24" t="n">
        <f aca="false">AA39+Z40</f>
        <v>-6773.64340830021</v>
      </c>
      <c r="AB40" s="17" t="n">
        <f aca="false">IF($A40&gt;=Annahmen!$B$180,Annahmen!$B$181,0)</f>
        <v>2</v>
      </c>
      <c r="AC40" s="17" t="n">
        <f aca="false">AB40*(1-Annahmen!$B$199)</f>
        <v>1.6</v>
      </c>
      <c r="AD40" s="24" t="n">
        <f aca="false">AC40*(Annahmen!$B$197+Annahmen!$B$198)+AB40*Annahmen!$B$155*Annahmen!$B$157</f>
        <v>581.6</v>
      </c>
      <c r="AE40" s="24" t="n">
        <f aca="false">AB40*(Annahmen!$B$48+Annahmen!$B$182*Annahmen!$B$11+Annahmen!$B$155*Annahmen!$B$154)</f>
        <v>31.7434865427531</v>
      </c>
      <c r="AF40" s="24" t="n">
        <f aca="false">AD40-AE40</f>
        <v>549.856513457247</v>
      </c>
      <c r="AG40" s="24" t="n">
        <f aca="false">Gesamt!J24-TÆLLA!Y24+Z40+AF40</f>
        <v>8.17309053497149</v>
      </c>
      <c r="AH40" s="24" t="n">
        <f aca="false">AH39+AG40</f>
        <v>-9623.84800404348</v>
      </c>
      <c r="AI40" s="15" t="n">
        <f aca="false">IF(AG40&gt;0,1,0)</f>
        <v>1</v>
      </c>
      <c r="AJ40" s="15" t="n">
        <f aca="false">IF(AH40&gt;=0,1,0)</f>
        <v>0</v>
      </c>
      <c r="AK40" s="15" t="n">
        <f aca="false">MAX(0,C40-I40)</f>
        <v>549.136009556447</v>
      </c>
      <c r="AL40" s="24" t="n">
        <f aca="false">IF($A40&gt;=Annahmen!$B$69,AK40*Annahmen!$B$70,0)</f>
        <v>0</v>
      </c>
      <c r="AM40" s="15" t="n">
        <f aca="false">IF($A40&lt;Annahmen!$B$55,0,IF($A40=Annahmen!$B$55,Annahmen!$B$56,AM39*(1+(Annahmen!$B$57+F40)*(1-C39/Annahmen!$B$58))))</f>
        <v>252.168552973736</v>
      </c>
      <c r="AN40" s="15" t="n">
        <f aca="false">IF($A40&lt;Annahmen!$B$71,0,IF($A40&lt;Annahmen!$B$71+Annahmen!$B$73,Annahmen!$B$72,Annahmen!$B$72*Annahmen!$B$75))</f>
        <v>300</v>
      </c>
      <c r="AO40" s="7" t="n">
        <f aca="false">IF(Z40&gt;0,1,0)</f>
        <v>0</v>
      </c>
      <c r="AP40" s="7" t="n">
        <f aca="false">IF(AA40&gt;=0,1,0)</f>
        <v>0</v>
      </c>
    </row>
    <row r="41" customFormat="false" ht="15" hidden="false" customHeight="false" outlineLevel="0" collapsed="false">
      <c r="A41" s="7" t="n">
        <v>8</v>
      </c>
      <c r="B41" s="7" t="s">
        <v>397</v>
      </c>
      <c r="C41" s="15" t="n">
        <f aca="false">AM41+AN41</f>
        <v>362.867405225854</v>
      </c>
      <c r="D41" s="17" t="n">
        <f aca="false">D40+IF($A41&gt;=Annahmen!$B$180,Annahmen!$B$181,0)</f>
        <v>6</v>
      </c>
      <c r="E41" s="17" t="n">
        <f aca="false">E40+Annahmen!$B$67</f>
        <v>47</v>
      </c>
      <c r="F41" s="25" t="n">
        <f aca="false">MIN(Annahmen!$B$185,Annahmen!$B$184*D41/10)</f>
        <v>0.003</v>
      </c>
      <c r="G41" s="42" t="n">
        <f aca="false">MIN(Annahmen!$B$187,Annahmen!$B$186*D41/10)</f>
        <v>0.00012</v>
      </c>
      <c r="H41" s="17" t="n">
        <f aca="false">IF($A41&gt;Annahmen!$B$68,INDEX($AM$34:$AM$57,$A41-Annahmen!$B$68),0)*(Annahmen!$B$59+G41)+IF($A41=Annahmen!$B$71+Annahmen!$B$73,Annahmen!$B$72*Annahmen!$B$74,0)</f>
        <v>10.2911029912255</v>
      </c>
      <c r="I41" s="17" t="n">
        <f aca="false">I40*(1-Annahmen!$B$60)+H41</f>
        <v>13.0810429351314</v>
      </c>
      <c r="J41" s="17" t="n">
        <f aca="false">I41*(1-Annahmen!$B$61)</f>
        <v>9.15673005459198</v>
      </c>
      <c r="K41" s="17" t="n">
        <f aca="false">I41*Annahmen!$B$61</f>
        <v>3.92431288053942</v>
      </c>
      <c r="L41" s="24" t="n">
        <f aca="false">J41*Annahmen!$B$87+K41*Annahmen!$B$88</f>
        <v>81.9233016419942</v>
      </c>
      <c r="M41" s="24" t="n">
        <f aca="false">IF($A41&gt;=Annahmen!$B$55,Annahmen!$B$64*((1-Annahmen!$B$65)*Annahmen!$B$80+Annahmen!$B$65*Annahmen!$B$81)+Annahmen!$B$66*Annahmen!$B$82,0)</f>
        <v>32.245</v>
      </c>
      <c r="N41" s="24" t="n">
        <f aca="false">(L41+M41)/(1+Annahmen!$B$9)</f>
        <v>95.9397492789867</v>
      </c>
      <c r="O41" s="24" t="n">
        <f aca="false">L41/(1+Annahmen!$B$9)</f>
        <v>68.8431106235245</v>
      </c>
      <c r="P41" s="24" t="n">
        <f aca="false">N41*(Annahmen!$B$63*Annahmen!$B$83+(1-Annahmen!$B$63)*Annahmen!$B$84)+(I41*Annahmen!$B$62+I41*(1-Annahmen!$B$62)/12+IF($A41&gt;=Annahmen!$B$55,Annahmen!$B$64+Annahmen!$B$66,0))*(1-Annahmen!$B$63)*Annahmen!$B$85</f>
        <v>10.2085915435798</v>
      </c>
      <c r="Q41" s="25" t="n">
        <f aca="false">IF(D41=0,0,MIN(Annahmen!$B$189,Annahmen!$B$188*D41/(Annahmen!$B$188*D41+E41)))</f>
        <v>0.203389830508475</v>
      </c>
      <c r="R41" s="24" t="n">
        <f aca="false">O41*Q41*Annahmen!$B$196</f>
        <v>8.33118321782992</v>
      </c>
      <c r="S41" s="24" t="n">
        <f aca="false">Annahmen!$B$67*(Annahmen!$B$43+Annahmen!$B$154)</f>
        <v>259.483850895744</v>
      </c>
      <c r="T41" s="24" t="n">
        <f aca="false">IF($A41&gt;=Annahmen!$B$55,Annahmen!$B$64*(1-Annahmen!$B$65)*Annahmen!$B$44+(Annahmen!$B$64*Annahmen!$B$65+Annahmen!$B$66)*Annahmen!$B$45,0)</f>
        <v>15.6845378437918</v>
      </c>
      <c r="U41" s="24" t="n">
        <f aca="false">C41*Annahmen!$B$86</f>
        <v>3.62867405225854</v>
      </c>
      <c r="V41" s="24" t="n">
        <f aca="false">SUMPRODUCT((((Annahmen!$C$161:$C$174="monatlich")*(Annahmen!$D$161:$D$174&lt;=$A41))+((Annahmen!$C$161:$C$174="einmalig")*(Annahmen!$D$161:$D$174=$A41)))*Annahmen!$B$161:$B$174*Annahmen!$E$161:$E$174)</f>
        <v>69.9850799606897</v>
      </c>
      <c r="W41" s="24" t="n">
        <f aca="false">IF($A41&gt;=Annahmen!$B$55,Annahmen!$B$143,0)</f>
        <v>200</v>
      </c>
      <c r="X41" s="36" t="n">
        <f aca="false">MAX(0,(I41-Annahmen!$B$147)/Annahmen!$B$148)</f>
        <v>0</v>
      </c>
      <c r="Y41" s="24" t="n">
        <f aca="false">X41*Annahmen!$B$146</f>
        <v>0</v>
      </c>
      <c r="Z41" s="24" t="n">
        <f aca="false">N41-P41-R41-S41-T41-U41-V41-W41-Y41+AL41</f>
        <v>-471.382168234907</v>
      </c>
      <c r="AA41" s="24" t="n">
        <f aca="false">AA40+Z41</f>
        <v>-7245.02557653512</v>
      </c>
      <c r="AB41" s="17" t="n">
        <f aca="false">IF($A41&gt;=Annahmen!$B$180,Annahmen!$B$181,0)</f>
        <v>2</v>
      </c>
      <c r="AC41" s="17" t="n">
        <f aca="false">AB41*(1-Annahmen!$B$199)</f>
        <v>1.6</v>
      </c>
      <c r="AD41" s="24" t="n">
        <f aca="false">AC41*(Annahmen!$B$197+Annahmen!$B$198)+AB41*Annahmen!$B$155*Annahmen!$B$157</f>
        <v>581.6</v>
      </c>
      <c r="AE41" s="24" t="n">
        <f aca="false">AB41*(Annahmen!$B$48+Annahmen!$B$182*Annahmen!$B$11+Annahmen!$B$155*Annahmen!$B$154)</f>
        <v>31.7434865427531</v>
      </c>
      <c r="AF41" s="24" t="n">
        <f aca="false">AD41-AE41</f>
        <v>549.856513457247</v>
      </c>
      <c r="AG41" s="24" t="n">
        <f aca="false">Gesamt!J25-TÆLLA!Y25+Z41+AF41</f>
        <v>259.567477115362</v>
      </c>
      <c r="AH41" s="24" t="n">
        <f aca="false">AH40+AG41</f>
        <v>-9364.28052692812</v>
      </c>
      <c r="AI41" s="15" t="n">
        <f aca="false">IF(AG41&gt;0,1,0)</f>
        <v>1</v>
      </c>
      <c r="AJ41" s="15" t="n">
        <f aca="false">IF(AH41&gt;=0,1,0)</f>
        <v>0</v>
      </c>
      <c r="AK41" s="15" t="n">
        <f aca="false">MAX(0,C41-I41)</f>
        <v>349.786362290723</v>
      </c>
      <c r="AL41" s="24" t="n">
        <f aca="false">IF($A41&gt;=Annahmen!$B$69,AK41*Annahmen!$B$70,0)</f>
        <v>0</v>
      </c>
      <c r="AM41" s="15" t="n">
        <f aca="false">IF($A41&lt;Annahmen!$B$55,0,IF($A41=Annahmen!$B$55,Annahmen!$B$56,AM40*(1+(Annahmen!$B$57+F41)*(1-C40/Annahmen!$B$58))))</f>
        <v>272.867405225854</v>
      </c>
      <c r="AN41" s="15" t="n">
        <f aca="false">IF($A41&lt;Annahmen!$B$71,0,IF($A41&lt;Annahmen!$B$71+Annahmen!$B$73,Annahmen!$B$72,Annahmen!$B$72*Annahmen!$B$75))</f>
        <v>90</v>
      </c>
      <c r="AO41" s="7" t="n">
        <f aca="false">IF(Z41&gt;0,1,0)</f>
        <v>0</v>
      </c>
      <c r="AP41" s="7" t="n">
        <f aca="false">IF(AA41&gt;=0,1,0)</f>
        <v>0</v>
      </c>
    </row>
    <row r="42" customFormat="false" ht="15" hidden="false" customHeight="false" outlineLevel="0" collapsed="false">
      <c r="A42" s="7" t="n">
        <v>9</v>
      </c>
      <c r="B42" s="7" t="s">
        <v>398</v>
      </c>
      <c r="C42" s="15" t="n">
        <f aca="false">AM42+AN42</f>
        <v>385.621922590153</v>
      </c>
      <c r="D42" s="17" t="n">
        <f aca="false">D41+IF($A42&gt;=Annahmen!$B$180,Annahmen!$B$181,0)</f>
        <v>8</v>
      </c>
      <c r="E42" s="17" t="n">
        <f aca="false">E41+Annahmen!$B$67</f>
        <v>51</v>
      </c>
      <c r="F42" s="25" t="n">
        <f aca="false">MIN(Annahmen!$B$185,Annahmen!$B$184*D42/10)</f>
        <v>0.004</v>
      </c>
      <c r="G42" s="42" t="n">
        <f aca="false">MIN(Annahmen!$B$187,Annahmen!$B$186*D42/10)</f>
        <v>0.00016</v>
      </c>
      <c r="H42" s="17" t="n">
        <f aca="false">IF($A42&gt;Annahmen!$B$68,INDEX($AM$34:$AM$57,$A42-Annahmen!$B$68),0)*(Annahmen!$B$59+G42)+IF($A42=Annahmen!$B$71+Annahmen!$B$73,Annahmen!$B$72*Annahmen!$B$74,0)</f>
        <v>1.40799581096541</v>
      </c>
      <c r="I42" s="17" t="n">
        <f aca="false">I41*(1-Annahmen!$B$60)+H42</f>
        <v>13.4425553112863</v>
      </c>
      <c r="J42" s="17" t="n">
        <f aca="false">I42*(1-Annahmen!$B$61)</f>
        <v>9.40978871790041</v>
      </c>
      <c r="K42" s="17" t="n">
        <f aca="false">I42*Annahmen!$B$61</f>
        <v>4.03276659338589</v>
      </c>
      <c r="L42" s="24" t="n">
        <f aca="false">J42*Annahmen!$B$87+K42*Annahmen!$B$88</f>
        <v>84.1873632757582</v>
      </c>
      <c r="M42" s="24" t="n">
        <f aca="false">IF($A42&gt;=Annahmen!$B$55,Annahmen!$B$64*((1-Annahmen!$B$65)*Annahmen!$B$80+Annahmen!$B$65*Annahmen!$B$81)+Annahmen!$B$66*Annahmen!$B$82,0)</f>
        <v>32.245</v>
      </c>
      <c r="N42" s="24" t="n">
        <f aca="false">(L42+M42)/(1+Annahmen!$B$9)</f>
        <v>97.8423220804691</v>
      </c>
      <c r="O42" s="24" t="n">
        <f aca="false">L42/(1+Annahmen!$B$9)</f>
        <v>70.7456834250069</v>
      </c>
      <c r="P42" s="24" t="n">
        <f aca="false">N42*(Annahmen!$B$63*Annahmen!$B$83+(1-Annahmen!$B$63)*Annahmen!$B$84)+(I42*Annahmen!$B$62+I42*(1-Annahmen!$B$62)/12+IF($A42&gt;=Annahmen!$B$55,Annahmen!$B$64+Annahmen!$B$66,0))*(1-Annahmen!$B$63)*Annahmen!$B$85</f>
        <v>10.4174481797933</v>
      </c>
      <c r="Q42" s="25" t="n">
        <f aca="false">IF(D42=0,0,MIN(Annahmen!$B$189,Annahmen!$B$188*D42/(Annahmen!$B$188*D42+E42)))</f>
        <v>0.238805970149254</v>
      </c>
      <c r="R42" s="24" t="n">
        <f aca="false">O42*Q42*Annahmen!$B$196</f>
        <v>10.0522224806876</v>
      </c>
      <c r="S42" s="24" t="n">
        <f aca="false">Annahmen!$B$67*(Annahmen!$B$43+Annahmen!$B$154)</f>
        <v>259.483850895744</v>
      </c>
      <c r="T42" s="24" t="n">
        <f aca="false">IF($A42&gt;=Annahmen!$B$55,Annahmen!$B$64*(1-Annahmen!$B$65)*Annahmen!$B$44+(Annahmen!$B$64*Annahmen!$B$65+Annahmen!$B$66)*Annahmen!$B$45,0)</f>
        <v>15.6845378437918</v>
      </c>
      <c r="U42" s="24" t="n">
        <f aca="false">C42*Annahmen!$B$86</f>
        <v>3.85621922590153</v>
      </c>
      <c r="V42" s="24" t="n">
        <f aca="false">SUMPRODUCT((((Annahmen!$C$161:$C$174="monatlich")*(Annahmen!$D$161:$D$174&lt;=$A42))+((Annahmen!$C$161:$C$174="einmalig")*(Annahmen!$D$161:$D$174=$A42)))*Annahmen!$B$161:$B$174*Annahmen!$E$161:$E$174)</f>
        <v>69.9850799606897</v>
      </c>
      <c r="W42" s="24" t="n">
        <f aca="false">IF($A42&gt;=Annahmen!$B$55,Annahmen!$B$143,0)</f>
        <v>200</v>
      </c>
      <c r="X42" s="36" t="n">
        <f aca="false">MAX(0,(I42-Annahmen!$B$147)/Annahmen!$B$148)</f>
        <v>0</v>
      </c>
      <c r="Y42" s="24" t="n">
        <f aca="false">X42*Annahmen!$B$146</f>
        <v>0</v>
      </c>
      <c r="Z42" s="24" t="n">
        <f aca="false">N42-P42-R42-S42-T42-U42-V42-W42-Y42+AL42</f>
        <v>-471.637036506139</v>
      </c>
      <c r="AA42" s="24" t="n">
        <f aca="false">AA41+Z42</f>
        <v>-7716.66261304126</v>
      </c>
      <c r="AB42" s="17" t="n">
        <f aca="false">IF($A42&gt;=Annahmen!$B$180,Annahmen!$B$181,0)</f>
        <v>2</v>
      </c>
      <c r="AC42" s="17" t="n">
        <f aca="false">AB42*(1-Annahmen!$B$199)</f>
        <v>1.6</v>
      </c>
      <c r="AD42" s="24" t="n">
        <f aca="false">AC42*(Annahmen!$B$197+Annahmen!$B$198)+AB42*Annahmen!$B$155*Annahmen!$B$157</f>
        <v>581.6</v>
      </c>
      <c r="AE42" s="24" t="n">
        <f aca="false">AB42*(Annahmen!$B$48+Annahmen!$B$182*Annahmen!$B$11+Annahmen!$B$155*Annahmen!$B$154)</f>
        <v>31.7434865427531</v>
      </c>
      <c r="AF42" s="24" t="n">
        <f aca="false">AD42-AE42</f>
        <v>549.856513457247</v>
      </c>
      <c r="AG42" s="24" t="n">
        <f aca="false">Gesamt!J26-TÆLLA!Y26+Z42+AF42</f>
        <v>260.799805105812</v>
      </c>
      <c r="AH42" s="24" t="n">
        <f aca="false">AH41+AG42</f>
        <v>-9103.48072182231</v>
      </c>
      <c r="AI42" s="15" t="n">
        <f aca="false">IF(AG42&gt;0,1,0)</f>
        <v>1</v>
      </c>
      <c r="AJ42" s="15" t="n">
        <f aca="false">IF(AH42&gt;=0,1,0)</f>
        <v>0</v>
      </c>
      <c r="AK42" s="15" t="n">
        <f aca="false">MAX(0,C42-I42)</f>
        <v>372.179367278867</v>
      </c>
      <c r="AL42" s="24" t="n">
        <f aca="false">IF($A42&gt;=Annahmen!$B$69,AK42*Annahmen!$B$70,0)</f>
        <v>0</v>
      </c>
      <c r="AM42" s="15" t="n">
        <f aca="false">IF($A42&lt;Annahmen!$B$55,0,IF($A42=Annahmen!$B$55,Annahmen!$B$56,AM41*(1+(Annahmen!$B$57+F42)*(1-C41/Annahmen!$B$58))))</f>
        <v>295.621922590153</v>
      </c>
      <c r="AN42" s="15" t="n">
        <f aca="false">IF($A42&lt;Annahmen!$B$71,0,IF($A42&lt;Annahmen!$B$71+Annahmen!$B$73,Annahmen!$B$72,Annahmen!$B$72*Annahmen!$B$75))</f>
        <v>90</v>
      </c>
      <c r="AO42" s="7" t="n">
        <f aca="false">IF(Z42&gt;0,1,0)</f>
        <v>0</v>
      </c>
      <c r="AP42" s="7" t="n">
        <f aca="false">IF(AA42&gt;=0,1,0)</f>
        <v>0</v>
      </c>
    </row>
    <row r="43" customFormat="false" ht="15" hidden="false" customHeight="false" outlineLevel="0" collapsed="false">
      <c r="A43" s="7" t="n">
        <v>10</v>
      </c>
      <c r="B43" s="7" t="s">
        <v>399</v>
      </c>
      <c r="C43" s="15" t="n">
        <f aca="false">AM43+AN43</f>
        <v>410.555988910263</v>
      </c>
      <c r="D43" s="17" t="n">
        <f aca="false">D42+IF($A43&gt;=Annahmen!$B$180,Annahmen!$B$181,0)</f>
        <v>10</v>
      </c>
      <c r="E43" s="17" t="n">
        <f aca="false">E42+Annahmen!$B$67</f>
        <v>55</v>
      </c>
      <c r="F43" s="25" t="n">
        <f aca="false">MIN(Annahmen!$B$185,Annahmen!$B$184*D43/10)</f>
        <v>0.005</v>
      </c>
      <c r="G43" s="42" t="n">
        <f aca="false">MIN(Annahmen!$B$187,Annahmen!$B$186*D43/10)</f>
        <v>0.0002</v>
      </c>
      <c r="H43" s="17" t="n">
        <f aca="false">IF($A43&gt;Annahmen!$B$68,INDEX($AM$34:$AM$57,$A43-Annahmen!$B$68),0)*(Annahmen!$B$59+G43)+IF($A43=Annahmen!$B$71+Annahmen!$B$73,Annahmen!$B$72*Annahmen!$B$74,0)</f>
        <v>1.5372339974688</v>
      </c>
      <c r="I43" s="17" t="n">
        <f aca="false">I42*(1-Annahmen!$B$60)+H43</f>
        <v>13.9043848838522</v>
      </c>
      <c r="J43" s="17" t="n">
        <f aca="false">I43*(1-Annahmen!$B$61)</f>
        <v>9.73306941869653</v>
      </c>
      <c r="K43" s="17" t="n">
        <f aca="false">I43*Annahmen!$B$61</f>
        <v>4.17131546515566</v>
      </c>
      <c r="L43" s="24" t="n">
        <f aca="false">J43*Annahmen!$B$87+K43*Annahmen!$B$88</f>
        <v>87.0796864313453</v>
      </c>
      <c r="M43" s="24" t="n">
        <f aca="false">IF($A43&gt;=Annahmen!$B$55,Annahmen!$B$64*((1-Annahmen!$B$65)*Annahmen!$B$80+Annahmen!$B$65*Annahmen!$B$81)+Annahmen!$B$66*Annahmen!$B$82,0)</f>
        <v>32.245</v>
      </c>
      <c r="N43" s="24" t="n">
        <f aca="false">(L43+M43)/(1+Annahmen!$B$9)</f>
        <v>100.272845740626</v>
      </c>
      <c r="O43" s="24" t="n">
        <f aca="false">L43/(1+Annahmen!$B$9)</f>
        <v>73.1762070851641</v>
      </c>
      <c r="P43" s="24" t="n">
        <f aca="false">N43*(Annahmen!$B$63*Annahmen!$B$83+(1-Annahmen!$B$63)*Annahmen!$B$84)+(I43*Annahmen!$B$62+I43*(1-Annahmen!$B$62)/12+IF($A43&gt;=Annahmen!$B$55,Annahmen!$B$64+Annahmen!$B$66,0))*(1-Annahmen!$B$63)*Annahmen!$B$85</f>
        <v>10.6842610951794</v>
      </c>
      <c r="Q43" s="25" t="n">
        <f aca="false">IF(D43=0,0,MIN(Annahmen!$B$189,Annahmen!$B$188*D43/(Annahmen!$B$188*D43+E43)))</f>
        <v>0.266666666666667</v>
      </c>
      <c r="R43" s="24" t="n">
        <f aca="false">O43*Q43*Annahmen!$B$196</f>
        <v>11.6106248575127</v>
      </c>
      <c r="S43" s="24" t="n">
        <f aca="false">Annahmen!$B$67*(Annahmen!$B$43+Annahmen!$B$154)</f>
        <v>259.483850895744</v>
      </c>
      <c r="T43" s="24" t="n">
        <f aca="false">IF($A43&gt;=Annahmen!$B$55,Annahmen!$B$64*(1-Annahmen!$B$65)*Annahmen!$B$44+(Annahmen!$B$64*Annahmen!$B$65+Annahmen!$B$66)*Annahmen!$B$45,0)</f>
        <v>15.6845378437918</v>
      </c>
      <c r="U43" s="24" t="n">
        <f aca="false">C43*Annahmen!$B$86</f>
        <v>4.10555988910263</v>
      </c>
      <c r="V43" s="24" t="n">
        <f aca="false">SUMPRODUCT((((Annahmen!$C$161:$C$174="monatlich")*(Annahmen!$D$161:$D$174&lt;=$A43))+((Annahmen!$C$161:$C$174="einmalig")*(Annahmen!$D$161:$D$174=$A43)))*Annahmen!$B$161:$B$174*Annahmen!$E$161:$E$174)</f>
        <v>69.9850799606897</v>
      </c>
      <c r="W43" s="24" t="n">
        <f aca="false">IF($A43&gt;=Annahmen!$B$55,Annahmen!$B$143,0)</f>
        <v>200</v>
      </c>
      <c r="X43" s="36" t="n">
        <f aca="false">MAX(0,(I43-Annahmen!$B$147)/Annahmen!$B$148)</f>
        <v>0</v>
      </c>
      <c r="Y43" s="24" t="n">
        <f aca="false">X43*Annahmen!$B$146</f>
        <v>0</v>
      </c>
      <c r="Z43" s="24" t="n">
        <f aca="false">N43-P43-R43-S43-T43-U43-V43-W43-Y43+AL43</f>
        <v>-471.281068801394</v>
      </c>
      <c r="AA43" s="24" t="n">
        <f aca="false">AA42+Z43</f>
        <v>-8187.94368184265</v>
      </c>
      <c r="AB43" s="17" t="n">
        <f aca="false">IF($A43&gt;=Annahmen!$B$180,Annahmen!$B$181,0)</f>
        <v>2</v>
      </c>
      <c r="AC43" s="17" t="n">
        <f aca="false">AB43*(1-Annahmen!$B$199)</f>
        <v>1.6</v>
      </c>
      <c r="AD43" s="24" t="n">
        <f aca="false">AC43*(Annahmen!$B$197+Annahmen!$B$198)+AB43*Annahmen!$B$155*Annahmen!$B$157</f>
        <v>581.6</v>
      </c>
      <c r="AE43" s="24" t="n">
        <f aca="false">AB43*(Annahmen!$B$48+Annahmen!$B$182*Annahmen!$B$11+Annahmen!$B$155*Annahmen!$B$154)</f>
        <v>31.7434865427531</v>
      </c>
      <c r="AF43" s="24" t="n">
        <f aca="false">AD43-AE43</f>
        <v>549.856513457247</v>
      </c>
      <c r="AG43" s="24" t="n">
        <f aca="false">Gesamt!J27-TÆLLA!Y27+Z43+AF43</f>
        <v>262.642969072239</v>
      </c>
      <c r="AH43" s="24" t="n">
        <f aca="false">AH42+AG43</f>
        <v>-8840.83775275007</v>
      </c>
      <c r="AI43" s="15" t="n">
        <f aca="false">IF(AG43&gt;0,1,0)</f>
        <v>1</v>
      </c>
      <c r="AJ43" s="15" t="n">
        <f aca="false">IF(AH43&gt;=0,1,0)</f>
        <v>0</v>
      </c>
      <c r="AK43" s="15" t="n">
        <f aca="false">MAX(0,C43-I43)</f>
        <v>396.651604026411</v>
      </c>
      <c r="AL43" s="24" t="n">
        <f aca="false">IF($A43&gt;=Annahmen!$B$69,AK43*Annahmen!$B$70,0)</f>
        <v>0</v>
      </c>
      <c r="AM43" s="15" t="n">
        <f aca="false">IF($A43&lt;Annahmen!$B$55,0,IF($A43=Annahmen!$B$55,Annahmen!$B$56,AM42*(1+(Annahmen!$B$57+F43)*(1-C42/Annahmen!$B$58))))</f>
        <v>320.555988910263</v>
      </c>
      <c r="AN43" s="15" t="n">
        <f aca="false">IF($A43&lt;Annahmen!$B$71,0,IF($A43&lt;Annahmen!$B$71+Annahmen!$B$73,Annahmen!$B$72,Annahmen!$B$72*Annahmen!$B$75))</f>
        <v>90</v>
      </c>
      <c r="AO43" s="7" t="n">
        <f aca="false">IF(Z43&gt;0,1,0)</f>
        <v>0</v>
      </c>
      <c r="AP43" s="7" t="n">
        <f aca="false">IF(AA43&gt;=0,1,0)</f>
        <v>0</v>
      </c>
    </row>
    <row r="44" customFormat="false" ht="15" hidden="false" customHeight="false" outlineLevel="0" collapsed="false">
      <c r="A44" s="7" t="n">
        <v>11</v>
      </c>
      <c r="B44" s="7" t="s">
        <v>400</v>
      </c>
      <c r="C44" s="15" t="n">
        <f aca="false">AM44+AN44</f>
        <v>437.897441325177</v>
      </c>
      <c r="D44" s="17" t="n">
        <f aca="false">D43+IF($A44&gt;=Annahmen!$B$180,Annahmen!$B$181,0)</f>
        <v>12</v>
      </c>
      <c r="E44" s="17" t="n">
        <f aca="false">E43+Annahmen!$B$67</f>
        <v>59</v>
      </c>
      <c r="F44" s="25" t="n">
        <f aca="false">MIN(Annahmen!$B$185,Annahmen!$B$184*D44/10)</f>
        <v>0.006</v>
      </c>
      <c r="G44" s="42" t="n">
        <f aca="false">MIN(Annahmen!$B$187,Annahmen!$B$186*D44/10)</f>
        <v>0.00024</v>
      </c>
      <c r="H44" s="17" t="n">
        <f aca="false">IF($A44&gt;Annahmen!$B$68,INDEX($AM$34:$AM$57,$A44-Annahmen!$B$68),0)*(Annahmen!$B$59+G44)+IF($A44=Annahmen!$B$71+Annahmen!$B$73,Annahmen!$B$72*Annahmen!$B$74,0)</f>
        <v>1.67971338188978</v>
      </c>
      <c r="I44" s="17" t="n">
        <f aca="false">I43*(1-Annahmen!$B$60)+H44</f>
        <v>14.4717474750338</v>
      </c>
      <c r="J44" s="17" t="n">
        <f aca="false">I44*(1-Annahmen!$B$61)</f>
        <v>10.1302232325237</v>
      </c>
      <c r="K44" s="17" t="n">
        <f aca="false">I44*Annahmen!$B$61</f>
        <v>4.34152424251014</v>
      </c>
      <c r="L44" s="24" t="n">
        <f aca="false">J44*Annahmen!$B$87+K44*Annahmen!$B$88</f>
        <v>90.6329364992679</v>
      </c>
      <c r="M44" s="24" t="n">
        <f aca="false">IF($A44&gt;=Annahmen!$B$55,Annahmen!$B$64*((1-Annahmen!$B$65)*Annahmen!$B$80+Annahmen!$B$65*Annahmen!$B$81)+Annahmen!$B$66*Annahmen!$B$82,0)</f>
        <v>32.245</v>
      </c>
      <c r="N44" s="24" t="n">
        <f aca="false">(L44+M44)/(1+Annahmen!$B$9)</f>
        <v>103.258770167452</v>
      </c>
      <c r="O44" s="24" t="n">
        <f aca="false">L44/(1+Annahmen!$B$9)</f>
        <v>76.1621315119898</v>
      </c>
      <c r="P44" s="24" t="n">
        <f aca="false">N44*(Annahmen!$B$63*Annahmen!$B$83+(1-Annahmen!$B$63)*Annahmen!$B$84)+(I44*Annahmen!$B$62+I44*(1-Annahmen!$B$62)/12+IF($A44&gt;=Annahmen!$B$55,Annahmen!$B$64+Annahmen!$B$66,0))*(1-Annahmen!$B$63)*Annahmen!$B$85</f>
        <v>11.0120436280153</v>
      </c>
      <c r="Q44" s="25" t="n">
        <f aca="false">IF(D44=0,0,MIN(Annahmen!$B$189,Annahmen!$B$188*D44/(Annahmen!$B$188*D44+E44)))</f>
        <v>0.289156626506024</v>
      </c>
      <c r="R44" s="24" t="n">
        <f aca="false">O44*Q44*Annahmen!$B$196</f>
        <v>13.1035570842315</v>
      </c>
      <c r="S44" s="24" t="n">
        <f aca="false">Annahmen!$B$67*(Annahmen!$B$43+Annahmen!$B$154)</f>
        <v>259.483850895744</v>
      </c>
      <c r="T44" s="24" t="n">
        <f aca="false">IF($A44&gt;=Annahmen!$B$55,Annahmen!$B$64*(1-Annahmen!$B$65)*Annahmen!$B$44+(Annahmen!$B$64*Annahmen!$B$65+Annahmen!$B$66)*Annahmen!$B$45,0)</f>
        <v>15.6845378437918</v>
      </c>
      <c r="U44" s="24" t="n">
        <f aca="false">C44*Annahmen!$B$86</f>
        <v>4.37897441325177</v>
      </c>
      <c r="V44" s="24" t="n">
        <f aca="false">SUMPRODUCT((((Annahmen!$C$161:$C$174="monatlich")*(Annahmen!$D$161:$D$174&lt;=$A44))+((Annahmen!$C$161:$C$174="einmalig")*(Annahmen!$D$161:$D$174=$A44)))*Annahmen!$B$161:$B$174*Annahmen!$E$161:$E$174)</f>
        <v>69.9850799606897</v>
      </c>
      <c r="W44" s="24" t="n">
        <f aca="false">IF($A44&gt;=Annahmen!$B$55,Annahmen!$B$143,0)</f>
        <v>200</v>
      </c>
      <c r="X44" s="36" t="n">
        <f aca="false">MAX(0,(I44-Annahmen!$B$147)/Annahmen!$B$148)</f>
        <v>0</v>
      </c>
      <c r="Y44" s="24" t="n">
        <f aca="false">X44*Annahmen!$B$146</f>
        <v>0</v>
      </c>
      <c r="Z44" s="24" t="n">
        <f aca="false">N44-P44-R44-S44-T44-U44-V44-W44-Y44+AL44</f>
        <v>-470.389273658272</v>
      </c>
      <c r="AA44" s="24" t="n">
        <f aca="false">AA43+Z44</f>
        <v>-8658.33295550093</v>
      </c>
      <c r="AB44" s="17" t="n">
        <f aca="false">IF($A44&gt;=Annahmen!$B$180,Annahmen!$B$181,0)</f>
        <v>2</v>
      </c>
      <c r="AC44" s="17" t="n">
        <f aca="false">AB44*(1-Annahmen!$B$199)</f>
        <v>1.6</v>
      </c>
      <c r="AD44" s="24" t="n">
        <f aca="false">AC44*(Annahmen!$B$197+Annahmen!$B$198)+AB44*Annahmen!$B$155*Annahmen!$B$157</f>
        <v>581.6</v>
      </c>
      <c r="AE44" s="24" t="n">
        <f aca="false">AB44*(Annahmen!$B$48+Annahmen!$B$182*Annahmen!$B$11+Annahmen!$B$155*Annahmen!$B$154)</f>
        <v>31.7434865427531</v>
      </c>
      <c r="AF44" s="24" t="n">
        <f aca="false">AD44-AE44</f>
        <v>549.856513457247</v>
      </c>
      <c r="AG44" s="24" t="n">
        <f aca="false">Gesamt!J28-TÆLLA!Y28+Z44+AF44</f>
        <v>265.021960477043</v>
      </c>
      <c r="AH44" s="24" t="n">
        <f aca="false">AH43+AG44</f>
        <v>-8575.81579227303</v>
      </c>
      <c r="AI44" s="15" t="n">
        <f aca="false">IF(AG44&gt;0,1,0)</f>
        <v>1</v>
      </c>
      <c r="AJ44" s="15" t="n">
        <f aca="false">IF(AH44&gt;=0,1,0)</f>
        <v>0</v>
      </c>
      <c r="AK44" s="15" t="n">
        <f aca="false">MAX(0,C44-I44)</f>
        <v>423.425693850143</v>
      </c>
      <c r="AL44" s="24" t="n">
        <f aca="false">IF($A44&gt;=Annahmen!$B$69,AK44*Annahmen!$B$70,0)</f>
        <v>0</v>
      </c>
      <c r="AM44" s="15" t="n">
        <f aca="false">IF($A44&lt;Annahmen!$B$55,0,IF($A44=Annahmen!$B$55,Annahmen!$B$56,AM43*(1+(Annahmen!$B$57+F44)*(1-C43/Annahmen!$B$58))))</f>
        <v>347.897441325177</v>
      </c>
      <c r="AN44" s="15" t="n">
        <f aca="false">IF($A44&lt;Annahmen!$B$71,0,IF($A44&lt;Annahmen!$B$71+Annahmen!$B$73,Annahmen!$B$72,Annahmen!$B$72*Annahmen!$B$75))</f>
        <v>90</v>
      </c>
      <c r="AO44" s="7" t="n">
        <f aca="false">IF(Z44&gt;0,1,0)</f>
        <v>0</v>
      </c>
      <c r="AP44" s="7" t="n">
        <f aca="false">IF(AA44&gt;=0,1,0)</f>
        <v>0</v>
      </c>
    </row>
    <row r="45" customFormat="false" ht="15" hidden="false" customHeight="false" outlineLevel="0" collapsed="false">
      <c r="A45" s="7" t="n">
        <v>12</v>
      </c>
      <c r="B45" s="7" t="s">
        <v>401</v>
      </c>
      <c r="C45" s="15" t="n">
        <f aca="false">AM45+AN45</f>
        <v>467.899441205512</v>
      </c>
      <c r="D45" s="17" t="n">
        <f aca="false">D44+IF($A45&gt;=Annahmen!$B$180,Annahmen!$B$181,0)</f>
        <v>14</v>
      </c>
      <c r="E45" s="17" t="n">
        <f aca="false">E44+Annahmen!$B$67</f>
        <v>63</v>
      </c>
      <c r="F45" s="25" t="n">
        <f aca="false">MIN(Annahmen!$B$185,Annahmen!$B$184*D45/10)</f>
        <v>0.007</v>
      </c>
      <c r="G45" s="42" t="n">
        <f aca="false">MIN(Annahmen!$B$187,Annahmen!$B$186*D45/10)</f>
        <v>0.00028</v>
      </c>
      <c r="H45" s="17" t="n">
        <f aca="false">IF($A45&gt;Annahmen!$B$68,INDEX($AM$34:$AM$57,$A45-Annahmen!$B$68),0)*(Annahmen!$B$59+G45)+IF($A45=Annahmen!$B$71+Annahmen!$B$73,Annahmen!$B$72*Annahmen!$B$74,0)</f>
        <v>1.83689849019694</v>
      </c>
      <c r="I45" s="17" t="n">
        <f aca="false">I44*(1-Annahmen!$B$60)+H45</f>
        <v>15.150906167228</v>
      </c>
      <c r="J45" s="17" t="n">
        <f aca="false">I45*(1-Annahmen!$B$61)</f>
        <v>10.6056343170596</v>
      </c>
      <c r="K45" s="17" t="n">
        <f aca="false">I45*Annahmen!$B$61</f>
        <v>4.54527185016841</v>
      </c>
      <c r="L45" s="24" t="n">
        <f aca="false">J45*Annahmen!$B$87+K45*Annahmen!$B$88</f>
        <v>94.8863375988073</v>
      </c>
      <c r="M45" s="24" t="n">
        <f aca="false">IF($A45&gt;=Annahmen!$B$55,Annahmen!$B$64*((1-Annahmen!$B$65)*Annahmen!$B$80+Annahmen!$B$65*Annahmen!$B$81)+Annahmen!$B$66*Annahmen!$B$82,0)</f>
        <v>32.245</v>
      </c>
      <c r="N45" s="24" t="n">
        <f aca="false">(L45+M45)/(1+Annahmen!$B$9)</f>
        <v>106.83305680572</v>
      </c>
      <c r="O45" s="24" t="n">
        <f aca="false">L45/(1+Annahmen!$B$9)</f>
        <v>79.7364181502583</v>
      </c>
      <c r="P45" s="24" t="n">
        <f aca="false">N45*(Annahmen!$B$63*Annahmen!$B$83+(1-Annahmen!$B$63)*Annahmen!$B$84)+(I45*Annahmen!$B$62+I45*(1-Annahmen!$B$62)/12+IF($A45&gt;=Annahmen!$B$55,Annahmen!$B$64+Annahmen!$B$66,0))*(1-Annahmen!$B$63)*Annahmen!$B$85</f>
        <v>11.4044141504732</v>
      </c>
      <c r="Q45" s="25" t="n">
        <f aca="false">IF(D45=0,0,MIN(Annahmen!$B$189,Annahmen!$B$188*D45/(Annahmen!$B$188*D45+E45)))</f>
        <v>0.307692307692308</v>
      </c>
      <c r="R45" s="24" t="n">
        <f aca="false">O45*Q45*Annahmen!$B$196</f>
        <v>14.5978980921242</v>
      </c>
      <c r="S45" s="24" t="n">
        <f aca="false">Annahmen!$B$67*(Annahmen!$B$43+Annahmen!$B$154)</f>
        <v>259.483850895744</v>
      </c>
      <c r="T45" s="24" t="n">
        <f aca="false">IF($A45&gt;=Annahmen!$B$55,Annahmen!$B$64*(1-Annahmen!$B$65)*Annahmen!$B$44+(Annahmen!$B$64*Annahmen!$B$65+Annahmen!$B$66)*Annahmen!$B$45,0)</f>
        <v>15.6845378437918</v>
      </c>
      <c r="U45" s="24" t="n">
        <f aca="false">C45*Annahmen!$B$86</f>
        <v>4.67899441205512</v>
      </c>
      <c r="V45" s="24" t="n">
        <f aca="false">SUMPRODUCT((((Annahmen!$C$161:$C$174="monatlich")*(Annahmen!$D$161:$D$174&lt;=$A45))+((Annahmen!$C$161:$C$174="einmalig")*(Annahmen!$D$161:$D$174=$A45)))*Annahmen!$B$161:$B$174*Annahmen!$E$161:$E$174)</f>
        <v>69.9850799606897</v>
      </c>
      <c r="W45" s="24" t="n">
        <f aca="false">IF($A45&gt;=Annahmen!$B$55,Annahmen!$B$143,0)</f>
        <v>200</v>
      </c>
      <c r="X45" s="36" t="n">
        <f aca="false">MAX(0,(I45-Annahmen!$B$147)/Annahmen!$B$148)</f>
        <v>0</v>
      </c>
      <c r="Y45" s="24" t="n">
        <f aca="false">X45*Annahmen!$B$146</f>
        <v>0</v>
      </c>
      <c r="Z45" s="24" t="n">
        <f aca="false">N45-P45-R45-S45-T45-U45-V45-W45-Y45+AL45</f>
        <v>-469.001718549158</v>
      </c>
      <c r="AA45" s="24" t="n">
        <f aca="false">AA44+Z45</f>
        <v>-9127.33467405008</v>
      </c>
      <c r="AB45" s="17" t="n">
        <f aca="false">IF($A45&gt;=Annahmen!$B$180,Annahmen!$B$181,0)</f>
        <v>2</v>
      </c>
      <c r="AC45" s="17" t="n">
        <f aca="false">AB45*(1-Annahmen!$B$199)</f>
        <v>1.6</v>
      </c>
      <c r="AD45" s="24" t="n">
        <f aca="false">AC45*(Annahmen!$B$197+Annahmen!$B$198)+AB45*Annahmen!$B$155*Annahmen!$B$157</f>
        <v>581.6</v>
      </c>
      <c r="AE45" s="24" t="n">
        <f aca="false">AB45*(Annahmen!$B$48+Annahmen!$B$182*Annahmen!$B$11+Annahmen!$B$155*Annahmen!$B$154)</f>
        <v>31.7434865427531</v>
      </c>
      <c r="AF45" s="24" t="n">
        <f aca="false">AD45-AE45</f>
        <v>549.856513457247</v>
      </c>
      <c r="AG45" s="24" t="n">
        <f aca="false">Gesamt!J29-TÆLLA!Y29+Z45+AF45</f>
        <v>267.89671184784</v>
      </c>
      <c r="AH45" s="24" t="n">
        <f aca="false">AH44+AG45</f>
        <v>-8307.91908042519</v>
      </c>
      <c r="AI45" s="15" t="n">
        <f aca="false">IF(AG45&gt;0,1,0)</f>
        <v>1</v>
      </c>
      <c r="AJ45" s="15" t="n">
        <f aca="false">IF(AH45&gt;=0,1,0)</f>
        <v>0</v>
      </c>
      <c r="AK45" s="15" t="n">
        <f aca="false">MAX(0,C45-I45)</f>
        <v>452.748535038284</v>
      </c>
      <c r="AL45" s="24" t="n">
        <f aca="false">IF($A45&gt;=Annahmen!$B$69,AK45*Annahmen!$B$70,0)</f>
        <v>0</v>
      </c>
      <c r="AM45" s="15" t="n">
        <f aca="false">IF($A45&lt;Annahmen!$B$55,0,IF($A45=Annahmen!$B$55,Annahmen!$B$56,AM44*(1+(Annahmen!$B$57+F45)*(1-C44/Annahmen!$B$58))))</f>
        <v>377.899441205512</v>
      </c>
      <c r="AN45" s="15" t="n">
        <f aca="false">IF($A45&lt;Annahmen!$B$71,0,IF($A45&lt;Annahmen!$B$71+Annahmen!$B$73,Annahmen!$B$72,Annahmen!$B$72*Annahmen!$B$75))</f>
        <v>90</v>
      </c>
      <c r="AO45" s="7" t="n">
        <f aca="false">IF(Z45&gt;0,1,0)</f>
        <v>0</v>
      </c>
      <c r="AP45" s="7" t="n">
        <f aca="false">IF(AA45&gt;=0,1,0)</f>
        <v>0</v>
      </c>
    </row>
    <row r="46" customFormat="false" ht="15" hidden="false" customHeight="false" outlineLevel="0" collapsed="false">
      <c r="A46" s="7" t="n">
        <v>13</v>
      </c>
      <c r="B46" s="7" t="s">
        <v>402</v>
      </c>
      <c r="C46" s="15" t="n">
        <f aca="false">AM46+AN46</f>
        <v>500.843390701822</v>
      </c>
      <c r="D46" s="17" t="n">
        <f aca="false">D45+IF($A46&gt;=Annahmen!$B$180,Annahmen!$B$181,0)</f>
        <v>16</v>
      </c>
      <c r="E46" s="17" t="n">
        <f aca="false">E45+Annahmen!$B$67</f>
        <v>67</v>
      </c>
      <c r="F46" s="25" t="n">
        <f aca="false">MIN(Annahmen!$B$185,Annahmen!$B$184*D46/10)</f>
        <v>0.008</v>
      </c>
      <c r="G46" s="42" t="n">
        <f aca="false">MIN(Annahmen!$B$187,Annahmen!$B$186*D46/10)</f>
        <v>0.00032</v>
      </c>
      <c r="H46" s="17" t="n">
        <f aca="false">IF($A46&gt;Annahmen!$B$68,INDEX($AM$34:$AM$57,$A46-Annahmen!$B$68),0)*(Annahmen!$B$59+G46)+IF($A46=Annahmen!$B$71+Annahmen!$B$73,Annahmen!$B$72*Annahmen!$B$74,0)</f>
        <v>2.01042502721332</v>
      </c>
      <c r="I46" s="17" t="n">
        <f aca="false">I45*(1-Annahmen!$B$60)+H46</f>
        <v>15.9492587010631</v>
      </c>
      <c r="J46" s="17" t="n">
        <f aca="false">I46*(1-Annahmen!$B$61)</f>
        <v>11.1644810907442</v>
      </c>
      <c r="K46" s="17" t="n">
        <f aca="false">I46*Annahmen!$B$61</f>
        <v>4.78477761031893</v>
      </c>
      <c r="L46" s="24" t="n">
        <f aca="false">J46*Annahmen!$B$87+K46*Annahmen!$B$88</f>
        <v>99.886219930083</v>
      </c>
      <c r="M46" s="24" t="n">
        <f aca="false">IF($A46&gt;=Annahmen!$B$55,Annahmen!$B$64*((1-Annahmen!$B$65)*Annahmen!$B$80+Annahmen!$B$65*Annahmen!$B$81)+Annahmen!$B$66*Annahmen!$B$82,0)</f>
        <v>32.245</v>
      </c>
      <c r="N46" s="24" t="n">
        <f aca="false">(L46+M46)/(1+Annahmen!$B$9)</f>
        <v>111.034638596708</v>
      </c>
      <c r="O46" s="24" t="n">
        <f aca="false">L46/(1+Annahmen!$B$9)</f>
        <v>83.9379999412462</v>
      </c>
      <c r="P46" s="24" t="n">
        <f aca="false">N46*(Annahmen!$B$63*Annahmen!$B$83+(1-Annahmen!$B$63)*Annahmen!$B$84)+(I46*Annahmen!$B$62+I46*(1-Annahmen!$B$62)/12+IF($A46&gt;=Annahmen!$B$55,Annahmen!$B$64+Annahmen!$B$66,0))*(1-Annahmen!$B$63)*Annahmen!$B$85</f>
        <v>11.8656465611111</v>
      </c>
      <c r="Q46" s="25" t="n">
        <f aca="false">IF(D46=0,0,MIN(Annahmen!$B$189,Annahmen!$B$188*D46/(Annahmen!$B$188*D46+E46)))</f>
        <v>0.323232323232323</v>
      </c>
      <c r="R46" s="24" t="n">
        <f aca="false">O46*Q46*Annahmen!$B$196</f>
        <v>16.1432274634478</v>
      </c>
      <c r="S46" s="24" t="n">
        <f aca="false">Annahmen!$B$67*(Annahmen!$B$43+Annahmen!$B$154)</f>
        <v>259.483850895744</v>
      </c>
      <c r="T46" s="24" t="n">
        <f aca="false">IF($A46&gt;=Annahmen!$B$55,Annahmen!$B$64*(1-Annahmen!$B$65)*Annahmen!$B$44+(Annahmen!$B$64*Annahmen!$B$65+Annahmen!$B$66)*Annahmen!$B$45,0)</f>
        <v>15.6845378437918</v>
      </c>
      <c r="U46" s="24" t="n">
        <f aca="false">C46*Annahmen!$B$86</f>
        <v>5.00843390701822</v>
      </c>
      <c r="V46" s="24" t="n">
        <f aca="false">SUMPRODUCT((((Annahmen!$C$161:$C$174="monatlich")*(Annahmen!$D$161:$D$174&lt;=$A46))+((Annahmen!$C$161:$C$174="einmalig")*(Annahmen!$D$161:$D$174=$A46)))*Annahmen!$B$161:$B$174*Annahmen!$E$161:$E$174)</f>
        <v>69.9850799606897</v>
      </c>
      <c r="W46" s="24" t="n">
        <f aca="false">IF($A46&gt;=Annahmen!$B$55,Annahmen!$B$143,0)</f>
        <v>200</v>
      </c>
      <c r="X46" s="36" t="n">
        <f aca="false">MAX(0,(I46-Annahmen!$B$147)/Annahmen!$B$148)</f>
        <v>0</v>
      </c>
      <c r="Y46" s="24" t="n">
        <f aca="false">X46*Annahmen!$B$146</f>
        <v>0</v>
      </c>
      <c r="Z46" s="24" t="n">
        <f aca="false">N46-P46-R46-S46-T46-U46-V46-W46-Y46+AL46</f>
        <v>-442.891431435056</v>
      </c>
      <c r="AA46" s="24" t="n">
        <f aca="false">AA45+Z46</f>
        <v>-9570.22610548514</v>
      </c>
      <c r="AB46" s="17" t="n">
        <f aca="false">IF($A46&gt;=Annahmen!$B$180,Annahmen!$B$181,0)</f>
        <v>2</v>
      </c>
      <c r="AC46" s="17" t="n">
        <f aca="false">AB46*(1-Annahmen!$B$199)</f>
        <v>1.6</v>
      </c>
      <c r="AD46" s="24" t="n">
        <f aca="false">AC46*(Annahmen!$B$197+Annahmen!$B$198)+AB46*Annahmen!$B$155*Annahmen!$B$157</f>
        <v>581.6</v>
      </c>
      <c r="AE46" s="24" t="n">
        <f aca="false">AB46*(Annahmen!$B$48+Annahmen!$B$182*Annahmen!$B$11+Annahmen!$B$155*Annahmen!$B$154)</f>
        <v>31.7434865427531</v>
      </c>
      <c r="AF46" s="24" t="n">
        <f aca="false">AD46-AE46</f>
        <v>549.856513457247</v>
      </c>
      <c r="AG46" s="24" t="n">
        <f aca="false">Gesamt!J30-TÆLLA!Y30+Z46+AF46</f>
        <v>295.494195223624</v>
      </c>
      <c r="AH46" s="24" t="n">
        <f aca="false">AH45+AG46</f>
        <v>-8012.42488520157</v>
      </c>
      <c r="AI46" s="15" t="n">
        <f aca="false">IF(AG46&gt;0,1,0)</f>
        <v>1</v>
      </c>
      <c r="AJ46" s="15" t="n">
        <f aca="false">IF(AH46&gt;=0,1,0)</f>
        <v>0</v>
      </c>
      <c r="AK46" s="15" t="n">
        <f aca="false">MAX(0,C46-I46)</f>
        <v>484.894132000759</v>
      </c>
      <c r="AL46" s="24" t="n">
        <f aca="false">IF($A46&gt;=Annahmen!$B$69,AK46*Annahmen!$B$70,0)</f>
        <v>24.244706600038</v>
      </c>
      <c r="AM46" s="15" t="n">
        <f aca="false">IF($A46&lt;Annahmen!$B$55,0,IF($A46=Annahmen!$B$55,Annahmen!$B$56,AM45*(1+(Annahmen!$B$57+F46)*(1-C45/Annahmen!$B$58))))</f>
        <v>410.843390701822</v>
      </c>
      <c r="AN46" s="15" t="n">
        <f aca="false">IF($A46&lt;Annahmen!$B$71,0,IF($A46&lt;Annahmen!$B$71+Annahmen!$B$73,Annahmen!$B$72,Annahmen!$B$72*Annahmen!$B$75))</f>
        <v>90</v>
      </c>
      <c r="AO46" s="7" t="n">
        <f aca="false">IF(Z46&gt;0,1,0)</f>
        <v>0</v>
      </c>
      <c r="AP46" s="7" t="n">
        <f aca="false">IF(AA46&gt;=0,1,0)</f>
        <v>0</v>
      </c>
    </row>
    <row r="47" customFormat="false" ht="15" hidden="false" customHeight="false" outlineLevel="0" collapsed="false">
      <c r="A47" s="7" t="n">
        <v>14</v>
      </c>
      <c r="B47" s="7" t="s">
        <v>403</v>
      </c>
      <c r="C47" s="15" t="n">
        <f aca="false">AM47+AN47</f>
        <v>537.042185083898</v>
      </c>
      <c r="D47" s="17" t="n">
        <f aca="false">D46+IF($A47&gt;=Annahmen!$B$180,Annahmen!$B$181,0)</f>
        <v>18</v>
      </c>
      <c r="E47" s="17" t="n">
        <f aca="false">E46+Annahmen!$B$67</f>
        <v>71</v>
      </c>
      <c r="F47" s="25" t="n">
        <f aca="false">MIN(Annahmen!$B$185,Annahmen!$B$184*D47/10)</f>
        <v>0.009</v>
      </c>
      <c r="G47" s="42" t="n">
        <f aca="false">MIN(Annahmen!$B$187,Annahmen!$B$186*D47/10)</f>
        <v>0.00036</v>
      </c>
      <c r="H47" s="17" t="n">
        <f aca="false">IF($A47&gt;Annahmen!$B$68,INDEX($AM$34:$AM$57,$A47-Annahmen!$B$68),0)*(Annahmen!$B$59+G47)+IF($A47=Annahmen!$B$71+Annahmen!$B$73,Annahmen!$B$72*Annahmen!$B$74,0)</f>
        <v>2.20212057416177</v>
      </c>
      <c r="I47" s="17" t="n">
        <f aca="false">I46*(1-Annahmen!$B$60)+H47</f>
        <v>16.8754385791398</v>
      </c>
      <c r="J47" s="17" t="n">
        <f aca="false">I47*(1-Annahmen!$B$61)</f>
        <v>11.8128070053979</v>
      </c>
      <c r="K47" s="17" t="n">
        <f aca="false">I47*Annahmen!$B$61</f>
        <v>5.06263157374195</v>
      </c>
      <c r="L47" s="24" t="n">
        <f aca="false">J47*Annahmen!$B$87+K47*Annahmen!$B$88</f>
        <v>105.686652961508</v>
      </c>
      <c r="M47" s="24" t="n">
        <f aca="false">IF($A47&gt;=Annahmen!$B$55,Annahmen!$B$64*((1-Annahmen!$B$65)*Annahmen!$B$80+Annahmen!$B$65*Annahmen!$B$81)+Annahmen!$B$66*Annahmen!$B$82,0)</f>
        <v>32.245</v>
      </c>
      <c r="N47" s="24" t="n">
        <f aca="false">(L47+M47)/(1+Annahmen!$B$9)</f>
        <v>115.908952068494</v>
      </c>
      <c r="O47" s="24" t="n">
        <f aca="false">L47/(1+Annahmen!$B$9)</f>
        <v>88.8123134130319</v>
      </c>
      <c r="P47" s="24" t="n">
        <f aca="false">N47*(Annahmen!$B$63*Annahmen!$B$83+(1-Annahmen!$B$63)*Annahmen!$B$84)+(I47*Annahmen!$B$62+I47*(1-Annahmen!$B$62)/12+IF($A47&gt;=Annahmen!$B$55,Annahmen!$B$64+Annahmen!$B$66,0))*(1-Annahmen!$B$63)*Annahmen!$B$85</f>
        <v>12.4007286955631</v>
      </c>
      <c r="Q47" s="25" t="n">
        <f aca="false">IF(D47=0,0,MIN(Annahmen!$B$189,Annahmen!$B$188*D47/(Annahmen!$B$188*D47+E47)))</f>
        <v>0.336448598130841</v>
      </c>
      <c r="R47" s="24" t="n">
        <f aca="false">O47*Q47*Annahmen!$B$196</f>
        <v>17.77906311502</v>
      </c>
      <c r="S47" s="24" t="n">
        <f aca="false">Annahmen!$B$67*(Annahmen!$B$43+Annahmen!$B$154)</f>
        <v>259.483850895744</v>
      </c>
      <c r="T47" s="24" t="n">
        <f aca="false">IF($A47&gt;=Annahmen!$B$55,Annahmen!$B$64*(1-Annahmen!$B$65)*Annahmen!$B$44+(Annahmen!$B$64*Annahmen!$B$65+Annahmen!$B$66)*Annahmen!$B$45,0)</f>
        <v>15.6845378437918</v>
      </c>
      <c r="U47" s="24" t="n">
        <f aca="false">C47*Annahmen!$B$86</f>
        <v>5.37042185083898</v>
      </c>
      <c r="V47" s="24" t="n">
        <f aca="false">SUMPRODUCT((((Annahmen!$C$161:$C$174="monatlich")*(Annahmen!$D$161:$D$174&lt;=$A47))+((Annahmen!$C$161:$C$174="einmalig")*(Annahmen!$D$161:$D$174=$A47)))*Annahmen!$B$161:$B$174*Annahmen!$E$161:$E$174)</f>
        <v>69.9850799606897</v>
      </c>
      <c r="W47" s="24" t="n">
        <f aca="false">IF($A47&gt;=Annahmen!$B$55,Annahmen!$B$143,0)</f>
        <v>200</v>
      </c>
      <c r="X47" s="36" t="n">
        <f aca="false">MAX(0,(I47-Annahmen!$B$147)/Annahmen!$B$148)</f>
        <v>0</v>
      </c>
      <c r="Y47" s="24" t="n">
        <f aca="false">X47*Annahmen!$B$146</f>
        <v>0</v>
      </c>
      <c r="Z47" s="24" t="n">
        <f aca="false">N47-P47-R47-S47-T47-U47-V47-W47-Y47+AL47</f>
        <v>-438.786392967916</v>
      </c>
      <c r="AA47" s="24" t="n">
        <f aca="false">AA46+Z47</f>
        <v>-10009.0124984531</v>
      </c>
      <c r="AB47" s="17" t="n">
        <f aca="false">IF($A47&gt;=Annahmen!$B$180,Annahmen!$B$181,0)</f>
        <v>2</v>
      </c>
      <c r="AC47" s="17" t="n">
        <f aca="false">AB47*(1-Annahmen!$B$199)</f>
        <v>1.6</v>
      </c>
      <c r="AD47" s="24" t="n">
        <f aca="false">AC47*(Annahmen!$B$197+Annahmen!$B$198)+AB47*Annahmen!$B$155*Annahmen!$B$157</f>
        <v>581.6</v>
      </c>
      <c r="AE47" s="24" t="n">
        <f aca="false">AB47*(Annahmen!$B$48+Annahmen!$B$182*Annahmen!$B$11+Annahmen!$B$155*Annahmen!$B$154)</f>
        <v>31.7434865427531</v>
      </c>
      <c r="AF47" s="24" t="n">
        <f aca="false">AD47-AE47</f>
        <v>549.856513457247</v>
      </c>
      <c r="AG47" s="24" t="n">
        <f aca="false">Gesamt!J31-TÆLLA!Y31+Z47+AF47</f>
        <v>301.086429952446</v>
      </c>
      <c r="AH47" s="24" t="n">
        <f aca="false">AH46+AG47</f>
        <v>-7711.33845524912</v>
      </c>
      <c r="AI47" s="15" t="n">
        <f aca="false">IF(AG47&gt;0,1,0)</f>
        <v>1</v>
      </c>
      <c r="AJ47" s="15" t="n">
        <f aca="false">IF(AH47&gt;=0,1,0)</f>
        <v>0</v>
      </c>
      <c r="AK47" s="15" t="n">
        <f aca="false">MAX(0,C47-I47)</f>
        <v>520.166746504758</v>
      </c>
      <c r="AL47" s="24" t="n">
        <f aca="false">IF($A47&gt;=Annahmen!$B$69,AK47*Annahmen!$B$70,0)</f>
        <v>26.0083373252379</v>
      </c>
      <c r="AM47" s="15" t="n">
        <f aca="false">IF($A47&lt;Annahmen!$B$55,0,IF($A47=Annahmen!$B$55,Annahmen!$B$56,AM46*(1+(Annahmen!$B$57+F47)*(1-C46/Annahmen!$B$58))))</f>
        <v>447.042185083898</v>
      </c>
      <c r="AN47" s="15" t="n">
        <f aca="false">IF($A47&lt;Annahmen!$B$71,0,IF($A47&lt;Annahmen!$B$71+Annahmen!$B$73,Annahmen!$B$72,Annahmen!$B$72*Annahmen!$B$75))</f>
        <v>90</v>
      </c>
      <c r="AO47" s="7" t="n">
        <f aca="false">IF(Z47&gt;0,1,0)</f>
        <v>0</v>
      </c>
      <c r="AP47" s="7" t="n">
        <f aca="false">IF(AA47&gt;=0,1,0)</f>
        <v>0</v>
      </c>
    </row>
    <row r="48" customFormat="false" ht="15" hidden="false" customHeight="false" outlineLevel="0" collapsed="false">
      <c r="A48" s="7" t="n">
        <v>15</v>
      </c>
      <c r="B48" s="7" t="s">
        <v>404</v>
      </c>
      <c r="C48" s="15" t="n">
        <f aca="false">AM48+AN48</f>
        <v>576.843836820025</v>
      </c>
      <c r="D48" s="17" t="n">
        <f aca="false">D47+IF($A48&gt;=Annahmen!$B$180,Annahmen!$B$181,0)</f>
        <v>20</v>
      </c>
      <c r="E48" s="17" t="n">
        <f aca="false">E47+Annahmen!$B$67</f>
        <v>75</v>
      </c>
      <c r="F48" s="25" t="n">
        <f aca="false">MIN(Annahmen!$B$185,Annahmen!$B$184*D48/10)</f>
        <v>0.01</v>
      </c>
      <c r="G48" s="42" t="n">
        <f aca="false">MIN(Annahmen!$B$187,Annahmen!$B$186*D48/10)</f>
        <v>0.0004</v>
      </c>
      <c r="H48" s="17" t="n">
        <f aca="false">IF($A48&gt;Annahmen!$B$68,INDEX($AM$34:$AM$57,$A48-Annahmen!$B$68),0)*(Annahmen!$B$59+G48)+IF($A48=Annahmen!$B$71+Annahmen!$B$73,Annahmen!$B$72*Annahmen!$B$74,0)</f>
        <v>2.41402779945305</v>
      </c>
      <c r="I48" s="17" t="n">
        <f aca="false">I47*(1-Annahmen!$B$60)+H48</f>
        <v>17.9394312922617</v>
      </c>
      <c r="J48" s="17" t="n">
        <f aca="false">I48*(1-Annahmen!$B$61)</f>
        <v>12.5576019045832</v>
      </c>
      <c r="K48" s="17" t="n">
        <f aca="false">I48*Annahmen!$B$61</f>
        <v>5.38182938767851</v>
      </c>
      <c r="L48" s="24" t="n">
        <f aca="false">J48*Annahmen!$B$87+K48*Annahmen!$B$88</f>
        <v>112.350173325612</v>
      </c>
      <c r="M48" s="24" t="n">
        <f aca="false">IF($A48&gt;=Annahmen!$B$55,Annahmen!$B$64*((1-Annahmen!$B$65)*Annahmen!$B$80+Annahmen!$B$65*Annahmen!$B$81)+Annahmen!$B$66*Annahmen!$B$82,0)</f>
        <v>32.245</v>
      </c>
      <c r="N48" s="24" t="n">
        <f aca="false">(L48+M48)/(1+Annahmen!$B$9)</f>
        <v>121.508549013119</v>
      </c>
      <c r="O48" s="24" t="n">
        <f aca="false">L48/(1+Annahmen!$B$9)</f>
        <v>94.4119103576571</v>
      </c>
      <c r="P48" s="24" t="n">
        <f aca="false">N48*(Annahmen!$B$63*Annahmen!$B$83+(1-Annahmen!$B$63)*Annahmen!$B$84)+(I48*Annahmen!$B$62+I48*(1-Annahmen!$B$62)/12+IF($A48&gt;=Annahmen!$B$55,Annahmen!$B$64+Annahmen!$B$66,0))*(1-Annahmen!$B$63)*Annahmen!$B$85</f>
        <v>13.0154294739484</v>
      </c>
      <c r="Q48" s="25" t="n">
        <f aca="false">IF(D48=0,0,MIN(Annahmen!$B$189,Annahmen!$B$188*D48/(Annahmen!$B$188*D48+E48)))</f>
        <v>0.347826086956522</v>
      </c>
      <c r="R48" s="24" t="n">
        <f aca="false">O48*Q48*Annahmen!$B$196</f>
        <v>19.5391605783673</v>
      </c>
      <c r="S48" s="24" t="n">
        <f aca="false">Annahmen!$B$67*(Annahmen!$B$43+Annahmen!$B$154)</f>
        <v>259.483850895744</v>
      </c>
      <c r="T48" s="24" t="n">
        <f aca="false">IF($A48&gt;=Annahmen!$B$55,Annahmen!$B$64*(1-Annahmen!$B$65)*Annahmen!$B$44+(Annahmen!$B$64*Annahmen!$B$65+Annahmen!$B$66)*Annahmen!$B$45,0)</f>
        <v>15.6845378437918</v>
      </c>
      <c r="U48" s="24" t="n">
        <f aca="false">C48*Annahmen!$B$86</f>
        <v>5.76843836820025</v>
      </c>
      <c r="V48" s="24" t="n">
        <f aca="false">SUMPRODUCT((((Annahmen!$C$161:$C$174="monatlich")*(Annahmen!$D$161:$D$174&lt;=$A48))+((Annahmen!$C$161:$C$174="einmalig")*(Annahmen!$D$161:$D$174=$A48)))*Annahmen!$B$161:$B$174*Annahmen!$E$161:$E$174)</f>
        <v>69.9850799606897</v>
      </c>
      <c r="W48" s="24" t="n">
        <f aca="false">IF($A48&gt;=Annahmen!$B$55,Annahmen!$B$143,0)</f>
        <v>200</v>
      </c>
      <c r="X48" s="36" t="n">
        <f aca="false">MAX(0,(I48-Annahmen!$B$147)/Annahmen!$B$148)</f>
        <v>0</v>
      </c>
      <c r="Y48" s="24" t="n">
        <f aca="false">X48*Annahmen!$B$146</f>
        <v>0</v>
      </c>
      <c r="Z48" s="24" t="n">
        <f aca="false">N48-P48-R48-S48-T48-U48-V48-W48-Y48+AL48</f>
        <v>-434.022727831234</v>
      </c>
      <c r="AA48" s="24" t="n">
        <f aca="false">AA47+Z48</f>
        <v>-10443.0352262843</v>
      </c>
      <c r="AB48" s="17" t="n">
        <f aca="false">IF($A48&gt;=Annahmen!$B$180,Annahmen!$B$181,0)</f>
        <v>2</v>
      </c>
      <c r="AC48" s="17" t="n">
        <f aca="false">AB48*(1-Annahmen!$B$199)</f>
        <v>1.6</v>
      </c>
      <c r="AD48" s="24" t="n">
        <f aca="false">AC48*(Annahmen!$B$197+Annahmen!$B$198)+AB48*Annahmen!$B$155*Annahmen!$B$157</f>
        <v>581.6</v>
      </c>
      <c r="AE48" s="24" t="n">
        <f aca="false">AB48*(Annahmen!$B$48+Annahmen!$B$182*Annahmen!$B$11+Annahmen!$B$155*Annahmen!$B$154)</f>
        <v>31.7434865427531</v>
      </c>
      <c r="AF48" s="24" t="n">
        <f aca="false">AD48-AE48</f>
        <v>549.856513457247</v>
      </c>
      <c r="AG48" s="24" t="n">
        <f aca="false">Gesamt!J32-TÆLLA!Y32+Z48+AF48</f>
        <v>307.33729135081</v>
      </c>
      <c r="AH48" s="24" t="n">
        <f aca="false">AH47+AG48</f>
        <v>-7404.00116389831</v>
      </c>
      <c r="AI48" s="15" t="n">
        <f aca="false">IF(AG48&gt;0,1,0)</f>
        <v>1</v>
      </c>
      <c r="AJ48" s="15" t="n">
        <f aca="false">IF(AH48&gt;=0,1,0)</f>
        <v>0</v>
      </c>
      <c r="AK48" s="15" t="n">
        <f aca="false">MAX(0,C48-I48)</f>
        <v>558.904405527763</v>
      </c>
      <c r="AL48" s="24" t="n">
        <f aca="false">IF($A48&gt;=Annahmen!$B$69,AK48*Annahmen!$B$70,0)</f>
        <v>27.9452202763882</v>
      </c>
      <c r="AM48" s="15" t="n">
        <f aca="false">IF($A48&lt;Annahmen!$B$55,0,IF($A48=Annahmen!$B$55,Annahmen!$B$56,AM47*(1+(Annahmen!$B$57+F48)*(1-C47/Annahmen!$B$58))))</f>
        <v>486.843836820025</v>
      </c>
      <c r="AN48" s="15" t="n">
        <f aca="false">IF($A48&lt;Annahmen!$B$71,0,IF($A48&lt;Annahmen!$B$71+Annahmen!$B$73,Annahmen!$B$72,Annahmen!$B$72*Annahmen!$B$75))</f>
        <v>90</v>
      </c>
      <c r="AO48" s="7" t="n">
        <f aca="false">IF(Z48&gt;0,1,0)</f>
        <v>0</v>
      </c>
      <c r="AP48" s="7" t="n">
        <f aca="false">IF(AA48&gt;=0,1,0)</f>
        <v>0</v>
      </c>
    </row>
    <row r="49" customFormat="false" ht="15" hidden="false" customHeight="false" outlineLevel="0" collapsed="false">
      <c r="A49" s="7" t="n">
        <v>16</v>
      </c>
      <c r="B49" s="7" t="s">
        <v>405</v>
      </c>
      <c r="C49" s="15" t="n">
        <f aca="false">AM49+AN49</f>
        <v>620.635510153138</v>
      </c>
      <c r="D49" s="17" t="n">
        <f aca="false">D48+IF($A49&gt;=Annahmen!$B$180,Annahmen!$B$181,0)</f>
        <v>22</v>
      </c>
      <c r="E49" s="17" t="n">
        <f aca="false">E48+Annahmen!$B$67</f>
        <v>79</v>
      </c>
      <c r="F49" s="25" t="n">
        <f aca="false">MIN(Annahmen!$B$185,Annahmen!$B$184*D49/10)</f>
        <v>0.011</v>
      </c>
      <c r="G49" s="42" t="n">
        <f aca="false">MIN(Annahmen!$B$187,Annahmen!$B$186*D49/10)</f>
        <v>0.00044</v>
      </c>
      <c r="H49" s="17" t="n">
        <f aca="false">IF($A49&gt;Annahmen!$B$68,INDEX($AM$34:$AM$57,$A49-Annahmen!$B$68),0)*(Annahmen!$B$59+G49)+IF($A49=Annahmen!$B$71+Annahmen!$B$73,Annahmen!$B$72*Annahmen!$B$74,0)</f>
        <v>2.64843047230093</v>
      </c>
      <c r="I49" s="17" t="n">
        <f aca="false">I48*(1-Annahmen!$B$60)+H49</f>
        <v>19.1527072611817</v>
      </c>
      <c r="J49" s="17" t="n">
        <f aca="false">I49*(1-Annahmen!$B$61)</f>
        <v>13.4068950828272</v>
      </c>
      <c r="K49" s="17" t="n">
        <f aca="false">I49*Annahmen!$B$61</f>
        <v>5.74581217835451</v>
      </c>
      <c r="L49" s="24" t="n">
        <f aca="false">J49*Annahmen!$B$87+K49*Annahmen!$B$88</f>
        <v>119.948617399966</v>
      </c>
      <c r="M49" s="24" t="n">
        <f aca="false">IF($A49&gt;=Annahmen!$B$55,Annahmen!$B$64*((1-Annahmen!$B$65)*Annahmen!$B$80+Annahmen!$B$65*Annahmen!$B$81)+Annahmen!$B$66*Annahmen!$B$82,0)</f>
        <v>32.245</v>
      </c>
      <c r="N49" s="24" t="n">
        <f aca="false">(L49+M49)/(1+Annahmen!$B$9)</f>
        <v>127.893796134425</v>
      </c>
      <c r="O49" s="24" t="n">
        <f aca="false">L49/(1+Annahmen!$B$9)</f>
        <v>100.797157478963</v>
      </c>
      <c r="P49" s="24" t="n">
        <f aca="false">N49*(Annahmen!$B$63*Annahmen!$B$83+(1-Annahmen!$B$63)*Annahmen!$B$84)+(I49*Annahmen!$B$62+I49*(1-Annahmen!$B$62)/12+IF($A49&gt;=Annahmen!$B$55,Annahmen!$B$64+Annahmen!$B$66,0))*(1-Annahmen!$B$63)*Annahmen!$B$85</f>
        <v>13.7163757053405</v>
      </c>
      <c r="Q49" s="25" t="n">
        <f aca="false">IF(D49=0,0,MIN(Annahmen!$B$189,Annahmen!$B$188*D49/(Annahmen!$B$188*D49+E49)))</f>
        <v>0.357723577235772</v>
      </c>
      <c r="R49" s="24" t="n">
        <f aca="false">O49*Q49*Annahmen!$B$196</f>
        <v>21.4542242504004</v>
      </c>
      <c r="S49" s="24" t="n">
        <f aca="false">Annahmen!$B$67*(Annahmen!$B$43+Annahmen!$B$154)</f>
        <v>259.483850895744</v>
      </c>
      <c r="T49" s="24" t="n">
        <f aca="false">IF($A49&gt;=Annahmen!$B$55,Annahmen!$B$64*(1-Annahmen!$B$65)*Annahmen!$B$44+(Annahmen!$B$64*Annahmen!$B$65+Annahmen!$B$66)*Annahmen!$B$45,0)</f>
        <v>15.6845378437918</v>
      </c>
      <c r="U49" s="24" t="n">
        <f aca="false">C49*Annahmen!$B$86</f>
        <v>6.20635510153138</v>
      </c>
      <c r="V49" s="24" t="n">
        <f aca="false">SUMPRODUCT((((Annahmen!$C$161:$C$174="monatlich")*(Annahmen!$D$161:$D$174&lt;=$A49))+((Annahmen!$C$161:$C$174="einmalig")*(Annahmen!$D$161:$D$174=$A49)))*Annahmen!$B$161:$B$174*Annahmen!$E$161:$E$174)</f>
        <v>69.9850799606897</v>
      </c>
      <c r="W49" s="24" t="n">
        <f aca="false">IF($A49&gt;=Annahmen!$B$55,Annahmen!$B$143,0)</f>
        <v>200</v>
      </c>
      <c r="X49" s="36" t="n">
        <f aca="false">MAX(0,(I49-Annahmen!$B$147)/Annahmen!$B$148)</f>
        <v>0</v>
      </c>
      <c r="Y49" s="24" t="n">
        <f aca="false">X49*Annahmen!$B$146</f>
        <v>0</v>
      </c>
      <c r="Z49" s="24" t="n">
        <f aca="false">N49-P49-R49-S49-T49-U49-V49-W49-Y49+AL49</f>
        <v>-428.562487478475</v>
      </c>
      <c r="AA49" s="24" t="n">
        <f aca="false">AA48+Z49</f>
        <v>-10871.5977137628</v>
      </c>
      <c r="AB49" s="17" t="n">
        <f aca="false">IF($A49&gt;=Annahmen!$B$180,Annahmen!$B$181,0)</f>
        <v>2</v>
      </c>
      <c r="AC49" s="17" t="n">
        <f aca="false">AB49*(1-Annahmen!$B$199)</f>
        <v>1.6</v>
      </c>
      <c r="AD49" s="24" t="n">
        <f aca="false">AC49*(Annahmen!$B$197+Annahmen!$B$198)+AB49*Annahmen!$B$155*Annahmen!$B$157</f>
        <v>581.6</v>
      </c>
      <c r="AE49" s="24" t="n">
        <f aca="false">AB49*(Annahmen!$B$48+Annahmen!$B$182*Annahmen!$B$11+Annahmen!$B$155*Annahmen!$B$154)</f>
        <v>31.7434865427531</v>
      </c>
      <c r="AF49" s="24" t="n">
        <f aca="false">AD49-AE49</f>
        <v>549.856513457247</v>
      </c>
      <c r="AG49" s="24" t="n">
        <f aca="false">Gesamt!J33-TÆLLA!Y33+Z49+AF49</f>
        <v>314.284727965251</v>
      </c>
      <c r="AH49" s="24" t="n">
        <f aca="false">AH48+AG49</f>
        <v>-7089.71643593306</v>
      </c>
      <c r="AI49" s="15" t="n">
        <f aca="false">IF(AG49&gt;0,1,0)</f>
        <v>1</v>
      </c>
      <c r="AJ49" s="15" t="n">
        <f aca="false">IF(AH49&gt;=0,1,0)</f>
        <v>0</v>
      </c>
      <c r="AK49" s="15" t="n">
        <f aca="false">MAX(0,C49-I49)</f>
        <v>601.482802891956</v>
      </c>
      <c r="AL49" s="24" t="n">
        <f aca="false">IF($A49&gt;=Annahmen!$B$69,AK49*Annahmen!$B$70,0)</f>
        <v>30.0741401445978</v>
      </c>
      <c r="AM49" s="15" t="n">
        <f aca="false">IF($A49&lt;Annahmen!$B$55,0,IF($A49=Annahmen!$B$55,Annahmen!$B$56,AM48*(1+(Annahmen!$B$57+F49)*(1-C48/Annahmen!$B$58))))</f>
        <v>530.635510153138</v>
      </c>
      <c r="AN49" s="15" t="n">
        <f aca="false">IF($A49&lt;Annahmen!$B$71,0,IF($A49&lt;Annahmen!$B$71+Annahmen!$B$73,Annahmen!$B$72,Annahmen!$B$72*Annahmen!$B$75))</f>
        <v>90</v>
      </c>
      <c r="AO49" s="7" t="n">
        <f aca="false">IF(Z49&gt;0,1,0)</f>
        <v>0</v>
      </c>
      <c r="AP49" s="7" t="n">
        <f aca="false">IF(AA49&gt;=0,1,0)</f>
        <v>0</v>
      </c>
    </row>
    <row r="50" customFormat="false" ht="15" hidden="false" customHeight="false" outlineLevel="0" collapsed="false">
      <c r="A50" s="7" t="n">
        <v>17</v>
      </c>
      <c r="B50" s="7" t="s">
        <v>406</v>
      </c>
      <c r="C50" s="15" t="n">
        <f aca="false">AM50+AN50</f>
        <v>668.848007604616</v>
      </c>
      <c r="D50" s="17" t="n">
        <f aca="false">D49+IF($A50&gt;=Annahmen!$B$180,Annahmen!$B$181,0)</f>
        <v>24</v>
      </c>
      <c r="E50" s="17" t="n">
        <f aca="false">E49+Annahmen!$B$67</f>
        <v>83</v>
      </c>
      <c r="F50" s="25" t="n">
        <f aca="false">MIN(Annahmen!$B$185,Annahmen!$B$184*D50/10)</f>
        <v>0.012</v>
      </c>
      <c r="G50" s="42" t="n">
        <f aca="false">MIN(Annahmen!$B$187,Annahmen!$B$186*D50/10)</f>
        <v>0.00048</v>
      </c>
      <c r="H50" s="17" t="n">
        <f aca="false">IF($A50&gt;Annahmen!$B$68,INDEX($AM$34:$AM$57,$A50-Annahmen!$B$68),0)*(Annahmen!$B$59+G50)+IF($A50=Annahmen!$B$71+Annahmen!$B$73,Annahmen!$B$72*Annahmen!$B$74,0)</f>
        <v>2.90788259563919</v>
      </c>
      <c r="I50" s="17" t="n">
        <f aca="false">I49*(1-Annahmen!$B$60)+H50</f>
        <v>20.5283732759263</v>
      </c>
      <c r="J50" s="17" t="n">
        <f aca="false">I50*(1-Annahmen!$B$61)</f>
        <v>14.3698612931484</v>
      </c>
      <c r="K50" s="17" t="n">
        <f aca="false">I50*Annahmen!$B$61</f>
        <v>6.1585119827779</v>
      </c>
      <c r="L50" s="24" t="n">
        <f aca="false">J50*Annahmen!$B$87+K50*Annahmen!$B$88</f>
        <v>128.564069733808</v>
      </c>
      <c r="M50" s="24" t="n">
        <f aca="false">IF($A50&gt;=Annahmen!$B$55,Annahmen!$B$64*((1-Annahmen!$B$65)*Annahmen!$B$80+Annahmen!$B$65*Annahmen!$B$81)+Annahmen!$B$66*Annahmen!$B$82,0)</f>
        <v>32.245</v>
      </c>
      <c r="N50" s="24" t="n">
        <f aca="false">(L50+M50)/(1+Annahmen!$B$9)</f>
        <v>135.133672045217</v>
      </c>
      <c r="O50" s="24" t="n">
        <f aca="false">L50/(1+Annahmen!$B$9)</f>
        <v>108.037033389754</v>
      </c>
      <c r="P50" s="24" t="n">
        <f aca="false">N50*(Annahmen!$B$63*Annahmen!$B$83+(1-Annahmen!$B$63)*Annahmen!$B$84)+(I50*Annahmen!$B$62+I50*(1-Annahmen!$B$62)/12+IF($A50&gt;=Annahmen!$B$55,Annahmen!$B$64+Annahmen!$B$66,0))*(1-Annahmen!$B$63)*Annahmen!$B$85</f>
        <v>14.5111395788455</v>
      </c>
      <c r="Q50" s="25" t="n">
        <f aca="false">IF(D50=0,0,MIN(Annahmen!$B$189,Annahmen!$B$188*D50/(Annahmen!$B$188*D50+E50)))</f>
        <v>0.366412213740458</v>
      </c>
      <c r="R50" s="24" t="n">
        <f aca="false">O50*Q50*Annahmen!$B$196</f>
        <v>23.5537226993236</v>
      </c>
      <c r="S50" s="24" t="n">
        <f aca="false">Annahmen!$B$67*(Annahmen!$B$43+Annahmen!$B$154)</f>
        <v>259.483850895744</v>
      </c>
      <c r="T50" s="24" t="n">
        <f aca="false">IF($A50&gt;=Annahmen!$B$55,Annahmen!$B$64*(1-Annahmen!$B$65)*Annahmen!$B$44+(Annahmen!$B$64*Annahmen!$B$65+Annahmen!$B$66)*Annahmen!$B$45,0)</f>
        <v>15.6845378437918</v>
      </c>
      <c r="U50" s="24" t="n">
        <f aca="false">C50*Annahmen!$B$86</f>
        <v>6.68848007604616</v>
      </c>
      <c r="V50" s="24" t="n">
        <f aca="false">SUMPRODUCT((((Annahmen!$C$161:$C$174="monatlich")*(Annahmen!$D$161:$D$174&lt;=$A50))+((Annahmen!$C$161:$C$174="einmalig")*(Annahmen!$D$161:$D$174=$A50)))*Annahmen!$B$161:$B$174*Annahmen!$E$161:$E$174)</f>
        <v>69.9850799606897</v>
      </c>
      <c r="W50" s="24" t="n">
        <f aca="false">IF($A50&gt;=Annahmen!$B$55,Annahmen!$B$143,0)</f>
        <v>200</v>
      </c>
      <c r="X50" s="36" t="n">
        <f aca="false">MAX(0,(I50-Annahmen!$B$147)/Annahmen!$B$148)</f>
        <v>0</v>
      </c>
      <c r="Y50" s="24" t="n">
        <f aca="false">X50*Annahmen!$B$146</f>
        <v>0</v>
      </c>
      <c r="Z50" s="24" t="n">
        <f aca="false">N50-P50-R50-S50-T50-U50-V50-W50-Y50+AL50</f>
        <v>-422.35715729279</v>
      </c>
      <c r="AA50" s="24" t="n">
        <f aca="false">AA49+Z50</f>
        <v>-11293.9548710556</v>
      </c>
      <c r="AB50" s="17" t="n">
        <f aca="false">IF($A50&gt;=Annahmen!$B$180,Annahmen!$B$181,0)</f>
        <v>2</v>
      </c>
      <c r="AC50" s="17" t="n">
        <f aca="false">AB50*(1-Annahmen!$B$199)</f>
        <v>1.6</v>
      </c>
      <c r="AD50" s="24" t="n">
        <f aca="false">AC50*(Annahmen!$B$197+Annahmen!$B$198)+AB50*Annahmen!$B$155*Annahmen!$B$157</f>
        <v>581.6</v>
      </c>
      <c r="AE50" s="24" t="n">
        <f aca="false">AB50*(Annahmen!$B$48+Annahmen!$B$182*Annahmen!$B$11+Annahmen!$B$155*Annahmen!$B$154)</f>
        <v>31.7434865427531</v>
      </c>
      <c r="AF50" s="24" t="n">
        <f aca="false">AD50-AE50</f>
        <v>549.856513457247</v>
      </c>
      <c r="AG50" s="24" t="n">
        <f aca="false">Gesamt!J34-TÆLLA!Y34+Z50+AF50</f>
        <v>321.977254412619</v>
      </c>
      <c r="AH50" s="24" t="n">
        <f aca="false">AH49+AG50</f>
        <v>-6767.73918152044</v>
      </c>
      <c r="AI50" s="15" t="n">
        <f aca="false">IF(AG50&gt;0,1,0)</f>
        <v>1</v>
      </c>
      <c r="AJ50" s="15" t="n">
        <f aca="false">IF(AH50&gt;=0,1,0)</f>
        <v>0</v>
      </c>
      <c r="AK50" s="15" t="n">
        <f aca="false">MAX(0,C50-I50)</f>
        <v>648.319634328689</v>
      </c>
      <c r="AL50" s="24" t="n">
        <f aca="false">IF($A50&gt;=Annahmen!$B$69,AK50*Annahmen!$B$70,0)</f>
        <v>32.4159817164345</v>
      </c>
      <c r="AM50" s="15" t="n">
        <f aca="false">IF($A50&lt;Annahmen!$B$55,0,IF($A50=Annahmen!$B$55,Annahmen!$B$56,AM49*(1+(Annahmen!$B$57+F50)*(1-C49/Annahmen!$B$58))))</f>
        <v>578.848007604616</v>
      </c>
      <c r="AN50" s="15" t="n">
        <f aca="false">IF($A50&lt;Annahmen!$B$71,0,IF($A50&lt;Annahmen!$B$71+Annahmen!$B$73,Annahmen!$B$72,Annahmen!$B$72*Annahmen!$B$75))</f>
        <v>90</v>
      </c>
      <c r="AO50" s="7" t="n">
        <f aca="false">IF(Z50&gt;0,1,0)</f>
        <v>0</v>
      </c>
      <c r="AP50" s="7" t="n">
        <f aca="false">IF(AA50&gt;=0,1,0)</f>
        <v>0</v>
      </c>
    </row>
    <row r="51" customFormat="false" ht="15" hidden="false" customHeight="false" outlineLevel="0" collapsed="false">
      <c r="A51" s="7" t="n">
        <v>18</v>
      </c>
      <c r="B51" s="7" t="s">
        <v>407</v>
      </c>
      <c r="C51" s="15" t="n">
        <f aca="false">AM51+AN51</f>
        <v>721.960752225783</v>
      </c>
      <c r="D51" s="17" t="n">
        <f aca="false">D50+IF($A51&gt;=Annahmen!$B$180,Annahmen!$B$181,0)</f>
        <v>26</v>
      </c>
      <c r="E51" s="17" t="n">
        <f aca="false">E50+Annahmen!$B$67</f>
        <v>87</v>
      </c>
      <c r="F51" s="25" t="n">
        <f aca="false">MIN(Annahmen!$B$185,Annahmen!$B$184*D51/10)</f>
        <v>0.013</v>
      </c>
      <c r="G51" s="42" t="n">
        <f aca="false">MIN(Annahmen!$B$187,Annahmen!$B$186*D51/10)</f>
        <v>0.00052</v>
      </c>
      <c r="H51" s="17" t="n">
        <f aca="false">IF($A51&gt;Annahmen!$B$68,INDEX($AM$34:$AM$57,$A51-Annahmen!$B$68),0)*(Annahmen!$B$59+G51)+IF($A51=Annahmen!$B$71+Annahmen!$B$73,Annahmen!$B$72*Annahmen!$B$74,0)</f>
        <v>3.19524100197748</v>
      </c>
      <c r="I51" s="17" t="n">
        <f aca="false">I50*(1-Annahmen!$B$60)+H51</f>
        <v>22.0813444158297</v>
      </c>
      <c r="J51" s="17" t="n">
        <f aca="false">I51*(1-Annahmen!$B$61)</f>
        <v>15.4569410910808</v>
      </c>
      <c r="K51" s="17" t="n">
        <f aca="false">I51*Annahmen!$B$61</f>
        <v>6.62440332474892</v>
      </c>
      <c r="L51" s="24" t="n">
        <f aca="false">J51*Annahmen!$B$87+K51*Annahmen!$B$88</f>
        <v>138.289939740238</v>
      </c>
      <c r="M51" s="24" t="n">
        <f aca="false">IF($A51&gt;=Annahmen!$B$55,Annahmen!$B$64*((1-Annahmen!$B$65)*Annahmen!$B$80+Annahmen!$B$65*Annahmen!$B$81)+Annahmen!$B$66*Annahmen!$B$82,0)</f>
        <v>32.245</v>
      </c>
      <c r="N51" s="24" t="n">
        <f aca="false">(L51+M51)/(1+Annahmen!$B$9)</f>
        <v>143.30667205062</v>
      </c>
      <c r="O51" s="24" t="n">
        <f aca="false">L51/(1+Annahmen!$B$9)</f>
        <v>116.210033395158</v>
      </c>
      <c r="P51" s="24" t="n">
        <f aca="false">N51*(Annahmen!$B$63*Annahmen!$B$83+(1-Annahmen!$B$63)*Annahmen!$B$84)+(I51*Annahmen!$B$62+I51*(1-Annahmen!$B$62)/12+IF($A51&gt;=Annahmen!$B$55,Annahmen!$B$64+Annahmen!$B$66,0))*(1-Annahmen!$B$63)*Annahmen!$B$85</f>
        <v>15.4083379870072</v>
      </c>
      <c r="Q51" s="25" t="n">
        <f aca="false">IF(D51=0,0,MIN(Annahmen!$B$189,Annahmen!$B$188*D51/(Annahmen!$B$188*D51+E51)))</f>
        <v>0.37410071942446</v>
      </c>
      <c r="R51" s="24" t="n">
        <f aca="false">O51*Q51*Annahmen!$B$196</f>
        <v>25.8671829729941</v>
      </c>
      <c r="S51" s="24" t="n">
        <f aca="false">Annahmen!$B$67*(Annahmen!$B$43+Annahmen!$B$154)</f>
        <v>259.483850895744</v>
      </c>
      <c r="T51" s="24" t="n">
        <f aca="false">IF($A51&gt;=Annahmen!$B$55,Annahmen!$B$64*(1-Annahmen!$B$65)*Annahmen!$B$44+(Annahmen!$B$64*Annahmen!$B$65+Annahmen!$B$66)*Annahmen!$B$45,0)</f>
        <v>15.6845378437918</v>
      </c>
      <c r="U51" s="24" t="n">
        <f aca="false">C51*Annahmen!$B$86</f>
        <v>7.21960752225783</v>
      </c>
      <c r="V51" s="24" t="n">
        <f aca="false">SUMPRODUCT((((Annahmen!$C$161:$C$174="monatlich")*(Annahmen!$D$161:$D$174&lt;=$A51))+((Annahmen!$C$161:$C$174="einmalig")*(Annahmen!$D$161:$D$174=$A51)))*Annahmen!$B$161:$B$174*Annahmen!$E$161:$E$174)</f>
        <v>69.9850799606897</v>
      </c>
      <c r="W51" s="24" t="n">
        <f aca="false">IF($A51&gt;=Annahmen!$B$55,Annahmen!$B$143,0)</f>
        <v>200</v>
      </c>
      <c r="X51" s="36" t="n">
        <f aca="false">MAX(0,(I51-Annahmen!$B$147)/Annahmen!$B$148)</f>
        <v>0</v>
      </c>
      <c r="Y51" s="24" t="n">
        <f aca="false">X51*Annahmen!$B$146</f>
        <v>0</v>
      </c>
      <c r="Z51" s="24" t="n">
        <f aca="false">N51-P51-R51-S51-T51-U51-V51-W51-Y51+AL51</f>
        <v>-415.347954741367</v>
      </c>
      <c r="AA51" s="24" t="n">
        <f aca="false">AA50+Z51</f>
        <v>-11709.3028257969</v>
      </c>
      <c r="AB51" s="17" t="n">
        <f aca="false">IF($A51&gt;=Annahmen!$B$180,Annahmen!$B$181,0)</f>
        <v>2</v>
      </c>
      <c r="AC51" s="17" t="n">
        <f aca="false">AB51*(1-Annahmen!$B$199)</f>
        <v>1.6</v>
      </c>
      <c r="AD51" s="24" t="n">
        <f aca="false">AC51*(Annahmen!$B$197+Annahmen!$B$198)+AB51*Annahmen!$B$155*Annahmen!$B$157</f>
        <v>581.6</v>
      </c>
      <c r="AE51" s="24" t="n">
        <f aca="false">AB51*(Annahmen!$B$48+Annahmen!$B$182*Annahmen!$B$11+Annahmen!$B$155*Annahmen!$B$154)</f>
        <v>31.7434865427531</v>
      </c>
      <c r="AF51" s="24" t="n">
        <f aca="false">AD51-AE51</f>
        <v>549.856513457247</v>
      </c>
      <c r="AG51" s="24" t="n">
        <f aca="false">Gesamt!J35-TÆLLA!Y35+Z51+AF51</f>
        <v>330.473653225724</v>
      </c>
      <c r="AH51" s="24" t="n">
        <f aca="false">AH50+AG51</f>
        <v>-6437.26552829471</v>
      </c>
      <c r="AI51" s="15" t="n">
        <f aca="false">IF(AG51&gt;0,1,0)</f>
        <v>1</v>
      </c>
      <c r="AJ51" s="15" t="n">
        <f aca="false">IF(AH51&gt;=0,1,0)</f>
        <v>0</v>
      </c>
      <c r="AK51" s="15" t="n">
        <f aca="false">MAX(0,C51-I51)</f>
        <v>699.879407809954</v>
      </c>
      <c r="AL51" s="24" t="n">
        <f aca="false">IF($A51&gt;=Annahmen!$B$69,AK51*Annahmen!$B$70,0)</f>
        <v>34.9939703904977</v>
      </c>
      <c r="AM51" s="15" t="n">
        <f aca="false">IF($A51&lt;Annahmen!$B$55,0,IF($A51=Annahmen!$B$55,Annahmen!$B$56,AM50*(1+(Annahmen!$B$57+F51)*(1-C50/Annahmen!$B$58))))</f>
        <v>631.960752225783</v>
      </c>
      <c r="AN51" s="15" t="n">
        <f aca="false">IF($A51&lt;Annahmen!$B$71,0,IF($A51&lt;Annahmen!$B$71+Annahmen!$B$73,Annahmen!$B$72,Annahmen!$B$72*Annahmen!$B$75))</f>
        <v>90</v>
      </c>
      <c r="AO51" s="7" t="n">
        <f aca="false">IF(Z51&gt;0,1,0)</f>
        <v>0</v>
      </c>
      <c r="AP51" s="7" t="n">
        <f aca="false">IF(AA51&gt;=0,1,0)</f>
        <v>0</v>
      </c>
    </row>
    <row r="52" customFormat="false" ht="15" hidden="false" customHeight="false" outlineLevel="0" collapsed="false">
      <c r="A52" s="7" t="n">
        <v>19</v>
      </c>
      <c r="B52" s="7" t="s">
        <v>408</v>
      </c>
      <c r="C52" s="15" t="n">
        <f aca="false">AM52+AN52</f>
        <v>780.507311318105</v>
      </c>
      <c r="D52" s="17" t="n">
        <f aca="false">D51+IF($A52&gt;=Annahmen!$B$180,Annahmen!$B$181,0)</f>
        <v>28</v>
      </c>
      <c r="E52" s="17" t="n">
        <f aca="false">E51+Annahmen!$B$67</f>
        <v>91</v>
      </c>
      <c r="F52" s="25" t="n">
        <f aca="false">MIN(Annahmen!$B$185,Annahmen!$B$184*D52/10)</f>
        <v>0.014</v>
      </c>
      <c r="G52" s="42" t="n">
        <f aca="false">MIN(Annahmen!$B$187,Annahmen!$B$186*D52/10)</f>
        <v>0.00056</v>
      </c>
      <c r="H52" s="17" t="n">
        <f aca="false">IF($A52&gt;Annahmen!$B$68,INDEX($AM$34:$AM$57,$A52-Annahmen!$B$68),0)*(Annahmen!$B$59+G52)+IF($A52=Annahmen!$B$71+Annahmen!$B$73,Annahmen!$B$72*Annahmen!$B$74,0)</f>
        <v>3.51370178237535</v>
      </c>
      <c r="I52" s="17" t="n">
        <f aca="false">I51*(1-Annahmen!$B$60)+H52</f>
        <v>23.8285386449387</v>
      </c>
      <c r="J52" s="17" t="n">
        <f aca="false">I52*(1-Annahmen!$B$61)</f>
        <v>16.6799770514571</v>
      </c>
      <c r="K52" s="17" t="n">
        <f aca="false">I52*Annahmen!$B$61</f>
        <v>7.14856159348161</v>
      </c>
      <c r="L52" s="24" t="n">
        <f aca="false">J52*Annahmen!$B$87+K52*Annahmen!$B$88</f>
        <v>149.23218039859</v>
      </c>
      <c r="M52" s="24" t="n">
        <f aca="false">IF($A52&gt;=Annahmen!$B$55,Annahmen!$B$64*((1-Annahmen!$B$65)*Annahmen!$B$80+Annahmen!$B$65*Annahmen!$B$81)+Annahmen!$B$66*Annahmen!$B$82,0)</f>
        <v>32.245</v>
      </c>
      <c r="N52" s="24" t="n">
        <f aca="false">(L52+M52)/(1+Annahmen!$B$9)</f>
        <v>152.501832267723</v>
      </c>
      <c r="O52" s="24" t="n">
        <f aca="false">L52/(1+Annahmen!$B$9)</f>
        <v>125.40519361226</v>
      </c>
      <c r="P52" s="24" t="n">
        <f aca="false">N52*(Annahmen!$B$63*Annahmen!$B$83+(1-Annahmen!$B$63)*Annahmen!$B$84)+(I52*Annahmen!$B$62+I52*(1-Annahmen!$B$62)/12+IF($A52&gt;=Annahmen!$B$55,Annahmen!$B$64+Annahmen!$B$66,0))*(1-Annahmen!$B$63)*Annahmen!$B$85</f>
        <v>16.4177449494594</v>
      </c>
      <c r="Q52" s="25" t="n">
        <f aca="false">IF(D52=0,0,MIN(Annahmen!$B$189,Annahmen!$B$188*D52/(Annahmen!$B$188*D52+E52)))</f>
        <v>0.380952380952381</v>
      </c>
      <c r="R52" s="24" t="n">
        <f aca="false">O52*Q52*Annahmen!$B$196</f>
        <v>28.425177218779</v>
      </c>
      <c r="S52" s="24" t="n">
        <f aca="false">Annahmen!$B$67*(Annahmen!$B$43+Annahmen!$B$154)</f>
        <v>259.483850895744</v>
      </c>
      <c r="T52" s="24" t="n">
        <f aca="false">IF($A52&gt;=Annahmen!$B$55,Annahmen!$B$64*(1-Annahmen!$B$65)*Annahmen!$B$44+(Annahmen!$B$64*Annahmen!$B$65+Annahmen!$B$66)*Annahmen!$B$45,0)</f>
        <v>15.6845378437918</v>
      </c>
      <c r="U52" s="24" t="n">
        <f aca="false">C52*Annahmen!$B$86</f>
        <v>7.80507311318105</v>
      </c>
      <c r="V52" s="24" t="n">
        <f aca="false">SUMPRODUCT((((Annahmen!$C$161:$C$174="monatlich")*(Annahmen!$D$161:$D$174&lt;=$A52))+((Annahmen!$C$161:$C$174="einmalig")*(Annahmen!$D$161:$D$174=$A52)))*Annahmen!$B$161:$B$174*Annahmen!$E$161:$E$174)</f>
        <v>69.9850799606897</v>
      </c>
      <c r="W52" s="24" t="n">
        <f aca="false">IF($A52&gt;=Annahmen!$B$55,Annahmen!$B$143,0)</f>
        <v>200</v>
      </c>
      <c r="X52" s="36" t="n">
        <f aca="false">MAX(0,(I52-Annahmen!$B$147)/Annahmen!$B$148)</f>
        <v>0</v>
      </c>
      <c r="Y52" s="24" t="n">
        <f aca="false">X52*Annahmen!$B$146</f>
        <v>0</v>
      </c>
      <c r="Z52" s="24" t="n">
        <f aca="false">N52-P52-R52-S52-T52-U52-V52-W52-Y52+AL52</f>
        <v>-407.465693080264</v>
      </c>
      <c r="AA52" s="24" t="n">
        <f aca="false">AA51+Z52</f>
        <v>-12116.7685188772</v>
      </c>
      <c r="AB52" s="17" t="n">
        <f aca="false">IF($A52&gt;=Annahmen!$B$180,Annahmen!$B$181,0)</f>
        <v>2</v>
      </c>
      <c r="AC52" s="17" t="n">
        <f aca="false">AB52*(1-Annahmen!$B$199)</f>
        <v>1.6</v>
      </c>
      <c r="AD52" s="24" t="n">
        <f aca="false">AC52*(Annahmen!$B$197+Annahmen!$B$198)+AB52*Annahmen!$B$155*Annahmen!$B$157</f>
        <v>581.6</v>
      </c>
      <c r="AE52" s="24" t="n">
        <f aca="false">AB52*(Annahmen!$B$48+Annahmen!$B$182*Annahmen!$B$11+Annahmen!$B$155*Annahmen!$B$154)</f>
        <v>31.7434865427531</v>
      </c>
      <c r="AF52" s="24" t="n">
        <f aca="false">AD52-AE52</f>
        <v>549.856513457247</v>
      </c>
      <c r="AG52" s="24" t="n">
        <f aca="false">Gesamt!J36-TÆLLA!Y36+Z52+AF52</f>
        <v>339.843111148509</v>
      </c>
      <c r="AH52" s="24" t="n">
        <f aca="false">AH51+AG52</f>
        <v>-6097.42241714621</v>
      </c>
      <c r="AI52" s="15" t="n">
        <f aca="false">IF(AG52&gt;0,1,0)</f>
        <v>1</v>
      </c>
      <c r="AJ52" s="15" t="n">
        <f aca="false">IF(AH52&gt;=0,1,0)</f>
        <v>0</v>
      </c>
      <c r="AK52" s="15" t="n">
        <f aca="false">MAX(0,C52-I52)</f>
        <v>756.678772673166</v>
      </c>
      <c r="AL52" s="24" t="n">
        <f aca="false">IF($A52&gt;=Annahmen!$B$69,AK52*Annahmen!$B$70,0)</f>
        <v>37.8339386336583</v>
      </c>
      <c r="AM52" s="15" t="n">
        <f aca="false">IF($A52&lt;Annahmen!$B$55,0,IF($A52=Annahmen!$B$55,Annahmen!$B$56,AM51*(1+(Annahmen!$B$57+F52)*(1-C51/Annahmen!$B$58))))</f>
        <v>690.507311318105</v>
      </c>
      <c r="AN52" s="15" t="n">
        <f aca="false">IF($A52&lt;Annahmen!$B$71,0,IF($A52&lt;Annahmen!$B$71+Annahmen!$B$73,Annahmen!$B$72,Annahmen!$B$72*Annahmen!$B$75))</f>
        <v>90</v>
      </c>
      <c r="AO52" s="7" t="n">
        <f aca="false">IF(Z52&gt;0,1,0)</f>
        <v>0</v>
      </c>
      <c r="AP52" s="7" t="n">
        <f aca="false">IF(AA52&gt;=0,1,0)</f>
        <v>0</v>
      </c>
    </row>
    <row r="53" customFormat="false" ht="15" hidden="false" customHeight="false" outlineLevel="0" collapsed="false">
      <c r="A53" s="7" t="n">
        <v>20</v>
      </c>
      <c r="B53" s="7" t="s">
        <v>409</v>
      </c>
      <c r="C53" s="15" t="n">
        <f aca="false">AM53+AN53</f>
        <v>845.081508483821</v>
      </c>
      <c r="D53" s="17" t="n">
        <f aca="false">D52+IF($A53&gt;=Annahmen!$B$180,Annahmen!$B$181,0)</f>
        <v>30</v>
      </c>
      <c r="E53" s="17" t="n">
        <f aca="false">E52+Annahmen!$B$67</f>
        <v>95</v>
      </c>
      <c r="F53" s="25" t="n">
        <f aca="false">MIN(Annahmen!$B$185,Annahmen!$B$184*D53/10)</f>
        <v>0.015</v>
      </c>
      <c r="G53" s="42" t="n">
        <f aca="false">MIN(Annahmen!$B$187,Annahmen!$B$186*D53/10)</f>
        <v>0.0006</v>
      </c>
      <c r="H53" s="17" t="n">
        <f aca="false">IF($A53&gt;Annahmen!$B$68,INDEX($AM$34:$AM$57,$A53-Annahmen!$B$68),0)*(Annahmen!$B$59+G53)+IF($A53=Annahmen!$B$71+Annahmen!$B$73,Annahmen!$B$72*Annahmen!$B$74,0)</f>
        <v>3.86684094338139</v>
      </c>
      <c r="I53" s="17" t="n">
        <f aca="false">I52*(1-Annahmen!$B$60)+H53</f>
        <v>25.789096496725</v>
      </c>
      <c r="J53" s="17" t="n">
        <f aca="false">I53*(1-Annahmen!$B$61)</f>
        <v>18.0523675477075</v>
      </c>
      <c r="K53" s="17" t="n">
        <f aca="false">I53*Annahmen!$B$61</f>
        <v>7.7367289490175</v>
      </c>
      <c r="L53" s="24" t="n">
        <f aca="false">J53*Annahmen!$B$87+K53*Annahmen!$B$88</f>
        <v>161.510664084864</v>
      </c>
      <c r="M53" s="24" t="n">
        <f aca="false">IF($A53&gt;=Annahmen!$B$55,Annahmen!$B$64*((1-Annahmen!$B$65)*Annahmen!$B$80+Annahmen!$B$65*Annahmen!$B$81)+Annahmen!$B$66*Annahmen!$B$82,0)</f>
        <v>32.245</v>
      </c>
      <c r="N53" s="24" t="n">
        <f aca="false">(L53+M53)/(1+Annahmen!$B$9)</f>
        <v>162.8198857856</v>
      </c>
      <c r="O53" s="24" t="n">
        <f aca="false">L53/(1+Annahmen!$B$9)</f>
        <v>135.723247130138</v>
      </c>
      <c r="P53" s="24" t="n">
        <f aca="false">N53*(Annahmen!$B$63*Annahmen!$B$83+(1-Annahmen!$B$63)*Annahmen!$B$84)+(I53*Annahmen!$B$62+I53*(1-Annahmen!$B$62)/12+IF($A53&gt;=Annahmen!$B$55,Annahmen!$B$64+Annahmen!$B$66,0))*(1-Annahmen!$B$63)*Annahmen!$B$85</f>
        <v>17.5504185314302</v>
      </c>
      <c r="Q53" s="25" t="n">
        <f aca="false">IF(D53=0,0,MIN(Annahmen!$B$189,Annahmen!$B$188*D53/(Annahmen!$B$188*D53+E53)))</f>
        <v>0.387096774193548</v>
      </c>
      <c r="R53" s="24" t="n">
        <f aca="false">O53*Q53*Annahmen!$B$196</f>
        <v>31.2601285325544</v>
      </c>
      <c r="S53" s="24" t="n">
        <f aca="false">Annahmen!$B$67*(Annahmen!$B$43+Annahmen!$B$154)</f>
        <v>259.483850895744</v>
      </c>
      <c r="T53" s="24" t="n">
        <f aca="false">IF($A53&gt;=Annahmen!$B$55,Annahmen!$B$64*(1-Annahmen!$B$65)*Annahmen!$B$44+(Annahmen!$B$64*Annahmen!$B$65+Annahmen!$B$66)*Annahmen!$B$45,0)</f>
        <v>15.6845378437918</v>
      </c>
      <c r="U53" s="24" t="n">
        <f aca="false">C53*Annahmen!$B$86</f>
        <v>8.4508150848382</v>
      </c>
      <c r="V53" s="24" t="n">
        <f aca="false">SUMPRODUCT((((Annahmen!$C$161:$C$174="monatlich")*(Annahmen!$D$161:$D$174&lt;=$A53))+((Annahmen!$C$161:$C$174="einmalig")*(Annahmen!$D$161:$D$174=$A53)))*Annahmen!$B$161:$B$174*Annahmen!$E$161:$E$174)</f>
        <v>69.9850799606897</v>
      </c>
      <c r="W53" s="24" t="n">
        <f aca="false">IF($A53&gt;=Annahmen!$B$55,Annahmen!$B$143,0)</f>
        <v>200</v>
      </c>
      <c r="X53" s="36" t="n">
        <f aca="false">MAX(0,(I53-Annahmen!$B$147)/Annahmen!$B$148)</f>
        <v>0</v>
      </c>
      <c r="Y53" s="24" t="n">
        <f aca="false">X53*Annahmen!$B$146</f>
        <v>0</v>
      </c>
      <c r="Z53" s="24" t="n">
        <f aca="false">N53-P53-R53-S53-T53-U53-V53-W53-Y53+AL53</f>
        <v>-398.630324464093</v>
      </c>
      <c r="AA53" s="24" t="n">
        <f aca="false">AA52+Z53</f>
        <v>-12515.3988433413</v>
      </c>
      <c r="AB53" s="17" t="n">
        <f aca="false">IF($A53&gt;=Annahmen!$B$180,Annahmen!$B$181,0)</f>
        <v>2</v>
      </c>
      <c r="AC53" s="17" t="n">
        <f aca="false">AB53*(1-Annahmen!$B$199)</f>
        <v>1.6</v>
      </c>
      <c r="AD53" s="24" t="n">
        <f aca="false">AC53*(Annahmen!$B$197+Annahmen!$B$198)+AB53*Annahmen!$B$155*Annahmen!$B$157</f>
        <v>581.6</v>
      </c>
      <c r="AE53" s="24" t="n">
        <f aca="false">AB53*(Annahmen!$B$48+Annahmen!$B$182*Annahmen!$B$11+Annahmen!$B$155*Annahmen!$B$154)</f>
        <v>31.7434865427531</v>
      </c>
      <c r="AF53" s="24" t="n">
        <f aca="false">AD53-AE53</f>
        <v>549.856513457247</v>
      </c>
      <c r="AG53" s="24" t="n">
        <f aca="false">Gesamt!J37-TÆLLA!Y37+Z53+AF53</f>
        <v>350.165676026362</v>
      </c>
      <c r="AH53" s="24" t="n">
        <f aca="false">AH52+AG53</f>
        <v>-5747.25674111984</v>
      </c>
      <c r="AI53" s="15" t="n">
        <f aca="false">IF(AG53&gt;0,1,0)</f>
        <v>1</v>
      </c>
      <c r="AJ53" s="15" t="n">
        <f aca="false">IF(AH53&gt;=0,1,0)</f>
        <v>0</v>
      </c>
      <c r="AK53" s="15" t="n">
        <f aca="false">MAX(0,C53-I53)</f>
        <v>819.292411987096</v>
      </c>
      <c r="AL53" s="24" t="n">
        <f aca="false">IF($A53&gt;=Annahmen!$B$69,AK53*Annahmen!$B$70,0)</f>
        <v>40.9646205993548</v>
      </c>
      <c r="AM53" s="15" t="n">
        <f aca="false">IF($A53&lt;Annahmen!$B$55,0,IF($A53=Annahmen!$B$55,Annahmen!$B$56,AM52*(1+(Annahmen!$B$57+F53)*(1-C52/Annahmen!$B$58))))</f>
        <v>755.081508483821</v>
      </c>
      <c r="AN53" s="15" t="n">
        <f aca="false">IF($A53&lt;Annahmen!$B$71,0,IF($A53&lt;Annahmen!$B$71+Annahmen!$B$73,Annahmen!$B$72,Annahmen!$B$72*Annahmen!$B$75))</f>
        <v>90</v>
      </c>
      <c r="AO53" s="7" t="n">
        <f aca="false">IF(Z53&gt;0,1,0)</f>
        <v>0</v>
      </c>
      <c r="AP53" s="7" t="n">
        <f aca="false">IF(AA53&gt;=0,1,0)</f>
        <v>0</v>
      </c>
    </row>
    <row r="54" customFormat="false" ht="15" hidden="false" customHeight="false" outlineLevel="0" collapsed="false">
      <c r="A54" s="7" t="n">
        <v>21</v>
      </c>
      <c r="B54" s="7" t="s">
        <v>410</v>
      </c>
      <c r="C54" s="15" t="n">
        <f aca="false">AM54+AN54</f>
        <v>916.344170891449</v>
      </c>
      <c r="D54" s="17" t="n">
        <f aca="false">D53+IF($A54&gt;=Annahmen!$B$180,Annahmen!$B$181,0)</f>
        <v>32</v>
      </c>
      <c r="E54" s="17" t="n">
        <f aca="false">E53+Annahmen!$B$67</f>
        <v>99</v>
      </c>
      <c r="F54" s="25" t="n">
        <f aca="false">MIN(Annahmen!$B$185,Annahmen!$B$184*D54/10)</f>
        <v>0.016</v>
      </c>
      <c r="G54" s="42" t="n">
        <f aca="false">MIN(Annahmen!$B$187,Annahmen!$B$186*D54/10)</f>
        <v>0.00064</v>
      </c>
      <c r="H54" s="17" t="n">
        <f aca="false">IF($A54&gt;Annahmen!$B$68,INDEX($AM$34:$AM$57,$A54-Annahmen!$B$68),0)*(Annahmen!$B$59+G54)+IF($A54=Annahmen!$B$71+Annahmen!$B$73,Annahmen!$B$72*Annahmen!$B$74,0)</f>
        <v>4.25865970784875</v>
      </c>
      <c r="I54" s="17" t="n">
        <f aca="false">I53*(1-Annahmen!$B$60)+H54</f>
        <v>27.9846284848357</v>
      </c>
      <c r="J54" s="17" t="n">
        <f aca="false">I54*(1-Annahmen!$B$61)</f>
        <v>19.589239939385</v>
      </c>
      <c r="K54" s="17" t="n">
        <f aca="false">I54*Annahmen!$B$61</f>
        <v>8.39538854545072</v>
      </c>
      <c r="L54" s="24" t="n">
        <f aca="false">J54*Annahmen!$B$87+K54*Annahmen!$B$88</f>
        <v>175.260732043405</v>
      </c>
      <c r="M54" s="24" t="n">
        <f aca="false">IF($A54&gt;=Annahmen!$B$55,Annahmen!$B$64*((1-Annahmen!$B$65)*Annahmen!$B$80+Annahmen!$B$65*Annahmen!$B$81)+Annahmen!$B$66*Annahmen!$B$82,0)</f>
        <v>32.245</v>
      </c>
      <c r="N54" s="24" t="n">
        <f aca="false">(L54+M54)/(1+Annahmen!$B$9)</f>
        <v>174.374564742357</v>
      </c>
      <c r="O54" s="24" t="n">
        <f aca="false">L54/(1+Annahmen!$B$9)</f>
        <v>147.277926086895</v>
      </c>
      <c r="P54" s="24" t="n">
        <f aca="false">N54*(Annahmen!$B$63*Annahmen!$B$83+(1-Annahmen!$B$63)*Annahmen!$B$84)+(I54*Annahmen!$B$62+I54*(1-Annahmen!$B$62)/12+IF($A54&gt;=Annahmen!$B$55,Annahmen!$B$64+Annahmen!$B$66,0))*(1-Annahmen!$B$63)*Annahmen!$B$85</f>
        <v>18.8188437804169</v>
      </c>
      <c r="Q54" s="25" t="n">
        <f aca="false">IF(D54=0,0,MIN(Annahmen!$B$189,Annahmen!$B$188*D54/(Annahmen!$B$188*D54+E54)))</f>
        <v>0.392638036809816</v>
      </c>
      <c r="R54" s="24" t="n">
        <f aca="false">O54*Q54*Annahmen!$B$196</f>
        <v>34.4070148796869</v>
      </c>
      <c r="S54" s="24" t="n">
        <f aca="false">Annahmen!$B$67*(Annahmen!$B$43+Annahmen!$B$154)</f>
        <v>259.483850895744</v>
      </c>
      <c r="T54" s="24" t="n">
        <f aca="false">IF($A54&gt;=Annahmen!$B$55,Annahmen!$B$64*(1-Annahmen!$B$65)*Annahmen!$B$44+(Annahmen!$B$64*Annahmen!$B$65+Annahmen!$B$66)*Annahmen!$B$45,0)</f>
        <v>15.6845378437918</v>
      </c>
      <c r="U54" s="24" t="n">
        <f aca="false">C54*Annahmen!$B$86</f>
        <v>9.16344170891449</v>
      </c>
      <c r="V54" s="24" t="n">
        <f aca="false">SUMPRODUCT((((Annahmen!$C$161:$C$174="monatlich")*(Annahmen!$D$161:$D$174&lt;=$A54))+((Annahmen!$C$161:$C$174="einmalig")*(Annahmen!$D$161:$D$174=$A54)))*Annahmen!$B$161:$B$174*Annahmen!$E$161:$E$174)</f>
        <v>69.9850799606897</v>
      </c>
      <c r="W54" s="24" t="n">
        <f aca="false">IF($A54&gt;=Annahmen!$B$55,Annahmen!$B$143,0)</f>
        <v>200</v>
      </c>
      <c r="X54" s="36" t="n">
        <f aca="false">MAX(0,(I54-Annahmen!$B$147)/Annahmen!$B$148)</f>
        <v>0</v>
      </c>
      <c r="Y54" s="24" t="n">
        <f aca="false">X54*Annahmen!$B$146</f>
        <v>0</v>
      </c>
      <c r="Z54" s="24" t="n">
        <f aca="false">N54-P54-R54-S54-T54-U54-V54-W54-Y54+AL54</f>
        <v>-388.750227206556</v>
      </c>
      <c r="AA54" s="24" t="n">
        <f aca="false">AA53+Z54</f>
        <v>-12904.1490705478</v>
      </c>
      <c r="AB54" s="17" t="n">
        <f aca="false">IF($A54&gt;=Annahmen!$B$180,Annahmen!$B$181,0)</f>
        <v>2</v>
      </c>
      <c r="AC54" s="17" t="n">
        <f aca="false">AB54*(1-Annahmen!$B$199)</f>
        <v>1.6</v>
      </c>
      <c r="AD54" s="24" t="n">
        <f aca="false">AC54*(Annahmen!$B$197+Annahmen!$B$198)+AB54*Annahmen!$B$155*Annahmen!$B$157</f>
        <v>581.6</v>
      </c>
      <c r="AE54" s="24" t="n">
        <f aca="false">AB54*(Annahmen!$B$48+Annahmen!$B$182*Annahmen!$B$11+Annahmen!$B$155*Annahmen!$B$154)</f>
        <v>31.7434865427531</v>
      </c>
      <c r="AF54" s="24" t="n">
        <f aca="false">AD54-AE54</f>
        <v>549.856513457247</v>
      </c>
      <c r="AG54" s="24" t="n">
        <f aca="false">Gesamt!J38-TÆLLA!Y38+Z54+AF54</f>
        <v>361.532969545582</v>
      </c>
      <c r="AH54" s="24" t="n">
        <f aca="false">AH53+AG54</f>
        <v>-5385.72377157426</v>
      </c>
      <c r="AI54" s="15" t="n">
        <f aca="false">IF(AG54&gt;0,1,0)</f>
        <v>1</v>
      </c>
      <c r="AJ54" s="15" t="n">
        <f aca="false">IF(AH54&gt;=0,1,0)</f>
        <v>0</v>
      </c>
      <c r="AK54" s="15" t="n">
        <f aca="false">MAX(0,C54-I54)</f>
        <v>888.359542406613</v>
      </c>
      <c r="AL54" s="24" t="n">
        <f aca="false">IF($A54&gt;=Annahmen!$B$69,AK54*Annahmen!$B$70,0)</f>
        <v>44.4179771203307</v>
      </c>
      <c r="AM54" s="15" t="n">
        <f aca="false">IF($A54&lt;Annahmen!$B$55,0,IF($A54=Annahmen!$B$55,Annahmen!$B$56,AM53*(1+(Annahmen!$B$57+F54)*(1-C53/Annahmen!$B$58))))</f>
        <v>826.344170891449</v>
      </c>
      <c r="AN54" s="15" t="n">
        <f aca="false">IF($A54&lt;Annahmen!$B$71,0,IF($A54&lt;Annahmen!$B$71+Annahmen!$B$73,Annahmen!$B$72,Annahmen!$B$72*Annahmen!$B$75))</f>
        <v>90</v>
      </c>
      <c r="AO54" s="7" t="n">
        <f aca="false">IF(Z54&gt;0,1,0)</f>
        <v>0</v>
      </c>
      <c r="AP54" s="7" t="n">
        <f aca="false">IF(AA54&gt;=0,1,0)</f>
        <v>0</v>
      </c>
    </row>
    <row r="55" customFormat="false" ht="15" hidden="false" customHeight="false" outlineLevel="0" collapsed="false">
      <c r="A55" s="7" t="n">
        <v>22</v>
      </c>
      <c r="B55" s="7" t="s">
        <v>411</v>
      </c>
      <c r="C55" s="15" t="n">
        <f aca="false">AM55+AN55</f>
        <v>995.030557079476</v>
      </c>
      <c r="D55" s="17" t="n">
        <f aca="false">D54+IF($A55&gt;=Annahmen!$B$180,Annahmen!$B$181,0)</f>
        <v>34</v>
      </c>
      <c r="E55" s="17" t="n">
        <f aca="false">E54+Annahmen!$B$67</f>
        <v>103</v>
      </c>
      <c r="F55" s="25" t="n">
        <f aca="false">MIN(Annahmen!$B$185,Annahmen!$B$184*D55/10)</f>
        <v>0.017</v>
      </c>
      <c r="G55" s="42" t="n">
        <f aca="false">MIN(Annahmen!$B$187,Annahmen!$B$186*D55/10)</f>
        <v>0.00068</v>
      </c>
      <c r="H55" s="17" t="n">
        <f aca="false">IF($A55&gt;Annahmen!$B$68,INDEX($AM$34:$AM$57,$A55-Annahmen!$B$68),0)*(Annahmen!$B$59+G55)+IF($A55=Annahmen!$B$71+Annahmen!$B$73,Annahmen!$B$72*Annahmen!$B$74,0)</f>
        <v>4.69363489066343</v>
      </c>
      <c r="I55" s="17" t="n">
        <f aca="false">I54*(1-Annahmen!$B$60)+H55</f>
        <v>30.4394930967123</v>
      </c>
      <c r="J55" s="17" t="n">
        <f aca="false">I55*(1-Annahmen!$B$61)</f>
        <v>21.3076451676986</v>
      </c>
      <c r="K55" s="17" t="n">
        <f aca="false">I55*Annahmen!$B$61</f>
        <v>9.13184792901369</v>
      </c>
      <c r="L55" s="24" t="n">
        <f aca="false">J55*Annahmen!$B$87+K55*Annahmen!$B$88</f>
        <v>190.634935391435</v>
      </c>
      <c r="M55" s="24" t="n">
        <f aca="false">IF($A55&gt;=Annahmen!$B$55,Annahmen!$B$64*((1-Annahmen!$B$65)*Annahmen!$B$80+Annahmen!$B$65*Annahmen!$B$81)+Annahmen!$B$66*Annahmen!$B$82,0)</f>
        <v>32.245</v>
      </c>
      <c r="N55" s="24" t="n">
        <f aca="false">(L55+M55)/(1+Annahmen!$B$9)</f>
        <v>187.294063354147</v>
      </c>
      <c r="O55" s="24" t="n">
        <f aca="false">L55/(1+Annahmen!$B$9)</f>
        <v>160.197424698685</v>
      </c>
      <c r="P55" s="24" t="n">
        <f aca="false">N55*(Annahmen!$B$63*Annahmen!$B$83+(1-Annahmen!$B$63)*Annahmen!$B$84)+(I55*Annahmen!$B$62+I55*(1-Annahmen!$B$62)/12+IF($A55&gt;=Annahmen!$B$55,Annahmen!$B$64+Annahmen!$B$66,0))*(1-Annahmen!$B$63)*Annahmen!$B$85</f>
        <v>20.2370933315098</v>
      </c>
      <c r="Q55" s="25" t="n">
        <f aca="false">IF(D55=0,0,MIN(Annahmen!$B$189,Annahmen!$B$188*D55/(Annahmen!$B$188*D55+E55)))</f>
        <v>0.39766081871345</v>
      </c>
      <c r="R55" s="24" t="n">
        <f aca="false">O55*Q55*Annahmen!$B$196</f>
        <v>37.9040222415719</v>
      </c>
      <c r="S55" s="24" t="n">
        <f aca="false">Annahmen!$B$67*(Annahmen!$B$43+Annahmen!$B$154)</f>
        <v>259.483850895744</v>
      </c>
      <c r="T55" s="24" t="n">
        <f aca="false">IF($A55&gt;=Annahmen!$B$55,Annahmen!$B$64*(1-Annahmen!$B$65)*Annahmen!$B$44+(Annahmen!$B$64*Annahmen!$B$65+Annahmen!$B$66)*Annahmen!$B$45,0)</f>
        <v>15.6845378437918</v>
      </c>
      <c r="U55" s="24" t="n">
        <f aca="false">C55*Annahmen!$B$86</f>
        <v>9.95030557079476</v>
      </c>
      <c r="V55" s="24" t="n">
        <f aca="false">SUMPRODUCT((((Annahmen!$C$161:$C$174="monatlich")*(Annahmen!$D$161:$D$174&lt;=$A55))+((Annahmen!$C$161:$C$174="einmalig")*(Annahmen!$D$161:$D$174=$A55)))*Annahmen!$B$161:$B$174*Annahmen!$E$161:$E$174)</f>
        <v>69.9850799606897</v>
      </c>
      <c r="W55" s="24" t="n">
        <f aca="false">IF($A55&gt;=Annahmen!$B$55,Annahmen!$B$143,0)</f>
        <v>200</v>
      </c>
      <c r="X55" s="36" t="n">
        <f aca="false">MAX(0,(I55-Annahmen!$B$147)/Annahmen!$B$148)</f>
        <v>0</v>
      </c>
      <c r="Y55" s="24" t="n">
        <f aca="false">X55*Annahmen!$B$146</f>
        <v>0</v>
      </c>
      <c r="Z55" s="24" t="n">
        <f aca="false">N55-P55-R55-S55-T55-U55-V55-W55-Y55+AL55</f>
        <v>-377.721273290817</v>
      </c>
      <c r="AA55" s="24" t="n">
        <f aca="false">AA54+Z55</f>
        <v>-13281.8703438387</v>
      </c>
      <c r="AB55" s="17" t="n">
        <f aca="false">IF($A55&gt;=Annahmen!$B$180,Annahmen!$B$181,0)</f>
        <v>2</v>
      </c>
      <c r="AC55" s="17" t="n">
        <f aca="false">AB55*(1-Annahmen!$B$199)</f>
        <v>1.6</v>
      </c>
      <c r="AD55" s="24" t="n">
        <f aca="false">AC55*(Annahmen!$B$197+Annahmen!$B$198)+AB55*Annahmen!$B$155*Annahmen!$B$157</f>
        <v>581.6</v>
      </c>
      <c r="AE55" s="24" t="n">
        <f aca="false">AB55*(Annahmen!$B$48+Annahmen!$B$182*Annahmen!$B$11+Annahmen!$B$155*Annahmen!$B$154)</f>
        <v>31.7434865427531</v>
      </c>
      <c r="AF55" s="24" t="n">
        <f aca="false">AD55-AE55</f>
        <v>549.856513457247</v>
      </c>
      <c r="AG55" s="24" t="n">
        <f aca="false">Gesamt!J39-TÆLLA!Y39+Z55+AF55</f>
        <v>374.049119723003</v>
      </c>
      <c r="AH55" s="24" t="n">
        <f aca="false">AH54+AG55</f>
        <v>-5011.67465185126</v>
      </c>
      <c r="AI55" s="15" t="n">
        <f aca="false">IF(AG55&gt;0,1,0)</f>
        <v>1</v>
      </c>
      <c r="AJ55" s="15" t="n">
        <f aca="false">IF(AH55&gt;=0,1,0)</f>
        <v>0</v>
      </c>
      <c r="AK55" s="15" t="n">
        <f aca="false">MAX(0,C55-I55)</f>
        <v>964.591063982763</v>
      </c>
      <c r="AL55" s="24" t="n">
        <f aca="false">IF($A55&gt;=Annahmen!$B$69,AK55*Annahmen!$B$70,0)</f>
        <v>48.2295531991382</v>
      </c>
      <c r="AM55" s="15" t="n">
        <f aca="false">IF($A55&lt;Annahmen!$B$55,0,IF($A55=Annahmen!$B$55,Annahmen!$B$56,AM54*(1+(Annahmen!$B$57+F55)*(1-C54/Annahmen!$B$58))))</f>
        <v>905.030557079476</v>
      </c>
      <c r="AN55" s="15" t="n">
        <f aca="false">IF($A55&lt;Annahmen!$B$71,0,IF($A55&lt;Annahmen!$B$71+Annahmen!$B$73,Annahmen!$B$72,Annahmen!$B$72*Annahmen!$B$75))</f>
        <v>90</v>
      </c>
      <c r="AO55" s="7" t="n">
        <f aca="false">IF(Z55&gt;0,1,0)</f>
        <v>0</v>
      </c>
      <c r="AP55" s="7" t="n">
        <f aca="false">IF(AA55&gt;=0,1,0)</f>
        <v>0</v>
      </c>
    </row>
    <row r="56" customFormat="false" ht="15" hidden="false" customHeight="false" outlineLevel="0" collapsed="false">
      <c r="A56" s="7" t="n">
        <v>23</v>
      </c>
      <c r="B56" s="7" t="s">
        <v>412</v>
      </c>
      <c r="C56" s="15" t="n">
        <f aca="false">AM56+AN56</f>
        <v>1081.95850687687</v>
      </c>
      <c r="D56" s="17" t="n">
        <f aca="false">D55+IF($A56&gt;=Annahmen!$B$180,Annahmen!$B$181,0)</f>
        <v>36</v>
      </c>
      <c r="E56" s="17" t="n">
        <f aca="false">E55+Annahmen!$B$67</f>
        <v>107</v>
      </c>
      <c r="F56" s="25" t="n">
        <f aca="false">MIN(Annahmen!$B$185,Annahmen!$B$184*D56/10)</f>
        <v>0.018</v>
      </c>
      <c r="G56" s="42" t="n">
        <f aca="false">MIN(Annahmen!$B$187,Annahmen!$B$186*D56/10)</f>
        <v>0.00072</v>
      </c>
      <c r="H56" s="17" t="n">
        <f aca="false">IF($A56&gt;Annahmen!$B$68,INDEX($AM$34:$AM$57,$A56-Annahmen!$B$68),0)*(Annahmen!$B$59+G56)+IF($A56=Annahmen!$B$71+Annahmen!$B$73,Annahmen!$B$72*Annahmen!$B$74,0)</f>
        <v>5.1767747864946</v>
      </c>
      <c r="I56" s="17" t="n">
        <f aca="false">I55*(1-Annahmen!$B$60)+H56</f>
        <v>33.1811084354699</v>
      </c>
      <c r="J56" s="17" t="n">
        <f aca="false">I56*(1-Annahmen!$B$61)</f>
        <v>23.2267759048289</v>
      </c>
      <c r="K56" s="17" t="n">
        <f aca="false">I56*Annahmen!$B$61</f>
        <v>9.95433253064098</v>
      </c>
      <c r="L56" s="24" t="n">
        <f aca="false">J56*Annahmen!$B$87+K56*Annahmen!$B$88</f>
        <v>207.804986854239</v>
      </c>
      <c r="M56" s="24" t="n">
        <f aca="false">IF($A56&gt;=Annahmen!$B$55,Annahmen!$B$64*((1-Annahmen!$B$65)*Annahmen!$B$80+Annahmen!$B$65*Annahmen!$B$81)+Annahmen!$B$66*Annahmen!$B$82,0)</f>
        <v>32.245</v>
      </c>
      <c r="N56" s="24" t="n">
        <f aca="false">(L56+M56)/(1+Annahmen!$B$9)</f>
        <v>201.722678028773</v>
      </c>
      <c r="O56" s="24" t="n">
        <f aca="false">L56/(1+Annahmen!$B$9)</f>
        <v>174.62603937331</v>
      </c>
      <c r="P56" s="24" t="n">
        <f aca="false">N56*(Annahmen!$B$63*Annahmen!$B$83+(1-Annahmen!$B$63)*Annahmen!$B$84)+(I56*Annahmen!$B$62+I56*(1-Annahmen!$B$62)/12+IF($A56&gt;=Annahmen!$B$55,Annahmen!$B$64+Annahmen!$B$66,0))*(1-Annahmen!$B$63)*Annahmen!$B$85</f>
        <v>21.8210074523337</v>
      </c>
      <c r="Q56" s="25" t="n">
        <f aca="false">IF(D56=0,0,MIN(Annahmen!$B$189,Annahmen!$B$188*D56/(Annahmen!$B$188*D56+E56)))</f>
        <v>0.402234636871508</v>
      </c>
      <c r="R56" s="24" t="n">
        <f aca="false">O56*Q56*Annahmen!$B$196</f>
        <v>41.7931817137018</v>
      </c>
      <c r="S56" s="24" t="n">
        <f aca="false">Annahmen!$B$67*(Annahmen!$B$43+Annahmen!$B$154)</f>
        <v>259.483850895744</v>
      </c>
      <c r="T56" s="24" t="n">
        <f aca="false">IF($A56&gt;=Annahmen!$B$55,Annahmen!$B$64*(1-Annahmen!$B$65)*Annahmen!$B$44+(Annahmen!$B$64*Annahmen!$B$65+Annahmen!$B$66)*Annahmen!$B$45,0)</f>
        <v>15.6845378437918</v>
      </c>
      <c r="U56" s="24" t="n">
        <f aca="false">C56*Annahmen!$B$86</f>
        <v>10.8195850687687</v>
      </c>
      <c r="V56" s="24" t="n">
        <f aca="false">SUMPRODUCT((((Annahmen!$C$161:$C$174="monatlich")*(Annahmen!$D$161:$D$174&lt;=$A56))+((Annahmen!$C$161:$C$174="einmalig")*(Annahmen!$D$161:$D$174=$A56)))*Annahmen!$B$161:$B$174*Annahmen!$E$161:$E$174)</f>
        <v>69.9850799606897</v>
      </c>
      <c r="W56" s="24" t="n">
        <f aca="false">IF($A56&gt;=Annahmen!$B$55,Annahmen!$B$143,0)</f>
        <v>200</v>
      </c>
      <c r="X56" s="36" t="n">
        <f aca="false">MAX(0,(I56-Annahmen!$B$147)/Annahmen!$B$148)</f>
        <v>0</v>
      </c>
      <c r="Y56" s="24" t="n">
        <f aca="false">X56*Annahmen!$B$146</f>
        <v>0</v>
      </c>
      <c r="Z56" s="24" t="n">
        <f aca="false">N56-P56-R56-S56-T56-U56-V56-W56-Y56+AL56</f>
        <v>-365.425694984187</v>
      </c>
      <c r="AA56" s="24" t="n">
        <f aca="false">AA55+Z56</f>
        <v>-13647.2960388228</v>
      </c>
      <c r="AB56" s="17" t="n">
        <f aca="false">IF($A56&gt;=Annahmen!$B$180,Annahmen!$B$181,0)</f>
        <v>2</v>
      </c>
      <c r="AC56" s="17" t="n">
        <f aca="false">AB56*(1-Annahmen!$B$199)</f>
        <v>1.6</v>
      </c>
      <c r="AD56" s="24" t="n">
        <f aca="false">AC56*(Annahmen!$B$197+Annahmen!$B$198)+AB56*Annahmen!$B$155*Annahmen!$B$157</f>
        <v>581.6</v>
      </c>
      <c r="AE56" s="24" t="n">
        <f aca="false">AB56*(Annahmen!$B$48+Annahmen!$B$182*Annahmen!$B$11+Annahmen!$B$155*Annahmen!$B$154)</f>
        <v>31.7434865427531</v>
      </c>
      <c r="AF56" s="24" t="n">
        <f aca="false">AD56-AE56</f>
        <v>549.856513457247</v>
      </c>
      <c r="AG56" s="24" t="n">
        <f aca="false">Gesamt!J40-TÆLLA!Y40+Z56+AF56</f>
        <v>387.831894291315</v>
      </c>
      <c r="AH56" s="24" t="n">
        <f aca="false">AH55+AG56</f>
        <v>-4623.84275755994</v>
      </c>
      <c r="AI56" s="15" t="n">
        <f aca="false">IF(AG56&gt;0,1,0)</f>
        <v>1</v>
      </c>
      <c r="AJ56" s="15" t="n">
        <f aca="false">IF(AH56&gt;=0,1,0)</f>
        <v>0</v>
      </c>
      <c r="AK56" s="15" t="n">
        <f aca="false">MAX(0,C56-I56)</f>
        <v>1048.7773984414</v>
      </c>
      <c r="AL56" s="24" t="n">
        <f aca="false">IF($A56&gt;=Annahmen!$B$69,AK56*Annahmen!$B$70,0)</f>
        <v>52.43886992207</v>
      </c>
      <c r="AM56" s="15" t="n">
        <f aca="false">IF($A56&lt;Annahmen!$B$55,0,IF($A56=Annahmen!$B$55,Annahmen!$B$56,AM55*(1+(Annahmen!$B$57+F56)*(1-C55/Annahmen!$B$58))))</f>
        <v>991.95850687687</v>
      </c>
      <c r="AN56" s="15" t="n">
        <f aca="false">IF($A56&lt;Annahmen!$B$71,0,IF($A56&lt;Annahmen!$B$71+Annahmen!$B$73,Annahmen!$B$72,Annahmen!$B$72*Annahmen!$B$75))</f>
        <v>90</v>
      </c>
      <c r="AO56" s="7" t="n">
        <f aca="false">IF(Z56&gt;0,1,0)</f>
        <v>0</v>
      </c>
      <c r="AP56" s="7" t="n">
        <f aca="false">IF(AA56&gt;=0,1,0)</f>
        <v>0</v>
      </c>
    </row>
    <row r="57" customFormat="false" ht="15" hidden="false" customHeight="false" outlineLevel="0" collapsed="false">
      <c r="A57" s="7" t="n">
        <v>24</v>
      </c>
      <c r="B57" s="7" t="s">
        <v>413</v>
      </c>
      <c r="C57" s="15" t="n">
        <f aca="false">AM57+AN57</f>
        <v>1178.03734832661</v>
      </c>
      <c r="D57" s="17" t="n">
        <f aca="false">D56+IF($A57&gt;=Annahmen!$B$180,Annahmen!$B$181,0)</f>
        <v>38</v>
      </c>
      <c r="E57" s="17" t="n">
        <f aca="false">E56+Annahmen!$B$67</f>
        <v>111</v>
      </c>
      <c r="F57" s="25" t="n">
        <f aca="false">MIN(Annahmen!$B$185,Annahmen!$B$184*D57/10)</f>
        <v>0.019</v>
      </c>
      <c r="G57" s="42" t="n">
        <f aca="false">MIN(Annahmen!$B$187,Annahmen!$B$186*D57/10)</f>
        <v>0.00076</v>
      </c>
      <c r="H57" s="17" t="n">
        <f aca="false">IF($A57&gt;Annahmen!$B$68,INDEX($AM$34:$AM$57,$A57-Annahmen!$B$68),0)*(Annahmen!$B$59+G57)+IF($A57=Annahmen!$B$71+Annahmen!$B$73,Annahmen!$B$72*Annahmen!$B$74,0)</f>
        <v>5.71368099961077</v>
      </c>
      <c r="I57" s="17" t="n">
        <f aca="false">I56*(1-Annahmen!$B$60)+H57</f>
        <v>36.2403007602431</v>
      </c>
      <c r="J57" s="17" t="n">
        <f aca="false">I57*(1-Annahmen!$B$61)</f>
        <v>25.3682105321702</v>
      </c>
      <c r="K57" s="17" t="n">
        <f aca="false">I57*Annahmen!$B$61</f>
        <v>10.8720902280729</v>
      </c>
      <c r="L57" s="24" t="n">
        <f aca="false">J57*Annahmen!$B$87+K57*Annahmen!$B$88</f>
        <v>226.963943586212</v>
      </c>
      <c r="M57" s="24" t="n">
        <f aca="false">IF($A57&gt;=Annahmen!$B$55,Annahmen!$B$64*((1-Annahmen!$B$65)*Annahmen!$B$80+Annahmen!$B$65*Annahmen!$B$81)+Annahmen!$B$66*Annahmen!$B$82,0)</f>
        <v>32.245</v>
      </c>
      <c r="N57" s="24" t="n">
        <f aca="false">(L57+M57)/(1+Annahmen!$B$9)</f>
        <v>217.822641669086</v>
      </c>
      <c r="O57" s="24" t="n">
        <f aca="false">L57/(1+Annahmen!$B$9)</f>
        <v>190.726003013624</v>
      </c>
      <c r="P57" s="24" t="n">
        <f aca="false">N57*(Annahmen!$B$63*Annahmen!$B$83+(1-Annahmen!$B$63)*Annahmen!$B$84)+(I57*Annahmen!$B$62+I57*(1-Annahmen!$B$62)/12+IF($A57&gt;=Annahmen!$B$55,Annahmen!$B$64+Annahmen!$B$66,0))*(1-Annahmen!$B$63)*Annahmen!$B$85</f>
        <v>23.5883954053499</v>
      </c>
      <c r="Q57" s="25" t="n">
        <f aca="false">IF(D57=0,0,MIN(Annahmen!$B$189,Annahmen!$B$188*D57/(Annahmen!$B$188*D57+E57)))</f>
        <v>0.406417112299465</v>
      </c>
      <c r="R57" s="24" t="n">
        <f aca="false">O57*Q57*Annahmen!$B$196</f>
        <v>46.1210152742036</v>
      </c>
      <c r="S57" s="24" t="n">
        <f aca="false">Annahmen!$B$67*(Annahmen!$B$43+Annahmen!$B$154)</f>
        <v>259.483850895744</v>
      </c>
      <c r="T57" s="24" t="n">
        <f aca="false">IF($A57&gt;=Annahmen!$B$55,Annahmen!$B$64*(1-Annahmen!$B$65)*Annahmen!$B$44+(Annahmen!$B$64*Annahmen!$B$65+Annahmen!$B$66)*Annahmen!$B$45,0)</f>
        <v>15.6845378437918</v>
      </c>
      <c r="U57" s="24" t="n">
        <f aca="false">C57*Annahmen!$B$86</f>
        <v>11.7803734832661</v>
      </c>
      <c r="V57" s="24" t="n">
        <f aca="false">SUMPRODUCT((((Annahmen!$C$161:$C$174="monatlich")*(Annahmen!$D$161:$D$174&lt;=$A57))+((Annahmen!$C$161:$C$174="einmalig")*(Annahmen!$D$161:$D$174=$A57)))*Annahmen!$B$161:$B$174*Annahmen!$E$161:$E$174)</f>
        <v>69.9850799606897</v>
      </c>
      <c r="W57" s="24" t="n">
        <f aca="false">IF($A57&gt;=Annahmen!$B$55,Annahmen!$B$143,0)</f>
        <v>200</v>
      </c>
      <c r="X57" s="36" t="n">
        <f aca="false">MAX(0,(I57-Annahmen!$B$147)/Annahmen!$B$148)</f>
        <v>0</v>
      </c>
      <c r="Y57" s="24" t="n">
        <f aca="false">X57*Annahmen!$B$146</f>
        <v>0</v>
      </c>
      <c r="Z57" s="24" t="n">
        <f aca="false">N57-P57-R57-S57-T57-U57-V57-W57-Y57+AL57</f>
        <v>-351.730758815641</v>
      </c>
      <c r="AA57" s="24" t="n">
        <f aca="false">AA56+Z57</f>
        <v>-13999.0267976385</v>
      </c>
      <c r="AB57" s="17" t="n">
        <f aca="false">IF($A57&gt;=Annahmen!$B$180,Annahmen!$B$181,0)</f>
        <v>2</v>
      </c>
      <c r="AC57" s="17" t="n">
        <f aca="false">AB57*(1-Annahmen!$B$199)</f>
        <v>1.6</v>
      </c>
      <c r="AD57" s="24" t="n">
        <f aca="false">AC57*(Annahmen!$B$197+Annahmen!$B$198)+AB57*Annahmen!$B$155*Annahmen!$B$157</f>
        <v>581.6</v>
      </c>
      <c r="AE57" s="24" t="n">
        <f aca="false">AB57*(Annahmen!$B$48+Annahmen!$B$182*Annahmen!$B$11+Annahmen!$B$155*Annahmen!$B$154)</f>
        <v>31.7434865427531</v>
      </c>
      <c r="AF57" s="24" t="n">
        <f aca="false">AD57-AE57</f>
        <v>549.856513457247</v>
      </c>
      <c r="AG57" s="24" t="n">
        <f aca="false">Gesamt!J41-TÆLLA!Y41+Z57+AF57</f>
        <v>403.014026721544</v>
      </c>
      <c r="AH57" s="24" t="n">
        <f aca="false">AH56+AG57</f>
        <v>-4220.8287308384</v>
      </c>
      <c r="AI57" s="15" t="n">
        <f aca="false">IF(AG57&gt;0,1,0)</f>
        <v>1</v>
      </c>
      <c r="AJ57" s="15" t="n">
        <f aca="false">IF(AH57&gt;=0,1,0)</f>
        <v>0</v>
      </c>
      <c r="AK57" s="15" t="n">
        <f aca="false">MAX(0,C57-I57)</f>
        <v>1141.79704756637</v>
      </c>
      <c r="AL57" s="24" t="n">
        <f aca="false">IF($A57&gt;=Annahmen!$B$69,AK57*Annahmen!$B$70,0)</f>
        <v>57.0898523783184</v>
      </c>
      <c r="AM57" s="15" t="n">
        <f aca="false">IF($A57&lt;Annahmen!$B$55,0,IF($A57=Annahmen!$B$55,Annahmen!$B$56,AM56*(1+(Annahmen!$B$57+F57)*(1-C56/Annahmen!$B$58))))</f>
        <v>1088.03734832661</v>
      </c>
      <c r="AN57" s="15" t="n">
        <f aca="false">IF($A57&lt;Annahmen!$B$71,0,IF($A57&lt;Annahmen!$B$71+Annahmen!$B$73,Annahmen!$B$72,Annahmen!$B$72*Annahmen!$B$75))</f>
        <v>90</v>
      </c>
      <c r="AO57" s="7" t="n">
        <f aca="false">IF(Z57&gt;0,1,0)</f>
        <v>0</v>
      </c>
      <c r="AP57" s="7" t="n">
        <f aca="false">IF(AA57&gt;=0,1,0)</f>
        <v>0</v>
      </c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customFormat="false" ht="15" hidden="false" customHeight="false" outlineLevel="0" collapsed="false">
      <c r="A61" s="5" t="str">
        <f aca="false">"Szenario mittel – "&amp;Annahmen!$C$142</f>
        <v>Szenario mittel – profitabler Nebenerwerb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2"/>
      <c r="AP61" s="2"/>
    </row>
    <row r="62" customFormat="false" ht="42" hidden="false" customHeight="true" outlineLevel="0" collapsed="false">
      <c r="A62" s="35" t="s">
        <v>99</v>
      </c>
      <c r="B62" s="35" t="s">
        <v>359</v>
      </c>
      <c r="C62" s="35" t="s">
        <v>360</v>
      </c>
      <c r="D62" s="35" t="s">
        <v>596</v>
      </c>
      <c r="E62" s="35" t="s">
        <v>597</v>
      </c>
      <c r="F62" s="35" t="s">
        <v>598</v>
      </c>
      <c r="G62" s="35" t="s">
        <v>599</v>
      </c>
      <c r="H62" s="35" t="s">
        <v>361</v>
      </c>
      <c r="I62" s="35" t="s">
        <v>362</v>
      </c>
      <c r="J62" s="35" t="s">
        <v>363</v>
      </c>
      <c r="K62" s="35" t="s">
        <v>364</v>
      </c>
      <c r="L62" s="35" t="s">
        <v>365</v>
      </c>
      <c r="M62" s="35" t="s">
        <v>600</v>
      </c>
      <c r="N62" s="35" t="s">
        <v>372</v>
      </c>
      <c r="O62" s="35" t="s">
        <v>601</v>
      </c>
      <c r="P62" s="35" t="s">
        <v>373</v>
      </c>
      <c r="Q62" s="35" t="s">
        <v>602</v>
      </c>
      <c r="R62" s="35" t="s">
        <v>603</v>
      </c>
      <c r="S62" s="35" t="s">
        <v>604</v>
      </c>
      <c r="T62" s="35" t="s">
        <v>376</v>
      </c>
      <c r="U62" s="35" t="s">
        <v>377</v>
      </c>
      <c r="V62" s="35" t="s">
        <v>378</v>
      </c>
      <c r="W62" s="35" t="s">
        <v>379</v>
      </c>
      <c r="X62" s="35" t="s">
        <v>380</v>
      </c>
      <c r="Y62" s="35" t="s">
        <v>381</v>
      </c>
      <c r="Z62" s="35" t="s">
        <v>476</v>
      </c>
      <c r="AA62" s="35" t="s">
        <v>605</v>
      </c>
      <c r="AB62" s="35" t="s">
        <v>606</v>
      </c>
      <c r="AC62" s="35" t="s">
        <v>607</v>
      </c>
      <c r="AD62" s="35" t="s">
        <v>608</v>
      </c>
      <c r="AE62" s="35" t="s">
        <v>609</v>
      </c>
      <c r="AF62" s="35" t="s">
        <v>610</v>
      </c>
      <c r="AG62" s="35" t="s">
        <v>611</v>
      </c>
      <c r="AH62" s="35" t="s">
        <v>612</v>
      </c>
      <c r="AI62" s="35" t="s">
        <v>613</v>
      </c>
      <c r="AJ62" s="35" t="s">
        <v>614</v>
      </c>
      <c r="AK62" s="35" t="s">
        <v>384</v>
      </c>
      <c r="AL62" s="35" t="s">
        <v>385</v>
      </c>
      <c r="AM62" s="35" t="s">
        <v>386</v>
      </c>
      <c r="AN62" s="35" t="s">
        <v>387</v>
      </c>
      <c r="AO62" s="35" t="s">
        <v>388</v>
      </c>
      <c r="AP62" s="35" t="s">
        <v>389</v>
      </c>
    </row>
    <row r="63" customFormat="false" ht="15" hidden="false" customHeight="false" outlineLevel="0" collapsed="false">
      <c r="A63" s="7" t="n">
        <v>1</v>
      </c>
      <c r="B63" s="7" t="s">
        <v>390</v>
      </c>
      <c r="C63" s="15" t="n">
        <f aca="false">AM63+AN63</f>
        <v>0</v>
      </c>
      <c r="D63" s="17" t="n">
        <f aca="false">IF($A63&gt;=Annahmen!$C$180,Annahmen!$C$181,0)</f>
        <v>0</v>
      </c>
      <c r="E63" s="17" t="n">
        <f aca="false">Annahmen!$B$183+Annahmen!$C$67</f>
        <v>23</v>
      </c>
      <c r="F63" s="25" t="n">
        <f aca="false">MIN(Annahmen!$C$185,Annahmen!$C$184*D63/10)</f>
        <v>0</v>
      </c>
      <c r="G63" s="42" t="n">
        <f aca="false">MIN(Annahmen!$C$187,Annahmen!$C$186*D63/10)</f>
        <v>0</v>
      </c>
      <c r="H63" s="17" t="n">
        <f aca="false">IF($A63&gt;Annahmen!$B$68,INDEX($AM$63:$AM$86,$A63-Annahmen!$B$68),0)*(Annahmen!$C$59+G63)+IF($A63=Annahmen!$C$71+Annahmen!$B$73,Annahmen!$C$72*Annahmen!$C$74,0)</f>
        <v>0</v>
      </c>
      <c r="I63" s="17" t="n">
        <f aca="false">H63</f>
        <v>0</v>
      </c>
      <c r="J63" s="17" t="n">
        <f aca="false">I63*(1-Annahmen!$C$61)</f>
        <v>0</v>
      </c>
      <c r="K63" s="17" t="n">
        <f aca="false">I63*Annahmen!$C$61</f>
        <v>0</v>
      </c>
      <c r="L63" s="24" t="n">
        <f aca="false">J63*Annahmen!$C$87+K63*Annahmen!$C$88</f>
        <v>0</v>
      </c>
      <c r="M63" s="24" t="n">
        <f aca="false">IF($A63&gt;=Annahmen!$C$55,Annahmen!$C$64*((1-Annahmen!$C$65)*Annahmen!$B$80+Annahmen!$C$65*Annahmen!$B$81)+Annahmen!$C$66*Annahmen!$B$82,0)</f>
        <v>0</v>
      </c>
      <c r="N63" s="24" t="n">
        <f aca="false">(L63+M63)/(1+Annahmen!$B$9)</f>
        <v>0</v>
      </c>
      <c r="O63" s="24" t="n">
        <f aca="false">L63/(1+Annahmen!$B$9)</f>
        <v>0</v>
      </c>
      <c r="P63" s="24" t="n">
        <f aca="false">N63*(Annahmen!$C$63*Annahmen!$B$83+(1-Annahmen!$C$63)*Annahmen!$B$84)+(I63*Annahmen!$C$62+I63*(1-Annahmen!$C$62)/12+IF($A63&gt;=Annahmen!$C$55,Annahmen!$C$64+Annahmen!$C$66,0))*(1-Annahmen!$C$63)*Annahmen!$B$85</f>
        <v>0</v>
      </c>
      <c r="Q63" s="25" t="n">
        <f aca="false">IF(D63=0,0,MIN(Annahmen!$B$189,Annahmen!$C$188*D63/(Annahmen!$C$188*D63+E63)))</f>
        <v>0</v>
      </c>
      <c r="R63" s="24" t="n">
        <f aca="false">O63*Q63*Annahmen!$B$196</f>
        <v>0</v>
      </c>
      <c r="S63" s="24" t="n">
        <f aca="false">Annahmen!$C$67*(Annahmen!$B$43+Annahmen!$B$154)</f>
        <v>518.967701791488</v>
      </c>
      <c r="T63" s="24" t="n">
        <f aca="false">IF($A63&gt;=Annahmen!$C$55,Annahmen!$C$64*(1-Annahmen!$C$65)*Annahmen!$B$44+(Annahmen!$C$64*Annahmen!$C$65+Annahmen!$C$66)*Annahmen!$B$45,0)</f>
        <v>0</v>
      </c>
      <c r="U63" s="24" t="n">
        <f aca="false">C63*Annahmen!$B$86</f>
        <v>0</v>
      </c>
      <c r="V63" s="24" t="n">
        <f aca="false">SUMPRODUCT((((Annahmen!$C$161:$C$174="monatlich")*(Annahmen!$D$161:$D$174&lt;=$A63))+((Annahmen!$C$161:$C$174="einmalig")*(Annahmen!$D$161:$D$174=$A63)))*Annahmen!$B$161:$B$174*Annahmen!$E$161:$E$174)</f>
        <v>3518.26773742402</v>
      </c>
      <c r="W63" s="24" t="n">
        <f aca="false">IF($A63&gt;=Annahmen!$C$55,Annahmen!$C$143,0)</f>
        <v>0</v>
      </c>
      <c r="X63" s="36" t="n">
        <f aca="false">MAX(0,(I63-Annahmen!$B$147)/Annahmen!$B$148)</f>
        <v>0</v>
      </c>
      <c r="Y63" s="24" t="n">
        <f aca="false">X63*Annahmen!$B$146</f>
        <v>0</v>
      </c>
      <c r="Z63" s="24" t="n">
        <f aca="false">N63-P63-R63-S63-T63-U63-V63-W63-Y63+AL63</f>
        <v>-4037.23543921551</v>
      </c>
      <c r="AA63" s="24" t="n">
        <f aca="false">Z63</f>
        <v>-4037.23543921551</v>
      </c>
      <c r="AB63" s="17" t="n">
        <f aca="false">IF($A63&gt;=Annahmen!$C$180,Annahmen!$C$181,0)</f>
        <v>0</v>
      </c>
      <c r="AC63" s="17" t="n">
        <f aca="false">AB63*(1-Annahmen!$B$199)</f>
        <v>0</v>
      </c>
      <c r="AD63" s="24" t="n">
        <f aca="false">AC63*(Annahmen!$B$197+Annahmen!$B$198)+AB63*Annahmen!$C$155*Annahmen!$B$157</f>
        <v>0</v>
      </c>
      <c r="AE63" s="24" t="n">
        <f aca="false">AB63*(Annahmen!$B$48+Annahmen!$B$182*Annahmen!$B$11+Annahmen!$C$155*Annahmen!$B$154)</f>
        <v>0</v>
      </c>
      <c r="AF63" s="24" t="n">
        <f aca="false">AD63-AE63</f>
        <v>0</v>
      </c>
      <c r="AG63" s="24" t="n">
        <f aca="false">Gesamt!J47-TÆLLA!Y47+Z63+AF63</f>
        <v>-6700.61194149295</v>
      </c>
      <c r="AH63" s="24" t="n">
        <f aca="false">AG63</f>
        <v>-6700.61194149295</v>
      </c>
      <c r="AI63" s="15" t="n">
        <f aca="false">IF(AG63&gt;0,1,0)</f>
        <v>0</v>
      </c>
      <c r="AJ63" s="15" t="n">
        <f aca="false">IF(AH63&gt;=0,1,0)</f>
        <v>0</v>
      </c>
      <c r="AK63" s="15" t="n">
        <f aca="false">MAX(0,C63-I63)</f>
        <v>0</v>
      </c>
      <c r="AL63" s="24" t="n">
        <f aca="false">IF($A63&gt;=Annahmen!$C$69,AK63*Annahmen!$C$70,0)</f>
        <v>0</v>
      </c>
      <c r="AM63" s="15" t="n">
        <f aca="false">IF($A63&lt;Annahmen!$C$55,0,Annahmen!$C$56)</f>
        <v>0</v>
      </c>
      <c r="AN63" s="15" t="n">
        <f aca="false">IF($A63&lt;Annahmen!$C$71,0,IF($A63&lt;Annahmen!$C$71+Annahmen!$B$73,Annahmen!$C$72,Annahmen!$C$72*Annahmen!$B$75))</f>
        <v>0</v>
      </c>
      <c r="AO63" s="7" t="n">
        <f aca="false">IF(Z63&gt;0,1,0)</f>
        <v>0</v>
      </c>
      <c r="AP63" s="7" t="n">
        <f aca="false">IF(AA63&gt;=0,1,0)</f>
        <v>0</v>
      </c>
    </row>
    <row r="64" customFormat="false" ht="15" hidden="false" customHeight="false" outlineLevel="0" collapsed="false">
      <c r="A64" s="7" t="n">
        <v>2</v>
      </c>
      <c r="B64" s="7" t="s">
        <v>391</v>
      </c>
      <c r="C64" s="15" t="n">
        <f aca="false">AM64+AN64</f>
        <v>0</v>
      </c>
      <c r="D64" s="17" t="n">
        <f aca="false">D63+IF($A64&gt;=Annahmen!$C$180,Annahmen!$C$181,0)</f>
        <v>0</v>
      </c>
      <c r="E64" s="17" t="n">
        <f aca="false">E63+Annahmen!$C$67</f>
        <v>31</v>
      </c>
      <c r="F64" s="25" t="n">
        <f aca="false">MIN(Annahmen!$C$185,Annahmen!$C$184*D64/10)</f>
        <v>0</v>
      </c>
      <c r="G64" s="42" t="n">
        <f aca="false">MIN(Annahmen!$C$187,Annahmen!$C$186*D64/10)</f>
        <v>0</v>
      </c>
      <c r="H64" s="17" t="n">
        <f aca="false">IF($A64&gt;Annahmen!$B$68,INDEX($AM$63:$AM$86,$A64-Annahmen!$B$68),0)*(Annahmen!$C$59+G64)+IF($A64=Annahmen!$C$71+Annahmen!$B$73,Annahmen!$C$72*Annahmen!$C$74,0)</f>
        <v>0</v>
      </c>
      <c r="I64" s="17" t="n">
        <f aca="false">I63*(1-Annahmen!$C$60)+H64</f>
        <v>0</v>
      </c>
      <c r="J64" s="17" t="n">
        <f aca="false">I64*(1-Annahmen!$C$61)</f>
        <v>0</v>
      </c>
      <c r="K64" s="17" t="n">
        <f aca="false">I64*Annahmen!$C$61</f>
        <v>0</v>
      </c>
      <c r="L64" s="24" t="n">
        <f aca="false">J64*Annahmen!$C$87+K64*Annahmen!$C$88</f>
        <v>0</v>
      </c>
      <c r="M64" s="24" t="n">
        <f aca="false">IF($A64&gt;=Annahmen!$C$55,Annahmen!$C$64*((1-Annahmen!$C$65)*Annahmen!$B$80+Annahmen!$C$65*Annahmen!$B$81)+Annahmen!$C$66*Annahmen!$B$82,0)</f>
        <v>0</v>
      </c>
      <c r="N64" s="24" t="n">
        <f aca="false">(L64+M64)/(1+Annahmen!$B$9)</f>
        <v>0</v>
      </c>
      <c r="O64" s="24" t="n">
        <f aca="false">L64/(1+Annahmen!$B$9)</f>
        <v>0</v>
      </c>
      <c r="P64" s="24" t="n">
        <f aca="false">N64*(Annahmen!$C$63*Annahmen!$B$83+(1-Annahmen!$C$63)*Annahmen!$B$84)+(I64*Annahmen!$C$62+I64*(1-Annahmen!$C$62)/12+IF($A64&gt;=Annahmen!$C$55,Annahmen!$C$64+Annahmen!$C$66,0))*(1-Annahmen!$C$63)*Annahmen!$B$85</f>
        <v>0</v>
      </c>
      <c r="Q64" s="25" t="n">
        <f aca="false">IF(D64=0,0,MIN(Annahmen!$B$189,Annahmen!$C$188*D64/(Annahmen!$C$188*D64+E64)))</f>
        <v>0</v>
      </c>
      <c r="R64" s="24" t="n">
        <f aca="false">O64*Q64*Annahmen!$B$196</f>
        <v>0</v>
      </c>
      <c r="S64" s="24" t="n">
        <f aca="false">Annahmen!$C$67*(Annahmen!$B$43+Annahmen!$B$154)</f>
        <v>518.967701791488</v>
      </c>
      <c r="T64" s="24" t="n">
        <f aca="false">IF($A64&gt;=Annahmen!$C$55,Annahmen!$C$64*(1-Annahmen!$C$65)*Annahmen!$B$44+(Annahmen!$C$64*Annahmen!$C$65+Annahmen!$C$66)*Annahmen!$B$45,0)</f>
        <v>0</v>
      </c>
      <c r="U64" s="24" t="n">
        <f aca="false">C64*Annahmen!$B$86</f>
        <v>0</v>
      </c>
      <c r="V64" s="24" t="n">
        <f aca="false">SUMPRODUCT((((Annahmen!$C$161:$C$174="monatlich")*(Annahmen!$D$161:$D$174&lt;=$A64))+((Annahmen!$C$161:$C$174="einmalig")*(Annahmen!$D$161:$D$174=$A64)))*Annahmen!$B$161:$B$174*Annahmen!$E$161:$E$174)</f>
        <v>92.3204681497364</v>
      </c>
      <c r="W64" s="24" t="n">
        <f aca="false">IF($A64&gt;=Annahmen!$C$55,Annahmen!$C$143,0)</f>
        <v>0</v>
      </c>
      <c r="X64" s="36" t="n">
        <f aca="false">MAX(0,(I64-Annahmen!$B$147)/Annahmen!$B$148)</f>
        <v>0</v>
      </c>
      <c r="Y64" s="24" t="n">
        <f aca="false">X64*Annahmen!$B$146</f>
        <v>0</v>
      </c>
      <c r="Z64" s="24" t="n">
        <f aca="false">N64-P64-R64-S64-T64-U64-V64-W64-Y64+AL64</f>
        <v>-611.288169941225</v>
      </c>
      <c r="AA64" s="24" t="n">
        <f aca="false">AA63+Z64</f>
        <v>-4648.52360915673</v>
      </c>
      <c r="AB64" s="17" t="n">
        <f aca="false">IF($A64&gt;=Annahmen!$C$180,Annahmen!$C$181,0)</f>
        <v>0</v>
      </c>
      <c r="AC64" s="17" t="n">
        <f aca="false">AB64*(1-Annahmen!$B$199)</f>
        <v>0</v>
      </c>
      <c r="AD64" s="24" t="n">
        <f aca="false">AC64*(Annahmen!$B$197+Annahmen!$B$198)+AB64*Annahmen!$C$155*Annahmen!$B$157</f>
        <v>0</v>
      </c>
      <c r="AE64" s="24" t="n">
        <f aca="false">AB64*(Annahmen!$B$48+Annahmen!$B$182*Annahmen!$B$11+Annahmen!$C$155*Annahmen!$B$154)</f>
        <v>0</v>
      </c>
      <c r="AF64" s="24" t="n">
        <f aca="false">AD64-AE64</f>
        <v>0</v>
      </c>
      <c r="AG64" s="24" t="n">
        <f aca="false">Gesamt!J48-TÆLLA!Y48+Z64+AF64</f>
        <v>-840.476233909776</v>
      </c>
      <c r="AH64" s="24" t="n">
        <f aca="false">AH63+AG64</f>
        <v>-7541.08817540272</v>
      </c>
      <c r="AI64" s="15" t="n">
        <f aca="false">IF(AG64&gt;0,1,0)</f>
        <v>0</v>
      </c>
      <c r="AJ64" s="15" t="n">
        <f aca="false">IF(AH64&gt;=0,1,0)</f>
        <v>0</v>
      </c>
      <c r="AK64" s="15" t="n">
        <f aca="false">MAX(0,C64-I64)</f>
        <v>0</v>
      </c>
      <c r="AL64" s="24" t="n">
        <f aca="false">IF($A64&gt;=Annahmen!$C$69,AK64*Annahmen!$C$70,0)</f>
        <v>0</v>
      </c>
      <c r="AM64" s="15" t="n">
        <f aca="false">IF($A64&lt;Annahmen!$C$55,0,IF($A64=Annahmen!$C$55,Annahmen!$C$56,AM63*(1+(Annahmen!$C$57+F64)*(1-C63/Annahmen!$C$58))))</f>
        <v>0</v>
      </c>
      <c r="AN64" s="15" t="n">
        <f aca="false">IF($A64&lt;Annahmen!$C$71,0,IF($A64&lt;Annahmen!$C$71+Annahmen!$B$73,Annahmen!$C$72,Annahmen!$C$72*Annahmen!$B$75))</f>
        <v>0</v>
      </c>
      <c r="AO64" s="7" t="n">
        <f aca="false">IF(Z64&gt;0,1,0)</f>
        <v>0</v>
      </c>
      <c r="AP64" s="7" t="n">
        <f aca="false">IF(AA64&gt;=0,1,0)</f>
        <v>0</v>
      </c>
    </row>
    <row r="65" customFormat="false" ht="15" hidden="false" customHeight="false" outlineLevel="0" collapsed="false">
      <c r="A65" s="7" t="n">
        <v>3</v>
      </c>
      <c r="B65" s="7" t="s">
        <v>392</v>
      </c>
      <c r="C65" s="15" t="n">
        <f aca="false">AM65+AN65</f>
        <v>500</v>
      </c>
      <c r="D65" s="17" t="n">
        <f aca="false">D64+IF($A65&gt;=Annahmen!$C$180,Annahmen!$C$181,0)</f>
        <v>0</v>
      </c>
      <c r="E65" s="17" t="n">
        <f aca="false">E64+Annahmen!$C$67</f>
        <v>39</v>
      </c>
      <c r="F65" s="25" t="n">
        <f aca="false">MIN(Annahmen!$C$185,Annahmen!$C$184*D65/10)</f>
        <v>0</v>
      </c>
      <c r="G65" s="42" t="n">
        <f aca="false">MIN(Annahmen!$C$187,Annahmen!$C$186*D65/10)</f>
        <v>0</v>
      </c>
      <c r="H65" s="17" t="n">
        <f aca="false">IF($A65&gt;Annahmen!$B$68,INDEX($AM$63:$AM$86,$A65-Annahmen!$B$68),0)*(Annahmen!$C$59+G65)+IF($A65=Annahmen!$C$71+Annahmen!$B$73,Annahmen!$C$72*Annahmen!$C$74,0)</f>
        <v>0</v>
      </c>
      <c r="I65" s="17" t="n">
        <f aca="false">I64*(1-Annahmen!$C$60)+H65</f>
        <v>0</v>
      </c>
      <c r="J65" s="17" t="n">
        <f aca="false">I65*(1-Annahmen!$C$61)</f>
        <v>0</v>
      </c>
      <c r="K65" s="17" t="n">
        <f aca="false">I65*Annahmen!$C$61</f>
        <v>0</v>
      </c>
      <c r="L65" s="24" t="n">
        <f aca="false">J65*Annahmen!$C$87+K65*Annahmen!$C$88</f>
        <v>0</v>
      </c>
      <c r="M65" s="24" t="n">
        <f aca="false">IF($A65&gt;=Annahmen!$C$55,Annahmen!$C$64*((1-Annahmen!$C$65)*Annahmen!$B$80+Annahmen!$C$65*Annahmen!$B$81)+Annahmen!$C$66*Annahmen!$B$82,0)</f>
        <v>206.48</v>
      </c>
      <c r="N65" s="24" t="n">
        <f aca="false">(L65+M65)/(1+Annahmen!$B$9)</f>
        <v>173.512605042017</v>
      </c>
      <c r="O65" s="24" t="n">
        <f aca="false">L65/(1+Annahmen!$B$9)</f>
        <v>0</v>
      </c>
      <c r="P65" s="24" t="n">
        <f aca="false">N65*(Annahmen!$C$63*Annahmen!$B$83+(1-Annahmen!$C$63)*Annahmen!$B$84)+(I65*Annahmen!$C$62+I65*(1-Annahmen!$C$62)/12+IF($A65&gt;=Annahmen!$C$55,Annahmen!$C$64+Annahmen!$C$66,0))*(1-Annahmen!$C$63)*Annahmen!$B$85</f>
        <v>14.6272899159664</v>
      </c>
      <c r="Q65" s="25" t="n">
        <f aca="false">IF(D65=0,0,MIN(Annahmen!$B$189,Annahmen!$C$188*D65/(Annahmen!$C$188*D65+E65)))</f>
        <v>0</v>
      </c>
      <c r="R65" s="24" t="n">
        <f aca="false">O65*Q65*Annahmen!$B$196</f>
        <v>0</v>
      </c>
      <c r="S65" s="24" t="n">
        <f aca="false">Annahmen!$C$67*(Annahmen!$B$43+Annahmen!$B$154)</f>
        <v>518.967701791488</v>
      </c>
      <c r="T65" s="24" t="n">
        <f aca="false">IF($A65&gt;=Annahmen!$C$55,Annahmen!$C$64*(1-Annahmen!$C$65)*Annahmen!$B$44+(Annahmen!$C$64*Annahmen!$C$65+Annahmen!$C$66)*Annahmen!$B$45,0)</f>
        <v>79.1744983854023</v>
      </c>
      <c r="U65" s="24" t="n">
        <f aca="false">C65*Annahmen!$B$86</f>
        <v>5</v>
      </c>
      <c r="V65" s="24" t="n">
        <f aca="false">SUMPRODUCT((((Annahmen!$C$161:$C$174="monatlich")*(Annahmen!$D$161:$D$174&lt;=$A65))+((Annahmen!$C$161:$C$174="einmalig")*(Annahmen!$D$161:$D$174=$A65)))*Annahmen!$B$161:$B$174*Annahmen!$E$161:$E$174)</f>
        <v>69.9850799606897</v>
      </c>
      <c r="W65" s="24" t="n">
        <f aca="false">IF($A65&gt;=Annahmen!$C$55,Annahmen!$C$143,0)</f>
        <v>500</v>
      </c>
      <c r="X65" s="36" t="n">
        <f aca="false">MAX(0,(I65-Annahmen!$B$147)/Annahmen!$B$148)</f>
        <v>0</v>
      </c>
      <c r="Y65" s="24" t="n">
        <f aca="false">X65*Annahmen!$B$146</f>
        <v>0</v>
      </c>
      <c r="Z65" s="24" t="n">
        <f aca="false">N65-P65-R65-S65-T65-U65-V65-W65-Y65+AL65</f>
        <v>-1014.24196501153</v>
      </c>
      <c r="AA65" s="24" t="n">
        <f aca="false">AA64+Z65</f>
        <v>-5662.76557416826</v>
      </c>
      <c r="AB65" s="17" t="n">
        <f aca="false">IF($A65&gt;=Annahmen!$C$180,Annahmen!$C$181,0)</f>
        <v>0</v>
      </c>
      <c r="AC65" s="17" t="n">
        <f aca="false">AB65*(1-Annahmen!$B$199)</f>
        <v>0</v>
      </c>
      <c r="AD65" s="24" t="n">
        <f aca="false">AC65*(Annahmen!$B$197+Annahmen!$B$198)+AB65*Annahmen!$C$155*Annahmen!$B$157</f>
        <v>0</v>
      </c>
      <c r="AE65" s="24" t="n">
        <f aca="false">AB65*(Annahmen!$B$48+Annahmen!$B$182*Annahmen!$B$11+Annahmen!$C$155*Annahmen!$B$154)</f>
        <v>0</v>
      </c>
      <c r="AF65" s="24" t="n">
        <f aca="false">AD65-AE65</f>
        <v>0</v>
      </c>
      <c r="AG65" s="24" t="n">
        <f aca="false">Gesamt!J49-TÆLLA!Y49+Z65+AF65</f>
        <v>-1593.43002898008</v>
      </c>
      <c r="AH65" s="24" t="n">
        <f aca="false">AH64+AG65</f>
        <v>-9134.5182043828</v>
      </c>
      <c r="AI65" s="15" t="n">
        <f aca="false">IF(AG65&gt;0,1,0)</f>
        <v>0</v>
      </c>
      <c r="AJ65" s="15" t="n">
        <f aca="false">IF(AH65&gt;=0,1,0)</f>
        <v>0</v>
      </c>
      <c r="AK65" s="15" t="n">
        <f aca="false">MAX(0,C65-I65)</f>
        <v>500</v>
      </c>
      <c r="AL65" s="24" t="n">
        <f aca="false">IF($A65&gt;=Annahmen!$C$69,AK65*Annahmen!$C$70,0)</f>
        <v>0</v>
      </c>
      <c r="AM65" s="15" t="n">
        <f aca="false">IF($A65&lt;Annahmen!$C$55,0,IF($A65=Annahmen!$C$55,Annahmen!$C$56,AM64*(1+(Annahmen!$C$57+F65)*(1-C64/Annahmen!$C$58))))</f>
        <v>500</v>
      </c>
      <c r="AN65" s="15" t="n">
        <f aca="false">IF($A65&lt;Annahmen!$C$71,0,IF($A65&lt;Annahmen!$C$71+Annahmen!$B$73,Annahmen!$C$72,Annahmen!$C$72*Annahmen!$B$75))</f>
        <v>0</v>
      </c>
      <c r="AO65" s="7" t="n">
        <f aca="false">IF(Z65&gt;0,1,0)</f>
        <v>0</v>
      </c>
      <c r="AP65" s="7" t="n">
        <f aca="false">IF(AA65&gt;=0,1,0)</f>
        <v>0</v>
      </c>
    </row>
    <row r="66" customFormat="false" ht="15" hidden="false" customHeight="false" outlineLevel="0" collapsed="false">
      <c r="A66" s="7" t="n">
        <v>4</v>
      </c>
      <c r="B66" s="7" t="s">
        <v>393</v>
      </c>
      <c r="C66" s="15" t="n">
        <f aca="false">AM66+AN66</f>
        <v>2077.30625</v>
      </c>
      <c r="D66" s="17" t="n">
        <f aca="false">D65+IF($A66&gt;=Annahmen!$C$180,Annahmen!$C$181,0)</f>
        <v>5</v>
      </c>
      <c r="E66" s="17" t="n">
        <f aca="false">E65+Annahmen!$C$67</f>
        <v>47</v>
      </c>
      <c r="F66" s="25" t="n">
        <f aca="false">MIN(Annahmen!$C$185,Annahmen!$C$184*D66/10)</f>
        <v>0.005</v>
      </c>
      <c r="G66" s="42" t="n">
        <f aca="false">MIN(Annahmen!$C$187,Annahmen!$C$186*D66/10)</f>
        <v>0.00025</v>
      </c>
      <c r="H66" s="17" t="n">
        <f aca="false">IF($A66&gt;Annahmen!$B$68,INDEX($AM$63:$AM$86,$A66-Annahmen!$B$68),0)*(Annahmen!$C$59+G66)+IF($A66=Annahmen!$C$71+Annahmen!$B$73,Annahmen!$C$72*Annahmen!$C$74,0)</f>
        <v>5.125</v>
      </c>
      <c r="I66" s="17" t="n">
        <f aca="false">I65*(1-Annahmen!$C$60)+H66</f>
        <v>5.125</v>
      </c>
      <c r="J66" s="17" t="n">
        <f aca="false">I66*(1-Annahmen!$C$61)</f>
        <v>3.075</v>
      </c>
      <c r="K66" s="17" t="n">
        <f aca="false">I66*Annahmen!$C$61</f>
        <v>2.05</v>
      </c>
      <c r="L66" s="24" t="n">
        <f aca="false">J66*Annahmen!$C$87+K66*Annahmen!$C$88</f>
        <v>32.4942083333333</v>
      </c>
      <c r="M66" s="24" t="n">
        <f aca="false">IF($A66&gt;=Annahmen!$C$55,Annahmen!$C$64*((1-Annahmen!$C$65)*Annahmen!$B$80+Annahmen!$C$65*Annahmen!$B$81)+Annahmen!$C$66*Annahmen!$B$82,0)</f>
        <v>206.48</v>
      </c>
      <c r="N66" s="24" t="n">
        <f aca="false">(L66+M66)/(1+Annahmen!$B$9)</f>
        <v>200.818662464986</v>
      </c>
      <c r="O66" s="24" t="n">
        <f aca="false">L66/(1+Annahmen!$B$9)</f>
        <v>27.3060574229692</v>
      </c>
      <c r="P66" s="24" t="n">
        <f aca="false">N66*(Annahmen!$C$63*Annahmen!$B$83+(1-Annahmen!$C$63)*Annahmen!$B$84)+(I66*Annahmen!$C$62+I66*(1-Annahmen!$C$62)/12+IF($A66&gt;=Annahmen!$C$55,Annahmen!$C$64+Annahmen!$C$66,0))*(1-Annahmen!$C$63)*Annahmen!$B$85</f>
        <v>17.285768820028</v>
      </c>
      <c r="Q66" s="25" t="n">
        <f aca="false">IF(D66=0,0,MIN(Annahmen!$B$189,Annahmen!$C$188*D66/(Annahmen!$C$188*D66+E66)))</f>
        <v>0.241935483870968</v>
      </c>
      <c r="R66" s="24" t="n">
        <f aca="false">O66*Q66*Annahmen!$B$196</f>
        <v>3.93075100806452</v>
      </c>
      <c r="S66" s="24" t="n">
        <f aca="false">Annahmen!$C$67*(Annahmen!$B$43+Annahmen!$B$154)</f>
        <v>518.967701791488</v>
      </c>
      <c r="T66" s="24" t="n">
        <f aca="false">IF($A66&gt;=Annahmen!$C$55,Annahmen!$C$64*(1-Annahmen!$C$65)*Annahmen!$B$44+(Annahmen!$C$64*Annahmen!$C$65+Annahmen!$C$66)*Annahmen!$B$45,0)</f>
        <v>79.1744983854023</v>
      </c>
      <c r="U66" s="24" t="n">
        <f aca="false">C66*Annahmen!$B$86</f>
        <v>20.7730625</v>
      </c>
      <c r="V66" s="24" t="n">
        <f aca="false">SUMPRODUCT((((Annahmen!$C$161:$C$174="monatlich")*(Annahmen!$D$161:$D$174&lt;=$A66))+((Annahmen!$C$161:$C$174="einmalig")*(Annahmen!$D$161:$D$174=$A66)))*Annahmen!$B$161:$B$174*Annahmen!$E$161:$E$174)</f>
        <v>69.9850799606897</v>
      </c>
      <c r="W66" s="24" t="n">
        <f aca="false">IF($A66&gt;=Annahmen!$C$55,Annahmen!$C$143,0)</f>
        <v>500</v>
      </c>
      <c r="X66" s="36" t="n">
        <f aca="false">MAX(0,(I66-Annahmen!$B$147)/Annahmen!$B$148)</f>
        <v>0</v>
      </c>
      <c r="Y66" s="24" t="n">
        <f aca="false">X66*Annahmen!$B$146</f>
        <v>0</v>
      </c>
      <c r="Z66" s="24" t="n">
        <f aca="false">N66-P66-R66-S66-T66-U66-V66-W66-Y66+AL66</f>
        <v>-1009.29820000069</v>
      </c>
      <c r="AA66" s="24" t="n">
        <f aca="false">AA65+Z66</f>
        <v>-6672.06377416895</v>
      </c>
      <c r="AB66" s="17" t="n">
        <f aca="false">IF($A66&gt;=Annahmen!$C$180,Annahmen!$C$181,0)</f>
        <v>5</v>
      </c>
      <c r="AC66" s="17" t="n">
        <f aca="false">AB66*(1-Annahmen!$B$199)</f>
        <v>4</v>
      </c>
      <c r="AD66" s="24" t="n">
        <f aca="false">AC66*(Annahmen!$B$197+Annahmen!$B$198)+AB66*Annahmen!$C$155*Annahmen!$B$157</f>
        <v>1481</v>
      </c>
      <c r="AE66" s="24" t="n">
        <f aca="false">AB66*(Annahmen!$B$48+Annahmen!$B$182*Annahmen!$B$11+Annahmen!$C$155*Annahmen!$B$154)</f>
        <v>97.3587163568827</v>
      </c>
      <c r="AF66" s="24" t="n">
        <f aca="false">AD66-AE66</f>
        <v>1383.64128364312</v>
      </c>
      <c r="AG66" s="24" t="n">
        <f aca="false">Gesamt!J50-TÆLLA!Y50+Z66+AF66</f>
        <v>1534.62569725853</v>
      </c>
      <c r="AH66" s="24" t="n">
        <f aca="false">AH65+AG66</f>
        <v>-7599.89250712428</v>
      </c>
      <c r="AI66" s="15" t="n">
        <f aca="false">IF(AG66&gt;0,1,0)</f>
        <v>1</v>
      </c>
      <c r="AJ66" s="15" t="n">
        <f aca="false">IF(AH66&gt;=0,1,0)</f>
        <v>0</v>
      </c>
      <c r="AK66" s="15" t="n">
        <f aca="false">MAX(0,C66-I66)</f>
        <v>2072.18125</v>
      </c>
      <c r="AL66" s="24" t="n">
        <f aca="false">IF($A66&gt;=Annahmen!$C$69,AK66*Annahmen!$C$70,0)</f>
        <v>0</v>
      </c>
      <c r="AM66" s="15" t="n">
        <f aca="false">IF($A66&lt;Annahmen!$C$55,0,IF($A66=Annahmen!$C$55,Annahmen!$C$56,AM65*(1+(Annahmen!$C$57+F66)*(1-C65/Annahmen!$C$58))))</f>
        <v>577.30625</v>
      </c>
      <c r="AN66" s="15" t="n">
        <f aca="false">IF($A66&lt;Annahmen!$C$71,0,IF($A66&lt;Annahmen!$C$71+Annahmen!$B$73,Annahmen!$C$72,Annahmen!$C$72*Annahmen!$B$75))</f>
        <v>1500</v>
      </c>
      <c r="AO66" s="7" t="n">
        <f aca="false">IF(Z66&gt;0,1,0)</f>
        <v>0</v>
      </c>
      <c r="AP66" s="7" t="n">
        <f aca="false">IF(AA66&gt;=0,1,0)</f>
        <v>0</v>
      </c>
    </row>
    <row r="67" customFormat="false" ht="15" hidden="false" customHeight="false" outlineLevel="0" collapsed="false">
      <c r="A67" s="7" t="n">
        <v>5</v>
      </c>
      <c r="B67" s="7" t="s">
        <v>394</v>
      </c>
      <c r="C67" s="15" t="n">
        <f aca="false">AM67+AN67</f>
        <v>2168.71585649497</v>
      </c>
      <c r="D67" s="17" t="n">
        <f aca="false">D66+IF($A67&gt;=Annahmen!$C$180,Annahmen!$C$181,0)</f>
        <v>10</v>
      </c>
      <c r="E67" s="17" t="n">
        <f aca="false">E66+Annahmen!$C$67</f>
        <v>55</v>
      </c>
      <c r="F67" s="25" t="n">
        <f aca="false">MIN(Annahmen!$C$185,Annahmen!$C$184*D67/10)</f>
        <v>0.01</v>
      </c>
      <c r="G67" s="42" t="n">
        <f aca="false">MIN(Annahmen!$C$187,Annahmen!$C$186*D67/10)</f>
        <v>0.0005</v>
      </c>
      <c r="H67" s="17" t="n">
        <f aca="false">IF($A67&gt;Annahmen!$B$68,INDEX($AM$63:$AM$86,$A67-Annahmen!$B$68),0)*(Annahmen!$C$59+G67)+IF($A67=Annahmen!$C$71+Annahmen!$B$73,Annahmen!$C$72*Annahmen!$C$74,0)</f>
        <v>6.061715625</v>
      </c>
      <c r="I67" s="17" t="n">
        <f aca="false">I66*(1-Annahmen!$C$60)+H67</f>
        <v>10.879215625</v>
      </c>
      <c r="J67" s="17" t="n">
        <f aca="false">I67*(1-Annahmen!$C$61)</f>
        <v>6.527529375</v>
      </c>
      <c r="K67" s="17" t="n">
        <f aca="false">I67*Annahmen!$C$61</f>
        <v>4.35168625</v>
      </c>
      <c r="L67" s="24" t="n">
        <f aca="false">J67*Annahmen!$C$87+K67*Annahmen!$C$88</f>
        <v>68.9778534677083</v>
      </c>
      <c r="M67" s="24" t="n">
        <f aca="false">IF($A67&gt;=Annahmen!$C$55,Annahmen!$C$64*((1-Annahmen!$C$65)*Annahmen!$B$80+Annahmen!$C$65*Annahmen!$B$81)+Annahmen!$C$66*Annahmen!$B$82,0)</f>
        <v>206.48</v>
      </c>
      <c r="N67" s="24" t="n">
        <f aca="false">(L67+M67)/(1+Annahmen!$B$9)</f>
        <v>231.47718778799</v>
      </c>
      <c r="O67" s="24" t="n">
        <f aca="false">L67/(1+Annahmen!$B$9)</f>
        <v>57.9645827459734</v>
      </c>
      <c r="P67" s="24" t="n">
        <f aca="false">N67*(Annahmen!$C$63*Annahmen!$B$83+(1-Annahmen!$C$63)*Annahmen!$B$84)+(I67*Annahmen!$C$62+I67*(1-Annahmen!$C$62)/12+IF($A67&gt;=Annahmen!$C$55,Annahmen!$C$64+Annahmen!$C$66,0))*(1-Annahmen!$C$63)*Annahmen!$B$85</f>
        <v>20.2706392294884</v>
      </c>
      <c r="Q67" s="25" t="n">
        <f aca="false">IF(D67=0,0,MIN(Annahmen!$B$189,Annahmen!$C$188*D67/(Annahmen!$C$188*D67+E67)))</f>
        <v>0.352941176470588</v>
      </c>
      <c r="R67" s="24" t="n">
        <f aca="false">O67*Q67*Annahmen!$B$196</f>
        <v>12.1725623766544</v>
      </c>
      <c r="S67" s="24" t="n">
        <f aca="false">Annahmen!$C$67*(Annahmen!$B$43+Annahmen!$B$154)</f>
        <v>518.967701791488</v>
      </c>
      <c r="T67" s="24" t="n">
        <f aca="false">IF($A67&gt;=Annahmen!$C$55,Annahmen!$C$64*(1-Annahmen!$C$65)*Annahmen!$B$44+(Annahmen!$C$64*Annahmen!$C$65+Annahmen!$C$66)*Annahmen!$B$45,0)</f>
        <v>79.1744983854023</v>
      </c>
      <c r="U67" s="24" t="n">
        <f aca="false">C67*Annahmen!$B$86</f>
        <v>21.6871585649497</v>
      </c>
      <c r="V67" s="24" t="n">
        <f aca="false">SUMPRODUCT((((Annahmen!$C$161:$C$174="monatlich")*(Annahmen!$D$161:$D$174&lt;=$A67))+((Annahmen!$C$161:$C$174="einmalig")*(Annahmen!$D$161:$D$174=$A67)))*Annahmen!$B$161:$B$174*Annahmen!$E$161:$E$174)</f>
        <v>309.98507996069</v>
      </c>
      <c r="W67" s="24" t="n">
        <f aca="false">IF($A67&gt;=Annahmen!$C$55,Annahmen!$C$143,0)</f>
        <v>500</v>
      </c>
      <c r="X67" s="36" t="n">
        <f aca="false">MAX(0,(I67-Annahmen!$B$147)/Annahmen!$B$148)</f>
        <v>0</v>
      </c>
      <c r="Y67" s="24" t="n">
        <f aca="false">X67*Annahmen!$B$146</f>
        <v>0</v>
      </c>
      <c r="Z67" s="24" t="n">
        <f aca="false">N67-P67-R67-S67-T67-U67-V67-W67-Y67+AL67</f>
        <v>-1230.78045252068</v>
      </c>
      <c r="AA67" s="24" t="n">
        <f aca="false">AA66+Z67</f>
        <v>-7902.84422668963</v>
      </c>
      <c r="AB67" s="17" t="n">
        <f aca="false">IF($A67&gt;=Annahmen!$C$180,Annahmen!$C$181,0)</f>
        <v>5</v>
      </c>
      <c r="AC67" s="17" t="n">
        <f aca="false">AB67*(1-Annahmen!$B$199)</f>
        <v>4</v>
      </c>
      <c r="AD67" s="24" t="n">
        <f aca="false">AC67*(Annahmen!$B$197+Annahmen!$B$198)+AB67*Annahmen!$C$155*Annahmen!$B$157</f>
        <v>1481</v>
      </c>
      <c r="AE67" s="24" t="n">
        <f aca="false">AB67*(Annahmen!$B$48+Annahmen!$B$182*Annahmen!$B$11+Annahmen!$C$155*Annahmen!$B$154)</f>
        <v>97.3587163568827</v>
      </c>
      <c r="AF67" s="24" t="n">
        <f aca="false">AD67-AE67</f>
        <v>1383.64128364312</v>
      </c>
      <c r="AG67" s="24" t="n">
        <f aca="false">Gesamt!J51-TÆLLA!Y51+Z67+AF67</f>
        <v>762.711902682458</v>
      </c>
      <c r="AH67" s="24" t="n">
        <f aca="false">AH66+AG67</f>
        <v>-6837.18060444182</v>
      </c>
      <c r="AI67" s="15" t="n">
        <f aca="false">IF(AG67&gt;0,1,0)</f>
        <v>1</v>
      </c>
      <c r="AJ67" s="15" t="n">
        <f aca="false">IF(AH67&gt;=0,1,0)</f>
        <v>0</v>
      </c>
      <c r="AK67" s="15" t="n">
        <f aca="false">MAX(0,C67-I67)</f>
        <v>2157.83664086997</v>
      </c>
      <c r="AL67" s="24" t="n">
        <f aca="false">IF($A67&gt;=Annahmen!$C$69,AK67*Annahmen!$C$70,0)</f>
        <v>0</v>
      </c>
      <c r="AM67" s="15" t="n">
        <f aca="false">IF($A67&lt;Annahmen!$C$55,0,IF($A67=Annahmen!$C$55,Annahmen!$C$56,AM66*(1+(Annahmen!$C$57+F67)*(1-C66/Annahmen!$C$58))))</f>
        <v>668.715856494969</v>
      </c>
      <c r="AN67" s="15" t="n">
        <f aca="false">IF($A67&lt;Annahmen!$C$71,0,IF($A67&lt;Annahmen!$C$71+Annahmen!$B$73,Annahmen!$C$72,Annahmen!$C$72*Annahmen!$B$75))</f>
        <v>1500</v>
      </c>
      <c r="AO67" s="7" t="n">
        <f aca="false">IF(Z67&gt;0,1,0)</f>
        <v>0</v>
      </c>
      <c r="AP67" s="7" t="n">
        <f aca="false">IF(AA67&gt;=0,1,0)</f>
        <v>0</v>
      </c>
    </row>
    <row r="68" customFormat="false" ht="15" hidden="false" customHeight="false" outlineLevel="0" collapsed="false">
      <c r="A68" s="7" t="n">
        <v>6</v>
      </c>
      <c r="B68" s="7" t="s">
        <v>395</v>
      </c>
      <c r="C68" s="15" t="n">
        <f aca="false">AM68+AN68</f>
        <v>2277.85751270443</v>
      </c>
      <c r="D68" s="17" t="n">
        <f aca="false">D67+IF($A68&gt;=Annahmen!$C$180,Annahmen!$C$181,0)</f>
        <v>15</v>
      </c>
      <c r="E68" s="17" t="n">
        <f aca="false">E67+Annahmen!$C$67</f>
        <v>63</v>
      </c>
      <c r="F68" s="25" t="n">
        <f aca="false">MIN(Annahmen!$C$185,Annahmen!$C$184*D68/10)</f>
        <v>0.015</v>
      </c>
      <c r="G68" s="42" t="n">
        <f aca="false">MIN(Annahmen!$C$187,Annahmen!$C$186*D68/10)</f>
        <v>0.00075</v>
      </c>
      <c r="H68" s="17" t="n">
        <f aca="false">IF($A68&gt;Annahmen!$B$68,INDEX($AM$63:$AM$86,$A68-Annahmen!$B$68),0)*(Annahmen!$C$59+G68)+IF($A68=Annahmen!$C$71+Annahmen!$B$73,Annahmen!$C$72*Annahmen!$C$74,0)</f>
        <v>7.18869545732091</v>
      </c>
      <c r="I68" s="17" t="n">
        <f aca="false">I67*(1-Annahmen!$C$60)+H68</f>
        <v>17.4151581448209</v>
      </c>
      <c r="J68" s="17" t="n">
        <f aca="false">I68*(1-Annahmen!$C$61)</f>
        <v>10.4490948868925</v>
      </c>
      <c r="K68" s="17" t="n">
        <f aca="false">I68*Annahmen!$C$61</f>
        <v>6.96606325792837</v>
      </c>
      <c r="L68" s="24" t="n">
        <f aca="false">J68*Annahmen!$C$87+K68*Annahmen!$C$88</f>
        <v>110.41790769088</v>
      </c>
      <c r="M68" s="24" t="n">
        <f aca="false">IF($A68&gt;=Annahmen!$C$55,Annahmen!$C$64*((1-Annahmen!$C$65)*Annahmen!$B$80+Annahmen!$C$65*Annahmen!$B$81)+Annahmen!$C$66*Annahmen!$B$82,0)</f>
        <v>206.48</v>
      </c>
      <c r="N68" s="24" t="n">
        <f aca="false">(L68+M68)/(1+Annahmen!$B$9)</f>
        <v>266.300762765445</v>
      </c>
      <c r="O68" s="24" t="n">
        <f aca="false">L68/(1+Annahmen!$B$9)</f>
        <v>92.7881577234282</v>
      </c>
      <c r="P68" s="24" t="n">
        <f aca="false">N68*(Annahmen!$C$63*Annahmen!$B$83+(1-Annahmen!$C$63)*Annahmen!$B$84)+(I68*Annahmen!$C$62+I68*(1-Annahmen!$C$62)/12+IF($A68&gt;=Annahmen!$C$55,Annahmen!$C$64+Annahmen!$C$66,0))*(1-Annahmen!$C$63)*Annahmen!$B$85</f>
        <v>23.6610129479475</v>
      </c>
      <c r="Q68" s="25" t="n">
        <f aca="false">IF(D68=0,0,MIN(Annahmen!$B$189,Annahmen!$C$188*D68/(Annahmen!$C$188*D68+E68)))</f>
        <v>0.416666666666667</v>
      </c>
      <c r="R68" s="24" t="n">
        <f aca="false">O68*Q68*Annahmen!$B$196</f>
        <v>23.0037307689332</v>
      </c>
      <c r="S68" s="24" t="n">
        <f aca="false">Annahmen!$C$67*(Annahmen!$B$43+Annahmen!$B$154)</f>
        <v>518.967701791488</v>
      </c>
      <c r="T68" s="24" t="n">
        <f aca="false">IF($A68&gt;=Annahmen!$C$55,Annahmen!$C$64*(1-Annahmen!$C$65)*Annahmen!$B$44+(Annahmen!$C$64*Annahmen!$C$65+Annahmen!$C$66)*Annahmen!$B$45,0)</f>
        <v>79.1744983854023</v>
      </c>
      <c r="U68" s="24" t="n">
        <f aca="false">C68*Annahmen!$B$86</f>
        <v>22.7785751270443</v>
      </c>
      <c r="V68" s="24" t="n">
        <f aca="false">SUMPRODUCT((((Annahmen!$C$161:$C$174="monatlich")*(Annahmen!$D$161:$D$174&lt;=$A68))+((Annahmen!$C$161:$C$174="einmalig")*(Annahmen!$D$161:$D$174=$A68)))*Annahmen!$B$161:$B$174*Annahmen!$E$161:$E$174)</f>
        <v>69.9850799606897</v>
      </c>
      <c r="W68" s="24" t="n">
        <f aca="false">IF($A68&gt;=Annahmen!$C$55,Annahmen!$C$143,0)</f>
        <v>500</v>
      </c>
      <c r="X68" s="36" t="n">
        <f aca="false">MAX(0,(I68-Annahmen!$B$147)/Annahmen!$B$148)</f>
        <v>0</v>
      </c>
      <c r="Y68" s="24" t="n">
        <f aca="false">X68*Annahmen!$B$146</f>
        <v>0</v>
      </c>
      <c r="Z68" s="24" t="n">
        <f aca="false">N68-P68-R68-S68-T68-U68-V68-W68-Y68+AL68</f>
        <v>-971.26983621606</v>
      </c>
      <c r="AA68" s="24" t="n">
        <f aca="false">AA67+Z68</f>
        <v>-8874.11406290569</v>
      </c>
      <c r="AB68" s="17" t="n">
        <f aca="false">IF($A68&gt;=Annahmen!$C$180,Annahmen!$C$181,0)</f>
        <v>5</v>
      </c>
      <c r="AC68" s="17" t="n">
        <f aca="false">AB68*(1-Annahmen!$B$199)</f>
        <v>4</v>
      </c>
      <c r="AD68" s="24" t="n">
        <f aca="false">AC68*(Annahmen!$B$197+Annahmen!$B$198)+AB68*Annahmen!$C$155*Annahmen!$B$157</f>
        <v>1481</v>
      </c>
      <c r="AE68" s="24" t="n">
        <f aca="false">AB68*(Annahmen!$B$48+Annahmen!$B$182*Annahmen!$B$11+Annahmen!$C$155*Annahmen!$B$154)</f>
        <v>97.3587163568827</v>
      </c>
      <c r="AF68" s="24" t="n">
        <f aca="false">AD68-AE68</f>
        <v>1383.64128364312</v>
      </c>
      <c r="AG68" s="24" t="n">
        <f aca="false">Gesamt!J52-TÆLLA!Y52+Z68+AF68</f>
        <v>1591.79097693101</v>
      </c>
      <c r="AH68" s="24" t="n">
        <f aca="false">AH67+AG68</f>
        <v>-5245.38962751081</v>
      </c>
      <c r="AI68" s="15" t="n">
        <f aca="false">IF(AG68&gt;0,1,0)</f>
        <v>1</v>
      </c>
      <c r="AJ68" s="15" t="n">
        <f aca="false">IF(AH68&gt;=0,1,0)</f>
        <v>0</v>
      </c>
      <c r="AK68" s="15" t="n">
        <f aca="false">MAX(0,C68-I68)</f>
        <v>2260.44235455961</v>
      </c>
      <c r="AL68" s="24" t="n">
        <f aca="false">IF($A68&gt;=Annahmen!$C$69,AK68*Annahmen!$C$70,0)</f>
        <v>0</v>
      </c>
      <c r="AM68" s="15" t="n">
        <f aca="false">IF($A68&lt;Annahmen!$C$55,0,IF($A68=Annahmen!$C$55,Annahmen!$C$56,AM67*(1+(Annahmen!$C$57+F68)*(1-C67/Annahmen!$C$58))))</f>
        <v>777.857512704426</v>
      </c>
      <c r="AN68" s="15" t="n">
        <f aca="false">IF($A68&lt;Annahmen!$C$71,0,IF($A68&lt;Annahmen!$C$71+Annahmen!$B$73,Annahmen!$C$72,Annahmen!$C$72*Annahmen!$B$75))</f>
        <v>1500</v>
      </c>
      <c r="AO68" s="7" t="n">
        <f aca="false">IF(Z68&gt;0,1,0)</f>
        <v>0</v>
      </c>
      <c r="AP68" s="7" t="n">
        <f aca="false">IF(AA68&gt;=0,1,0)</f>
        <v>0</v>
      </c>
    </row>
    <row r="69" customFormat="false" ht="15" hidden="false" customHeight="false" outlineLevel="0" collapsed="false">
      <c r="A69" s="7" t="n">
        <v>7</v>
      </c>
      <c r="B69" s="7" t="s">
        <v>396</v>
      </c>
      <c r="C69" s="15" t="n">
        <f aca="false">AM69+AN69</f>
        <v>1358.58721857192</v>
      </c>
      <c r="D69" s="17" t="n">
        <f aca="false">D68+IF($A69&gt;=Annahmen!$C$180,Annahmen!$C$181,0)</f>
        <v>20</v>
      </c>
      <c r="E69" s="17" t="n">
        <f aca="false">E68+Annahmen!$C$67</f>
        <v>71</v>
      </c>
      <c r="F69" s="25" t="n">
        <f aca="false">MIN(Annahmen!$C$185,Annahmen!$C$184*D69/10)</f>
        <v>0.02</v>
      </c>
      <c r="G69" s="42" t="n">
        <f aca="false">MIN(Annahmen!$C$187,Annahmen!$C$186*D69/10)</f>
        <v>0.001</v>
      </c>
      <c r="H69" s="17" t="n">
        <f aca="false">IF($A69&gt;Annahmen!$B$68,INDEX($AM$63:$AM$86,$A69-Annahmen!$B$68),0)*(Annahmen!$C$59+G69)+IF($A69=Annahmen!$C$71+Annahmen!$B$73,Annahmen!$C$72*Annahmen!$C$74,0)</f>
        <v>83.5564326397487</v>
      </c>
      <c r="I69" s="17" t="n">
        <f aca="false">I68*(1-Annahmen!$C$60)+H69</f>
        <v>99.9266812958803</v>
      </c>
      <c r="J69" s="17" t="n">
        <f aca="false">I69*(1-Annahmen!$C$61)</f>
        <v>59.9560087775282</v>
      </c>
      <c r="K69" s="17" t="n">
        <f aca="false">I69*Annahmen!$C$61</f>
        <v>39.9706725183521</v>
      </c>
      <c r="L69" s="24" t="n">
        <f aca="false">J69*Annahmen!$C$87+K69*Annahmen!$C$88</f>
        <v>633.568468309647</v>
      </c>
      <c r="M69" s="24" t="n">
        <f aca="false">IF($A69&gt;=Annahmen!$C$55,Annahmen!$C$64*((1-Annahmen!$C$65)*Annahmen!$B$80+Annahmen!$C$65*Annahmen!$B$81)+Annahmen!$C$66*Annahmen!$B$82,0)</f>
        <v>206.48</v>
      </c>
      <c r="N69" s="24" t="n">
        <f aca="false">(L69+M69)/(1+Annahmen!$B$9)</f>
        <v>705.923082613149</v>
      </c>
      <c r="O69" s="24" t="n">
        <f aca="false">L69/(1+Annahmen!$B$9)</f>
        <v>532.410477571132</v>
      </c>
      <c r="P69" s="24" t="n">
        <f aca="false">N69*(Annahmen!$C$63*Annahmen!$B$83+(1-Annahmen!$C$63)*Annahmen!$B$84)+(I69*Annahmen!$C$62+I69*(1-Annahmen!$C$62)/12+IF($A69&gt;=Annahmen!$C$55,Annahmen!$C$64+Annahmen!$C$66,0))*(1-Annahmen!$C$63)*Annahmen!$B$85</f>
        <v>66.4620165848419</v>
      </c>
      <c r="Q69" s="25" t="n">
        <f aca="false">IF(D69=0,0,MIN(Annahmen!$B$189,Annahmen!$C$188*D69/(Annahmen!$C$188*D69+E69)))</f>
        <v>0.458015267175573</v>
      </c>
      <c r="R69" s="24" t="n">
        <f aca="false">O69*Q69*Annahmen!$B$196</f>
        <v>145.092015643431</v>
      </c>
      <c r="S69" s="24" t="n">
        <f aca="false">Annahmen!$C$67*(Annahmen!$B$43+Annahmen!$B$154)</f>
        <v>518.967701791488</v>
      </c>
      <c r="T69" s="24" t="n">
        <f aca="false">IF($A69&gt;=Annahmen!$C$55,Annahmen!$C$64*(1-Annahmen!$C$65)*Annahmen!$B$44+(Annahmen!$C$64*Annahmen!$C$65+Annahmen!$C$66)*Annahmen!$B$45,0)</f>
        <v>79.1744983854023</v>
      </c>
      <c r="U69" s="24" t="n">
        <f aca="false">C69*Annahmen!$B$86</f>
        <v>13.5858721857192</v>
      </c>
      <c r="V69" s="24" t="n">
        <f aca="false">SUMPRODUCT((((Annahmen!$C$161:$C$174="monatlich")*(Annahmen!$D$161:$D$174&lt;=$A69))+((Annahmen!$C$161:$C$174="einmalig")*(Annahmen!$D$161:$D$174=$A69)))*Annahmen!$B$161:$B$174*Annahmen!$E$161:$E$174)</f>
        <v>69.9850799606897</v>
      </c>
      <c r="W69" s="24" t="n">
        <f aca="false">IF($A69&gt;=Annahmen!$C$55,Annahmen!$C$143,0)</f>
        <v>500</v>
      </c>
      <c r="X69" s="36" t="n">
        <f aca="false">MAX(0,(I69-Annahmen!$B$147)/Annahmen!$B$148)</f>
        <v>0</v>
      </c>
      <c r="Y69" s="24" t="n">
        <f aca="false">X69*Annahmen!$B$146</f>
        <v>0</v>
      </c>
      <c r="Z69" s="24" t="n">
        <f aca="false">N69-P69-R69-S69-T69-U69-V69-W69-Y69+AL69</f>
        <v>-687.344101938423</v>
      </c>
      <c r="AA69" s="24" t="n">
        <f aca="false">AA68+Z69</f>
        <v>-9561.45816484412</v>
      </c>
      <c r="AB69" s="17" t="n">
        <f aca="false">IF($A69&gt;=Annahmen!$C$180,Annahmen!$C$181,0)</f>
        <v>5</v>
      </c>
      <c r="AC69" s="17" t="n">
        <f aca="false">AB69*(1-Annahmen!$B$199)</f>
        <v>4</v>
      </c>
      <c r="AD69" s="24" t="n">
        <f aca="false">AC69*(Annahmen!$B$197+Annahmen!$B$198)+AB69*Annahmen!$C$155*Annahmen!$B$157</f>
        <v>1481</v>
      </c>
      <c r="AE69" s="24" t="n">
        <f aca="false">AB69*(Annahmen!$B$48+Annahmen!$B$182*Annahmen!$B$11+Annahmen!$C$155*Annahmen!$B$154)</f>
        <v>97.3587163568827</v>
      </c>
      <c r="AF69" s="24" t="n">
        <f aca="false">AD69-AE69</f>
        <v>1383.64128364312</v>
      </c>
      <c r="AG69" s="24" t="n">
        <f aca="false">Gesamt!J53-TÆLLA!Y53+Z69+AF69</f>
        <v>2531.70472857264</v>
      </c>
      <c r="AH69" s="24" t="n">
        <f aca="false">AH68+AG69</f>
        <v>-2713.68489893817</v>
      </c>
      <c r="AI69" s="15" t="n">
        <f aca="false">IF(AG69&gt;0,1,0)</f>
        <v>1</v>
      </c>
      <c r="AJ69" s="15" t="n">
        <f aca="false">IF(AH69&gt;=0,1,0)</f>
        <v>0</v>
      </c>
      <c r="AK69" s="15" t="n">
        <f aca="false">MAX(0,C69-I69)</f>
        <v>1258.66053727604</v>
      </c>
      <c r="AL69" s="24" t="n">
        <f aca="false">IF($A69&gt;=Annahmen!$C$69,AK69*Annahmen!$C$70,0)</f>
        <v>0</v>
      </c>
      <c r="AM69" s="15" t="n">
        <f aca="false">IF($A69&lt;Annahmen!$C$55,0,IF($A69=Annahmen!$C$55,Annahmen!$C$56,AM68*(1+(Annahmen!$C$57+F69)*(1-C68/Annahmen!$C$58))))</f>
        <v>908.58721857192</v>
      </c>
      <c r="AN69" s="15" t="n">
        <f aca="false">IF($A69&lt;Annahmen!$C$71,0,IF($A69&lt;Annahmen!$C$71+Annahmen!$B$73,Annahmen!$C$72,Annahmen!$C$72*Annahmen!$B$75))</f>
        <v>450</v>
      </c>
      <c r="AO69" s="7" t="n">
        <f aca="false">IF(Z69&gt;0,1,0)</f>
        <v>0</v>
      </c>
      <c r="AP69" s="7" t="n">
        <f aca="false">IF(AA69&gt;=0,1,0)</f>
        <v>0</v>
      </c>
    </row>
    <row r="70" customFormat="false" ht="15" hidden="false" customHeight="false" outlineLevel="0" collapsed="false">
      <c r="A70" s="7" t="n">
        <v>8</v>
      </c>
      <c r="B70" s="7" t="s">
        <v>397</v>
      </c>
      <c r="C70" s="15" t="n">
        <f aca="false">AM70+AN70</f>
        <v>1516.50988621266</v>
      </c>
      <c r="D70" s="17" t="n">
        <f aca="false">D69+IF($A70&gt;=Annahmen!$C$180,Annahmen!$C$181,0)</f>
        <v>25</v>
      </c>
      <c r="E70" s="17" t="n">
        <f aca="false">E69+Annahmen!$C$67</f>
        <v>79</v>
      </c>
      <c r="F70" s="25" t="n">
        <f aca="false">MIN(Annahmen!$C$185,Annahmen!$C$184*D70/10)</f>
        <v>0.025</v>
      </c>
      <c r="G70" s="42" t="n">
        <f aca="false">MIN(Annahmen!$C$187,Annahmen!$C$186*D70/10)</f>
        <v>0.00125</v>
      </c>
      <c r="H70" s="17" t="n">
        <f aca="false">IF($A70&gt;Annahmen!$B$68,INDEX($AM$63:$AM$86,$A70-Annahmen!$B$68),0)*(Annahmen!$C$59+G70)+IF($A70=Annahmen!$C$71+Annahmen!$B$73,Annahmen!$C$72*Annahmen!$C$74,0)</f>
        <v>10.2216062089341</v>
      </c>
      <c r="I70" s="17" t="n">
        <f aca="false">I69*(1-Annahmen!$C$60)+H70</f>
        <v>104.152686627062</v>
      </c>
      <c r="J70" s="17" t="n">
        <f aca="false">I70*(1-Annahmen!$C$61)</f>
        <v>62.491611976237</v>
      </c>
      <c r="K70" s="17" t="n">
        <f aca="false">I70*Annahmen!$C$61</f>
        <v>41.6610746508247</v>
      </c>
      <c r="L70" s="24" t="n">
        <f aca="false">J70*Annahmen!$C$87+K70*Annahmen!$C$88</f>
        <v>660.36275077778</v>
      </c>
      <c r="M70" s="24" t="n">
        <f aca="false">IF($A70&gt;=Annahmen!$C$55,Annahmen!$C$64*((1-Annahmen!$C$65)*Annahmen!$B$80+Annahmen!$C$65*Annahmen!$B$81)+Annahmen!$C$66*Annahmen!$B$82,0)</f>
        <v>206.48</v>
      </c>
      <c r="N70" s="24" t="n">
        <f aca="false">(L70+M70)/(1+Annahmen!$B$9)</f>
        <v>728.439286367882</v>
      </c>
      <c r="O70" s="24" t="n">
        <f aca="false">L70/(1+Annahmen!$B$9)</f>
        <v>554.926681325865</v>
      </c>
      <c r="P70" s="24" t="n">
        <f aca="false">N70*(Annahmen!$C$63*Annahmen!$B$83+(1-Annahmen!$C$63)*Annahmen!$B$84)+(I70*Annahmen!$C$62+I70*(1-Annahmen!$C$62)/12+IF($A70&gt;=Annahmen!$C$55,Annahmen!$C$64+Annahmen!$C$66,0))*(1-Annahmen!$C$63)*Annahmen!$B$85</f>
        <v>68.6541621499926</v>
      </c>
      <c r="Q70" s="25" t="n">
        <f aca="false">IF(D70=0,0,MIN(Annahmen!$B$189,Annahmen!$C$188*D70/(Annahmen!$C$188*D70+E70)))</f>
        <v>0.487012987012987</v>
      </c>
      <c r="R70" s="24" t="n">
        <f aca="false">O70*Q70*Annahmen!$B$196</f>
        <v>160.8026178842</v>
      </c>
      <c r="S70" s="24" t="n">
        <f aca="false">Annahmen!$C$67*(Annahmen!$B$43+Annahmen!$B$154)</f>
        <v>518.967701791488</v>
      </c>
      <c r="T70" s="24" t="n">
        <f aca="false">IF($A70&gt;=Annahmen!$C$55,Annahmen!$C$64*(1-Annahmen!$C$65)*Annahmen!$B$44+(Annahmen!$C$64*Annahmen!$C$65+Annahmen!$C$66)*Annahmen!$B$45,0)</f>
        <v>79.1744983854023</v>
      </c>
      <c r="U70" s="24" t="n">
        <f aca="false">C70*Annahmen!$B$86</f>
        <v>15.1650988621266</v>
      </c>
      <c r="V70" s="24" t="n">
        <f aca="false">SUMPRODUCT((((Annahmen!$C$161:$C$174="monatlich")*(Annahmen!$D$161:$D$174&lt;=$A70))+((Annahmen!$C$161:$C$174="einmalig")*(Annahmen!$D$161:$D$174=$A70)))*Annahmen!$B$161:$B$174*Annahmen!$E$161:$E$174)</f>
        <v>69.9850799606897</v>
      </c>
      <c r="W70" s="24" t="n">
        <f aca="false">IF($A70&gt;=Annahmen!$C$55,Annahmen!$C$143,0)</f>
        <v>500</v>
      </c>
      <c r="X70" s="36" t="n">
        <f aca="false">MAX(0,(I70-Annahmen!$B$147)/Annahmen!$B$148)</f>
        <v>0</v>
      </c>
      <c r="Y70" s="24" t="n">
        <f aca="false">X70*Annahmen!$B$146</f>
        <v>0</v>
      </c>
      <c r="Z70" s="24" t="n">
        <f aca="false">N70-P70-R70-S70-T70-U70-V70-W70-Y70+AL70</f>
        <v>-684.309872666017</v>
      </c>
      <c r="AA70" s="24" t="n">
        <f aca="false">AA69+Z70</f>
        <v>-10245.7680375101</v>
      </c>
      <c r="AB70" s="17" t="n">
        <f aca="false">IF($A70&gt;=Annahmen!$C$180,Annahmen!$C$181,0)</f>
        <v>5</v>
      </c>
      <c r="AC70" s="17" t="n">
        <f aca="false">AB70*(1-Annahmen!$B$199)</f>
        <v>4</v>
      </c>
      <c r="AD70" s="24" t="n">
        <f aca="false">AC70*(Annahmen!$B$197+Annahmen!$B$198)+AB70*Annahmen!$C$155*Annahmen!$B$157</f>
        <v>1481</v>
      </c>
      <c r="AE70" s="24" t="n">
        <f aca="false">AB70*(Annahmen!$B$48+Annahmen!$B$182*Annahmen!$B$11+Annahmen!$C$155*Annahmen!$B$154)</f>
        <v>97.3587163568827</v>
      </c>
      <c r="AF70" s="24" t="n">
        <f aca="false">AD70-AE70</f>
        <v>1383.64128364312</v>
      </c>
      <c r="AG70" s="24" t="n">
        <f aca="false">Gesamt!J54-TÆLLA!Y54+Z70+AF70</f>
        <v>2544.30741578897</v>
      </c>
      <c r="AH70" s="24" t="n">
        <f aca="false">AH69+AG70</f>
        <v>-169.377483149201</v>
      </c>
      <c r="AI70" s="15" t="n">
        <f aca="false">IF(AG70&gt;0,1,0)</f>
        <v>1</v>
      </c>
      <c r="AJ70" s="15" t="n">
        <f aca="false">IF(AH70&gt;=0,1,0)</f>
        <v>0</v>
      </c>
      <c r="AK70" s="15" t="n">
        <f aca="false">MAX(0,C70-I70)</f>
        <v>1412.3571995856</v>
      </c>
      <c r="AL70" s="24" t="n">
        <f aca="false">IF($A70&gt;=Annahmen!$C$69,AK70*Annahmen!$C$70,0)</f>
        <v>0</v>
      </c>
      <c r="AM70" s="15" t="n">
        <f aca="false">IF($A70&lt;Annahmen!$C$55,0,IF($A70=Annahmen!$C$55,Annahmen!$C$56,AM69*(1+(Annahmen!$C$57+F70)*(1-C69/Annahmen!$C$58))))</f>
        <v>1066.50988621266</v>
      </c>
      <c r="AN70" s="15" t="n">
        <f aca="false">IF($A70&lt;Annahmen!$C$71,0,IF($A70&lt;Annahmen!$C$71+Annahmen!$B$73,Annahmen!$C$72,Annahmen!$C$72*Annahmen!$B$75))</f>
        <v>450</v>
      </c>
      <c r="AO70" s="7" t="n">
        <f aca="false">IF(Z70&gt;0,1,0)</f>
        <v>0</v>
      </c>
      <c r="AP70" s="7" t="n">
        <f aca="false">IF(AA70&gt;=0,1,0)</f>
        <v>0</v>
      </c>
    </row>
    <row r="71" customFormat="false" ht="15" hidden="false" customHeight="false" outlineLevel="0" collapsed="false">
      <c r="A71" s="7" t="n">
        <v>9</v>
      </c>
      <c r="B71" s="7" t="s">
        <v>398</v>
      </c>
      <c r="C71" s="15" t="n">
        <f aca="false">AM71+AN71</f>
        <v>1707.02603022337</v>
      </c>
      <c r="D71" s="17" t="n">
        <f aca="false">D70+IF($A71&gt;=Annahmen!$C$180,Annahmen!$C$181,0)</f>
        <v>30</v>
      </c>
      <c r="E71" s="17" t="n">
        <f aca="false">E70+Annahmen!$C$67</f>
        <v>87</v>
      </c>
      <c r="F71" s="25" t="n">
        <f aca="false">MIN(Annahmen!$C$185,Annahmen!$C$184*D71/10)</f>
        <v>0.03</v>
      </c>
      <c r="G71" s="42" t="n">
        <f aca="false">MIN(Annahmen!$C$187,Annahmen!$C$186*D71/10)</f>
        <v>0.0015</v>
      </c>
      <c r="H71" s="17" t="n">
        <f aca="false">IF($A71&gt;Annahmen!$B$68,INDEX($AM$63:$AM$86,$A71-Annahmen!$B$68),0)*(Annahmen!$C$59+G71)+IF($A71=Annahmen!$C$71+Annahmen!$B$73,Annahmen!$C$72*Annahmen!$C$74,0)</f>
        <v>12.2648636914456</v>
      </c>
      <c r="I71" s="17" t="n">
        <f aca="false">I70*(1-Annahmen!$C$60)+H71</f>
        <v>110.168389120884</v>
      </c>
      <c r="J71" s="17" t="n">
        <f aca="false">I71*(1-Annahmen!$C$61)</f>
        <v>66.1010334725301</v>
      </c>
      <c r="K71" s="17" t="n">
        <f aca="false">I71*Annahmen!$C$61</f>
        <v>44.0673556483534</v>
      </c>
      <c r="L71" s="24" t="n">
        <f aca="false">J71*Annahmen!$C$87+K71*Annahmen!$C$88</f>
        <v>698.504309822775</v>
      </c>
      <c r="M71" s="24" t="n">
        <f aca="false">IF($A71&gt;=Annahmen!$C$55,Annahmen!$C$64*((1-Annahmen!$C$65)*Annahmen!$B$80+Annahmen!$C$65*Annahmen!$B$81)+Annahmen!$C$66*Annahmen!$B$82,0)</f>
        <v>206.48</v>
      </c>
      <c r="N71" s="24" t="n">
        <f aca="false">(L71+M71)/(1+Annahmen!$B$9)</f>
        <v>760.491016657794</v>
      </c>
      <c r="O71" s="24" t="n">
        <f aca="false">L71/(1+Annahmen!$B$9)</f>
        <v>586.978411615777</v>
      </c>
      <c r="P71" s="24" t="n">
        <f aca="false">N71*(Annahmen!$C$63*Annahmen!$B$83+(1-Annahmen!$C$63)*Annahmen!$B$84)+(I71*Annahmen!$C$62+I71*(1-Annahmen!$C$62)/12+IF($A71&gt;=Annahmen!$C$55,Annahmen!$C$64+Annahmen!$C$66,0))*(1-Annahmen!$C$63)*Annahmen!$B$85</f>
        <v>71.7746730130046</v>
      </c>
      <c r="Q71" s="25" t="n">
        <f aca="false">IF(D71=0,0,MIN(Annahmen!$B$189,Annahmen!$C$188*D71/(Annahmen!$C$188*D71+E71)))</f>
        <v>0.508474576271186</v>
      </c>
      <c r="R71" s="24" t="n">
        <f aca="false">O71*Q71*Annahmen!$B$196</f>
        <v>177.585841480367</v>
      </c>
      <c r="S71" s="24" t="n">
        <f aca="false">Annahmen!$C$67*(Annahmen!$B$43+Annahmen!$B$154)</f>
        <v>518.967701791488</v>
      </c>
      <c r="T71" s="24" t="n">
        <f aca="false">IF($A71&gt;=Annahmen!$C$55,Annahmen!$C$64*(1-Annahmen!$C$65)*Annahmen!$B$44+(Annahmen!$C$64*Annahmen!$C$65+Annahmen!$C$66)*Annahmen!$B$45,0)</f>
        <v>79.1744983854023</v>
      </c>
      <c r="U71" s="24" t="n">
        <f aca="false">C71*Annahmen!$B$86</f>
        <v>17.0702603022337</v>
      </c>
      <c r="V71" s="24" t="n">
        <f aca="false">SUMPRODUCT((((Annahmen!$C$161:$C$174="monatlich")*(Annahmen!$D$161:$D$174&lt;=$A71))+((Annahmen!$C$161:$C$174="einmalig")*(Annahmen!$D$161:$D$174=$A71)))*Annahmen!$B$161:$B$174*Annahmen!$E$161:$E$174)</f>
        <v>69.9850799606897</v>
      </c>
      <c r="W71" s="24" t="n">
        <f aca="false">IF($A71&gt;=Annahmen!$C$55,Annahmen!$C$143,0)</f>
        <v>500</v>
      </c>
      <c r="X71" s="36" t="n">
        <f aca="false">MAX(0,(I71-Annahmen!$B$147)/Annahmen!$B$148)</f>
        <v>0</v>
      </c>
      <c r="Y71" s="24" t="n">
        <f aca="false">X71*Annahmen!$B$146</f>
        <v>0</v>
      </c>
      <c r="Z71" s="24" t="n">
        <f aca="false">N71-P71-R71-S71-T71-U71-V71-W71-Y71+AL71</f>
        <v>-674.067038275391</v>
      </c>
      <c r="AA71" s="24" t="n">
        <f aca="false">AA70+Z71</f>
        <v>-10919.8350757855</v>
      </c>
      <c r="AB71" s="17" t="n">
        <f aca="false">IF($A71&gt;=Annahmen!$C$180,Annahmen!$C$181,0)</f>
        <v>5</v>
      </c>
      <c r="AC71" s="17" t="n">
        <f aca="false">AB71*(1-Annahmen!$B$199)</f>
        <v>4</v>
      </c>
      <c r="AD71" s="24" t="n">
        <f aca="false">AC71*(Annahmen!$B$197+Annahmen!$B$198)+AB71*Annahmen!$C$155*Annahmen!$B$157</f>
        <v>1481</v>
      </c>
      <c r="AE71" s="24" t="n">
        <f aca="false">AB71*(Annahmen!$B$48+Annahmen!$B$182*Annahmen!$B$11+Annahmen!$C$155*Annahmen!$B$154)</f>
        <v>97.3587163568827</v>
      </c>
      <c r="AF71" s="24" t="n">
        <f aca="false">AD71-AE71</f>
        <v>1383.64128364312</v>
      </c>
      <c r="AG71" s="24" t="n">
        <f aca="false">Gesamt!J55-TÆLLA!Y55+Z71+AF71</f>
        <v>2564.11870812352</v>
      </c>
      <c r="AH71" s="24" t="n">
        <f aca="false">AH70+AG71</f>
        <v>2394.74122497432</v>
      </c>
      <c r="AI71" s="15" t="n">
        <f aca="false">IF(AG71&gt;0,1,0)</f>
        <v>1</v>
      </c>
      <c r="AJ71" s="15" t="n">
        <f aca="false">IF(AH71&gt;=0,1,0)</f>
        <v>1</v>
      </c>
      <c r="AK71" s="15" t="n">
        <f aca="false">MAX(0,C71-I71)</f>
        <v>1596.85764110249</v>
      </c>
      <c r="AL71" s="24" t="n">
        <f aca="false">IF($A71&gt;=Annahmen!$C$69,AK71*Annahmen!$C$70,0)</f>
        <v>0</v>
      </c>
      <c r="AM71" s="15" t="n">
        <f aca="false">IF($A71&lt;Annahmen!$C$55,0,IF($A71=Annahmen!$C$55,Annahmen!$C$56,AM70*(1+(Annahmen!$C$57+F71)*(1-C70/Annahmen!$C$58))))</f>
        <v>1257.02603022337</v>
      </c>
      <c r="AN71" s="15" t="n">
        <f aca="false">IF($A71&lt;Annahmen!$C$71,0,IF($A71&lt;Annahmen!$C$71+Annahmen!$B$73,Annahmen!$C$72,Annahmen!$C$72*Annahmen!$B$75))</f>
        <v>450</v>
      </c>
      <c r="AO71" s="7" t="n">
        <f aca="false">IF(Z71&gt;0,1,0)</f>
        <v>0</v>
      </c>
      <c r="AP71" s="7" t="n">
        <f aca="false">IF(AA71&gt;=0,1,0)</f>
        <v>0</v>
      </c>
    </row>
    <row r="72" customFormat="false" ht="15" hidden="false" customHeight="false" outlineLevel="0" collapsed="false">
      <c r="A72" s="7" t="n">
        <v>10</v>
      </c>
      <c r="B72" s="7" t="s">
        <v>399</v>
      </c>
      <c r="C72" s="15" t="n">
        <f aca="false">AM72+AN72</f>
        <v>1937.59100287201</v>
      </c>
      <c r="D72" s="17" t="n">
        <f aca="false">D71+IF($A72&gt;=Annahmen!$C$180,Annahmen!$C$181,0)</f>
        <v>35</v>
      </c>
      <c r="E72" s="17" t="n">
        <f aca="false">E71+Annahmen!$C$67</f>
        <v>95</v>
      </c>
      <c r="F72" s="25" t="n">
        <f aca="false">MIN(Annahmen!$C$185,Annahmen!$C$184*D72/10)</f>
        <v>0.035</v>
      </c>
      <c r="G72" s="42" t="n">
        <f aca="false">MIN(Annahmen!$C$187,Annahmen!$C$186*D72/10)</f>
        <v>0.00175</v>
      </c>
      <c r="H72" s="17" t="n">
        <f aca="false">IF($A72&gt;Annahmen!$B$68,INDEX($AM$63:$AM$86,$A72-Annahmen!$B$68),0)*(Annahmen!$C$59+G72)+IF($A72=Annahmen!$C$71+Annahmen!$B$73,Annahmen!$C$72*Annahmen!$C$74,0)</f>
        <v>14.7700558551246</v>
      </c>
      <c r="I72" s="17" t="n">
        <f aca="false">I71*(1-Annahmen!$C$60)+H72</f>
        <v>118.328341628755</v>
      </c>
      <c r="J72" s="17" t="n">
        <f aca="false">I72*(1-Annahmen!$C$61)</f>
        <v>70.9970049772531</v>
      </c>
      <c r="K72" s="17" t="n">
        <f aca="false">I72*Annahmen!$C$61</f>
        <v>47.3313366515021</v>
      </c>
      <c r="L72" s="24" t="n">
        <f aca="false">J72*Annahmen!$C$87+K72*Annahmen!$C$88</f>
        <v>750.24112870685</v>
      </c>
      <c r="M72" s="24" t="n">
        <f aca="false">IF($A72&gt;=Annahmen!$C$55,Annahmen!$C$64*((1-Annahmen!$C$65)*Annahmen!$B$80+Annahmen!$C$65*Annahmen!$B$81)+Annahmen!$C$66*Annahmen!$B$82,0)</f>
        <v>206.48</v>
      </c>
      <c r="N72" s="24" t="n">
        <f aca="false">(L72+M72)/(1+Annahmen!$B$9)</f>
        <v>803.967335047773</v>
      </c>
      <c r="O72" s="24" t="n">
        <f aca="false">L72/(1+Annahmen!$B$9)</f>
        <v>630.454730005757</v>
      </c>
      <c r="P72" s="24" t="n">
        <f aca="false">N72*(Annahmen!$C$63*Annahmen!$B$83+(1-Annahmen!$C$63)*Annahmen!$B$84)+(I72*Annahmen!$C$62+I72*(1-Annahmen!$C$62)/12+IF($A72&gt;=Annahmen!$C$55,Annahmen!$C$64+Annahmen!$C$66,0))*(1-Annahmen!$C$63)*Annahmen!$B$85</f>
        <v>76.0074655203844</v>
      </c>
      <c r="Q72" s="25" t="n">
        <f aca="false">IF(D72=0,0,MIN(Annahmen!$B$189,Annahmen!$C$188*D72/(Annahmen!$C$188*D72+E72)))</f>
        <v>0.525</v>
      </c>
      <c r="R72" s="24" t="n">
        <f aca="false">O72*Q72*Annahmen!$B$196</f>
        <v>196.938296285548</v>
      </c>
      <c r="S72" s="24" t="n">
        <f aca="false">Annahmen!$C$67*(Annahmen!$B$43+Annahmen!$B$154)</f>
        <v>518.967701791488</v>
      </c>
      <c r="T72" s="24" t="n">
        <f aca="false">IF($A72&gt;=Annahmen!$C$55,Annahmen!$C$64*(1-Annahmen!$C$65)*Annahmen!$B$44+(Annahmen!$C$64*Annahmen!$C$65+Annahmen!$C$66)*Annahmen!$B$45,0)</f>
        <v>79.1744983854023</v>
      </c>
      <c r="U72" s="24" t="n">
        <f aca="false">C72*Annahmen!$B$86</f>
        <v>19.3759100287201</v>
      </c>
      <c r="V72" s="24" t="n">
        <f aca="false">SUMPRODUCT((((Annahmen!$C$161:$C$174="monatlich")*(Annahmen!$D$161:$D$174&lt;=$A72))+((Annahmen!$C$161:$C$174="einmalig")*(Annahmen!$D$161:$D$174=$A72)))*Annahmen!$B$161:$B$174*Annahmen!$E$161:$E$174)</f>
        <v>69.9850799606897</v>
      </c>
      <c r="W72" s="24" t="n">
        <f aca="false">IF($A72&gt;=Annahmen!$C$55,Annahmen!$C$143,0)</f>
        <v>500</v>
      </c>
      <c r="X72" s="36" t="n">
        <f aca="false">MAX(0,(I72-Annahmen!$B$147)/Annahmen!$B$148)</f>
        <v>0</v>
      </c>
      <c r="Y72" s="24" t="n">
        <f aca="false">X72*Annahmen!$B$146</f>
        <v>0</v>
      </c>
      <c r="Z72" s="24" t="n">
        <f aca="false">N72-P72-R72-S72-T72-U72-V72-W72-Y72+AL72</f>
        <v>-474.555350800134</v>
      </c>
      <c r="AA72" s="24" t="n">
        <f aca="false">AA71+Z72</f>
        <v>-11394.3904265857</v>
      </c>
      <c r="AB72" s="17" t="n">
        <f aca="false">IF($A72&gt;=Annahmen!$C$180,Annahmen!$C$181,0)</f>
        <v>5</v>
      </c>
      <c r="AC72" s="17" t="n">
        <f aca="false">AB72*(1-Annahmen!$B$199)</f>
        <v>4</v>
      </c>
      <c r="AD72" s="24" t="n">
        <f aca="false">AC72*(Annahmen!$B$197+Annahmen!$B$198)+AB72*Annahmen!$C$155*Annahmen!$B$157</f>
        <v>1481</v>
      </c>
      <c r="AE72" s="24" t="n">
        <f aca="false">AB72*(Annahmen!$B$48+Annahmen!$B$182*Annahmen!$B$11+Annahmen!$C$155*Annahmen!$B$154)</f>
        <v>97.3587163568827</v>
      </c>
      <c r="AF72" s="24" t="n">
        <f aca="false">AD72-AE72</f>
        <v>1383.64128364312</v>
      </c>
      <c r="AG72" s="24" t="n">
        <f aca="false">Gesamt!J56-TÆLLA!Y56+Z72+AF72</f>
        <v>2963.86298190702</v>
      </c>
      <c r="AH72" s="24" t="n">
        <f aca="false">AH71+AG72</f>
        <v>5358.60420688134</v>
      </c>
      <c r="AI72" s="15" t="n">
        <f aca="false">IF(AG72&gt;0,1,0)</f>
        <v>1</v>
      </c>
      <c r="AJ72" s="15" t="n">
        <f aca="false">IF(AH72&gt;=0,1,0)</f>
        <v>1</v>
      </c>
      <c r="AK72" s="15" t="n">
        <f aca="false">MAX(0,C72-I72)</f>
        <v>1819.26266124325</v>
      </c>
      <c r="AL72" s="24" t="n">
        <f aca="false">IF($A72&gt;=Annahmen!$C$69,AK72*Annahmen!$C$70,0)</f>
        <v>181.926266124325</v>
      </c>
      <c r="AM72" s="15" t="n">
        <f aca="false">IF($A72&lt;Annahmen!$C$55,0,IF($A72=Annahmen!$C$55,Annahmen!$C$56,AM71*(1+(Annahmen!$C$57+F72)*(1-C71/Annahmen!$C$58))))</f>
        <v>1487.59100287201</v>
      </c>
      <c r="AN72" s="15" t="n">
        <f aca="false">IF($A72&lt;Annahmen!$C$71,0,IF($A72&lt;Annahmen!$C$71+Annahmen!$B$73,Annahmen!$C$72,Annahmen!$C$72*Annahmen!$B$75))</f>
        <v>450</v>
      </c>
      <c r="AO72" s="7" t="n">
        <f aca="false">IF(Z72&gt;0,1,0)</f>
        <v>0</v>
      </c>
      <c r="AP72" s="7" t="n">
        <f aca="false">IF(AA72&gt;=0,1,0)</f>
        <v>0</v>
      </c>
    </row>
    <row r="73" customFormat="false" ht="15" hidden="false" customHeight="false" outlineLevel="0" collapsed="false">
      <c r="A73" s="7" t="n">
        <v>11</v>
      </c>
      <c r="B73" s="7" t="s">
        <v>400</v>
      </c>
      <c r="C73" s="15" t="n">
        <f aca="false">AM73+AN73</f>
        <v>2217.49506762173</v>
      </c>
      <c r="D73" s="17" t="n">
        <f aca="false">D72+IF($A73&gt;=Annahmen!$C$180,Annahmen!$C$181,0)</f>
        <v>40</v>
      </c>
      <c r="E73" s="17" t="n">
        <f aca="false">E72+Annahmen!$C$67</f>
        <v>103</v>
      </c>
      <c r="F73" s="25" t="n">
        <f aca="false">MIN(Annahmen!$C$185,Annahmen!$C$184*D73/10)</f>
        <v>0.04</v>
      </c>
      <c r="G73" s="42" t="n">
        <f aca="false">MIN(Annahmen!$C$187,Annahmen!$C$186*D73/10)</f>
        <v>0.002</v>
      </c>
      <c r="H73" s="17" t="n">
        <f aca="false">IF($A73&gt;Annahmen!$B$68,INDEX($AM$63:$AM$86,$A73-Annahmen!$B$68),0)*(Annahmen!$C$59+G73)+IF($A73=Annahmen!$C$71+Annahmen!$B$73,Annahmen!$C$72*Annahmen!$C$74,0)</f>
        <v>17.8510920344641</v>
      </c>
      <c r="I73" s="17" t="n">
        <f aca="false">I72*(1-Annahmen!$C$60)+H73</f>
        <v>129.079733165494</v>
      </c>
      <c r="J73" s="17" t="n">
        <f aca="false">I73*(1-Annahmen!$C$61)</f>
        <v>77.4478398992963</v>
      </c>
      <c r="K73" s="17" t="n">
        <f aca="false">I73*Annahmen!$C$61</f>
        <v>51.6318932661976</v>
      </c>
      <c r="L73" s="24" t="n">
        <f aca="false">J73*Annahmen!$C$87+K73*Annahmen!$C$88</f>
        <v>818.408534846953</v>
      </c>
      <c r="M73" s="24" t="n">
        <f aca="false">IF($A73&gt;=Annahmen!$C$55,Annahmen!$C$64*((1-Annahmen!$C$65)*Annahmen!$B$80+Annahmen!$C$65*Annahmen!$B$81)+Annahmen!$C$66*Annahmen!$B$82,0)</f>
        <v>206.48</v>
      </c>
      <c r="N73" s="24" t="n">
        <f aca="false">(L73+M73)/(1+Annahmen!$B$9)</f>
        <v>861.250869619288</v>
      </c>
      <c r="O73" s="24" t="n">
        <f aca="false">L73/(1+Annahmen!$B$9)</f>
        <v>687.738264577272</v>
      </c>
      <c r="P73" s="24" t="n">
        <f aca="false">N73*(Annahmen!$C$63*Annahmen!$B$83+(1-Annahmen!$C$63)*Annahmen!$B$84)+(I73*Annahmen!$C$62+I73*(1-Annahmen!$C$62)/12+IF($A73&gt;=Annahmen!$C$55,Annahmen!$C$64+Annahmen!$C$66,0))*(1-Annahmen!$C$63)*Annahmen!$B$85</f>
        <v>81.5845089525262</v>
      </c>
      <c r="Q73" s="25" t="n">
        <f aca="false">IF(D73=0,0,MIN(Annahmen!$B$189,Annahmen!$C$188*D73/(Annahmen!$C$188*D73+E73)))</f>
        <v>0.538116591928251</v>
      </c>
      <c r="R73" s="24" t="n">
        <f aca="false">O73*Q73*Annahmen!$B$196</f>
        <v>220.199605788418</v>
      </c>
      <c r="S73" s="24" t="n">
        <f aca="false">Annahmen!$C$67*(Annahmen!$B$43+Annahmen!$B$154)</f>
        <v>518.967701791488</v>
      </c>
      <c r="T73" s="24" t="n">
        <f aca="false">IF($A73&gt;=Annahmen!$C$55,Annahmen!$C$64*(1-Annahmen!$C$65)*Annahmen!$B$44+(Annahmen!$C$64*Annahmen!$C$65+Annahmen!$C$66)*Annahmen!$B$45,0)</f>
        <v>79.1744983854023</v>
      </c>
      <c r="U73" s="24" t="n">
        <f aca="false">C73*Annahmen!$B$86</f>
        <v>22.1749506762173</v>
      </c>
      <c r="V73" s="24" t="n">
        <f aca="false">SUMPRODUCT((((Annahmen!$C$161:$C$174="monatlich")*(Annahmen!$D$161:$D$174&lt;=$A73))+((Annahmen!$C$161:$C$174="einmalig")*(Annahmen!$D$161:$D$174=$A73)))*Annahmen!$B$161:$B$174*Annahmen!$E$161:$E$174)</f>
        <v>69.9850799606897</v>
      </c>
      <c r="W73" s="24" t="n">
        <f aca="false">IF($A73&gt;=Annahmen!$C$55,Annahmen!$C$143,0)</f>
        <v>500</v>
      </c>
      <c r="X73" s="36" t="n">
        <f aca="false">MAX(0,(I73-Annahmen!$B$147)/Annahmen!$B$148)</f>
        <v>0</v>
      </c>
      <c r="Y73" s="24" t="n">
        <f aca="false">X73*Annahmen!$B$146</f>
        <v>0</v>
      </c>
      <c r="Z73" s="24" t="n">
        <f aca="false">N73-P73-R73-S73-T73-U73-V73-W73-Y73+AL73</f>
        <v>-421.99394248983</v>
      </c>
      <c r="AA73" s="24" t="n">
        <f aca="false">AA72+Z73</f>
        <v>-11816.3843690755</v>
      </c>
      <c r="AB73" s="17" t="n">
        <f aca="false">IF($A73&gt;=Annahmen!$C$180,Annahmen!$C$181,0)</f>
        <v>5</v>
      </c>
      <c r="AC73" s="17" t="n">
        <f aca="false">AB73*(1-Annahmen!$B$199)</f>
        <v>4</v>
      </c>
      <c r="AD73" s="24" t="n">
        <f aca="false">AC73*(Annahmen!$B$197+Annahmen!$B$198)+AB73*Annahmen!$C$155*Annahmen!$B$157</f>
        <v>1481</v>
      </c>
      <c r="AE73" s="24" t="n">
        <f aca="false">AB73*(Annahmen!$B$48+Annahmen!$B$182*Annahmen!$B$11+Annahmen!$C$155*Annahmen!$B$154)</f>
        <v>97.3587163568827</v>
      </c>
      <c r="AF73" s="24" t="n">
        <f aca="false">AD73-AE73</f>
        <v>1383.64128364312</v>
      </c>
      <c r="AG73" s="24" t="n">
        <f aca="false">Gesamt!J57-TÆLLA!Y57+Z73+AF73</f>
        <v>3025.99284816125</v>
      </c>
      <c r="AH73" s="24" t="n">
        <f aca="false">AH72+AG73</f>
        <v>8384.59705504259</v>
      </c>
      <c r="AI73" s="15" t="n">
        <f aca="false">IF(AG73&gt;0,1,0)</f>
        <v>1</v>
      </c>
      <c r="AJ73" s="15" t="n">
        <f aca="false">IF(AH73&gt;=0,1,0)</f>
        <v>1</v>
      </c>
      <c r="AK73" s="15" t="n">
        <f aca="false">MAX(0,C73-I73)</f>
        <v>2088.41533445623</v>
      </c>
      <c r="AL73" s="24" t="n">
        <f aca="false">IF($A73&gt;=Annahmen!$C$69,AK73*Annahmen!$C$70,0)</f>
        <v>208.841533445623</v>
      </c>
      <c r="AM73" s="15" t="n">
        <f aca="false">IF($A73&lt;Annahmen!$C$55,0,IF($A73=Annahmen!$C$55,Annahmen!$C$56,AM72*(1+(Annahmen!$C$57+F73)*(1-C72/Annahmen!$C$58))))</f>
        <v>1767.49506762172</v>
      </c>
      <c r="AN73" s="15" t="n">
        <f aca="false">IF($A73&lt;Annahmen!$C$71,0,IF($A73&lt;Annahmen!$C$71+Annahmen!$B$73,Annahmen!$C$72,Annahmen!$C$72*Annahmen!$B$75))</f>
        <v>450</v>
      </c>
      <c r="AO73" s="7" t="n">
        <f aca="false">IF(Z73&gt;0,1,0)</f>
        <v>0</v>
      </c>
      <c r="AP73" s="7" t="n">
        <f aca="false">IF(AA73&gt;=0,1,0)</f>
        <v>0</v>
      </c>
    </row>
    <row r="74" customFormat="false" ht="15" hidden="false" customHeight="false" outlineLevel="0" collapsed="false">
      <c r="A74" s="7" t="n">
        <v>12</v>
      </c>
      <c r="B74" s="7" t="s">
        <v>401</v>
      </c>
      <c r="C74" s="15" t="n">
        <f aca="false">AM74+AN74</f>
        <v>2558.33517950333</v>
      </c>
      <c r="D74" s="17" t="n">
        <f aca="false">D73+IF($A74&gt;=Annahmen!$C$180,Annahmen!$C$181,0)</f>
        <v>45</v>
      </c>
      <c r="E74" s="17" t="n">
        <f aca="false">E73+Annahmen!$C$67</f>
        <v>111</v>
      </c>
      <c r="F74" s="25" t="n">
        <f aca="false">MIN(Annahmen!$C$185,Annahmen!$C$184*D74/10)</f>
        <v>0.045</v>
      </c>
      <c r="G74" s="42" t="n">
        <f aca="false">MIN(Annahmen!$C$187,Annahmen!$C$186*D74/10)</f>
        <v>0.00225</v>
      </c>
      <c r="H74" s="17" t="n">
        <f aca="false">IF($A74&gt;Annahmen!$B$68,INDEX($AM$63:$AM$86,$A74-Annahmen!$B$68),0)*(Annahmen!$C$59+G74)+IF($A74=Annahmen!$C$71+Annahmen!$B$73,Annahmen!$C$72*Annahmen!$C$74,0)</f>
        <v>21.6518145783661</v>
      </c>
      <c r="I74" s="17" t="n">
        <f aca="false">I73*(1-Annahmen!$C$60)+H74</f>
        <v>142.98676375393</v>
      </c>
      <c r="J74" s="17" t="n">
        <f aca="false">I74*(1-Annahmen!$C$61)</f>
        <v>85.7920582523582</v>
      </c>
      <c r="K74" s="17" t="n">
        <f aca="false">I74*Annahmen!$C$61</f>
        <v>57.1947055015721</v>
      </c>
      <c r="L74" s="24" t="n">
        <f aca="false">J74*Annahmen!$C$87+K74*Annahmen!$C$88</f>
        <v>906.583744454503</v>
      </c>
      <c r="M74" s="24" t="n">
        <f aca="false">IF($A74&gt;=Annahmen!$C$55,Annahmen!$C$64*((1-Annahmen!$C$65)*Annahmen!$B$80+Annahmen!$C$65*Annahmen!$B$81)+Annahmen!$C$66*Annahmen!$B$82,0)</f>
        <v>206.48</v>
      </c>
      <c r="N74" s="24" t="n">
        <f aca="false">(L74+M74)/(1+Annahmen!$B$9)</f>
        <v>935.347684415549</v>
      </c>
      <c r="O74" s="24" t="n">
        <f aca="false">L74/(1+Annahmen!$B$9)</f>
        <v>761.835079373532</v>
      </c>
      <c r="P74" s="24" t="n">
        <f aca="false">N74*(Annahmen!$C$63*Annahmen!$B$83+(1-Annahmen!$C$63)*Annahmen!$B$84)+(I74*Annahmen!$C$62+I74*(1-Annahmen!$C$62)/12+IF($A74&gt;=Annahmen!$C$55,Annahmen!$C$64+Annahmen!$C$66,0))*(1-Annahmen!$C$63)*Annahmen!$B$85</f>
        <v>88.7984694281356</v>
      </c>
      <c r="Q74" s="25" t="n">
        <f aca="false">IF(D74=0,0,MIN(Annahmen!$B$189,Annahmen!$C$188*D74/(Annahmen!$C$188*D74+E74)))</f>
        <v>0.548780487804878</v>
      </c>
      <c r="R74" s="24" t="n">
        <f aca="false">O74*Q74*Annahmen!$B$196</f>
        <v>248.757734758858</v>
      </c>
      <c r="S74" s="24" t="n">
        <f aca="false">Annahmen!$C$67*(Annahmen!$B$43+Annahmen!$B$154)</f>
        <v>518.967701791488</v>
      </c>
      <c r="T74" s="24" t="n">
        <f aca="false">IF($A74&gt;=Annahmen!$C$55,Annahmen!$C$64*(1-Annahmen!$C$65)*Annahmen!$B$44+(Annahmen!$C$64*Annahmen!$C$65+Annahmen!$C$66)*Annahmen!$B$45,0)</f>
        <v>79.1744983854023</v>
      </c>
      <c r="U74" s="24" t="n">
        <f aca="false">C74*Annahmen!$B$86</f>
        <v>25.5833517950333</v>
      </c>
      <c r="V74" s="24" t="n">
        <f aca="false">SUMPRODUCT((((Annahmen!$C$161:$C$174="monatlich")*(Annahmen!$D$161:$D$174&lt;=$A74))+((Annahmen!$C$161:$C$174="einmalig")*(Annahmen!$D$161:$D$174=$A74)))*Annahmen!$B$161:$B$174*Annahmen!$E$161:$E$174)</f>
        <v>69.9850799606897</v>
      </c>
      <c r="W74" s="24" t="n">
        <f aca="false">IF($A74&gt;=Annahmen!$C$55,Annahmen!$C$143,0)</f>
        <v>500</v>
      </c>
      <c r="X74" s="36" t="n">
        <f aca="false">MAX(0,(I74-Annahmen!$B$147)/Annahmen!$B$148)</f>
        <v>0</v>
      </c>
      <c r="Y74" s="24" t="n">
        <f aca="false">X74*Annahmen!$B$146</f>
        <v>0</v>
      </c>
      <c r="Z74" s="24" t="n">
        <f aca="false">N74-P74-R74-S74-T74-U74-V74-W74-Y74+AL74</f>
        <v>-354.384310129118</v>
      </c>
      <c r="AA74" s="24" t="n">
        <f aca="false">AA73+Z74</f>
        <v>-12170.7686792046</v>
      </c>
      <c r="AB74" s="17" t="n">
        <f aca="false">IF($A74&gt;=Annahmen!$C$180,Annahmen!$C$181,0)</f>
        <v>5</v>
      </c>
      <c r="AC74" s="17" t="n">
        <f aca="false">AB74*(1-Annahmen!$B$199)</f>
        <v>4</v>
      </c>
      <c r="AD74" s="24" t="n">
        <f aca="false">AC74*(Annahmen!$B$197+Annahmen!$B$198)+AB74*Annahmen!$C$155*Annahmen!$B$157</f>
        <v>1481</v>
      </c>
      <c r="AE74" s="24" t="n">
        <f aca="false">AB74*(Annahmen!$B$48+Annahmen!$B$182*Annahmen!$B$11+Annahmen!$C$155*Annahmen!$B$154)</f>
        <v>97.3587163568827</v>
      </c>
      <c r="AF74" s="24" t="n">
        <f aca="false">AD74-AE74</f>
        <v>1383.64128364312</v>
      </c>
      <c r="AG74" s="24" t="n">
        <f aca="false">Gesamt!J58-TÆLLA!Y58+Z74+AF74</f>
        <v>3103.17093846588</v>
      </c>
      <c r="AH74" s="24" t="n">
        <f aca="false">AH73+AG74</f>
        <v>11487.7679935085</v>
      </c>
      <c r="AI74" s="15" t="n">
        <f aca="false">IF(AG74&gt;0,1,0)</f>
        <v>1</v>
      </c>
      <c r="AJ74" s="15" t="n">
        <f aca="false">IF(AH74&gt;=0,1,0)</f>
        <v>1</v>
      </c>
      <c r="AK74" s="15" t="n">
        <f aca="false">MAX(0,C74-I74)</f>
        <v>2415.3484157494</v>
      </c>
      <c r="AL74" s="24" t="n">
        <f aca="false">IF($A74&gt;=Annahmen!$C$69,AK74*Annahmen!$C$70,0)</f>
        <v>241.53484157494</v>
      </c>
      <c r="AM74" s="15" t="n">
        <f aca="false">IF($A74&lt;Annahmen!$C$55,0,IF($A74=Annahmen!$C$55,Annahmen!$C$56,AM73*(1+(Annahmen!$C$57+F74)*(1-C73/Annahmen!$C$58))))</f>
        <v>2108.33517950333</v>
      </c>
      <c r="AN74" s="15" t="n">
        <f aca="false">IF($A74&lt;Annahmen!$C$71,0,IF($A74&lt;Annahmen!$C$71+Annahmen!$B$73,Annahmen!$C$72,Annahmen!$C$72*Annahmen!$B$75))</f>
        <v>450</v>
      </c>
      <c r="AO74" s="7" t="n">
        <f aca="false">IF(Z74&gt;0,1,0)</f>
        <v>0</v>
      </c>
      <c r="AP74" s="7" t="n">
        <f aca="false">IF(AA74&gt;=0,1,0)</f>
        <v>0</v>
      </c>
    </row>
    <row r="75" customFormat="false" ht="15" hidden="false" customHeight="false" outlineLevel="0" collapsed="false">
      <c r="A75" s="7" t="n">
        <v>13</v>
      </c>
      <c r="B75" s="7" t="s">
        <v>402</v>
      </c>
      <c r="C75" s="15" t="n">
        <f aca="false">AM75+AN75</f>
        <v>2974.60838734408</v>
      </c>
      <c r="D75" s="17" t="n">
        <f aca="false">D74+IF($A75&gt;=Annahmen!$C$180,Annahmen!$C$181,0)</f>
        <v>50</v>
      </c>
      <c r="E75" s="17" t="n">
        <f aca="false">E74+Annahmen!$C$67</f>
        <v>119</v>
      </c>
      <c r="F75" s="25" t="n">
        <f aca="false">MIN(Annahmen!$C$185,Annahmen!$C$184*D75/10)</f>
        <v>0.05</v>
      </c>
      <c r="G75" s="42" t="n">
        <f aca="false">MIN(Annahmen!$C$187,Annahmen!$C$186*D75/10)</f>
        <v>0.0025</v>
      </c>
      <c r="H75" s="17" t="n">
        <f aca="false">IF($A75&gt;Annahmen!$B$68,INDEX($AM$63:$AM$86,$A75-Annahmen!$B$68),0)*(Annahmen!$C$59+G75)+IF($A75=Annahmen!$C$71+Annahmen!$B$73,Annahmen!$C$72*Annahmen!$C$74,0)</f>
        <v>26.3541897437916</v>
      </c>
      <c r="I75" s="17" t="n">
        <f aca="false">I74*(1-Annahmen!$C$60)+H75</f>
        <v>160.761747672486</v>
      </c>
      <c r="J75" s="17" t="n">
        <f aca="false">I75*(1-Annahmen!$C$61)</f>
        <v>96.4570486034917</v>
      </c>
      <c r="K75" s="17" t="n">
        <f aca="false">I75*Annahmen!$C$61</f>
        <v>64.3046990689945</v>
      </c>
      <c r="L75" s="24" t="n">
        <f aca="false">J75*Annahmen!$C$87+K75*Annahmen!$C$88</f>
        <v>1019.28306749279</v>
      </c>
      <c r="M75" s="24" t="n">
        <f aca="false">IF($A75&gt;=Annahmen!$C$55,Annahmen!$C$64*((1-Annahmen!$C$65)*Annahmen!$B$80+Annahmen!$C$65*Annahmen!$B$81)+Annahmen!$C$66*Annahmen!$B$82,0)</f>
        <v>206.48</v>
      </c>
      <c r="N75" s="24" t="n">
        <f aca="false">(L75+M75)/(1+Annahmen!$B$9)</f>
        <v>1030.0529978931</v>
      </c>
      <c r="O75" s="24" t="n">
        <f aca="false">L75/(1+Annahmen!$B$9)</f>
        <v>856.540392851081</v>
      </c>
      <c r="P75" s="24" t="n">
        <f aca="false">N75*(Annahmen!$C$63*Annahmen!$B$83+(1-Annahmen!$C$63)*Annahmen!$B$84)+(I75*Annahmen!$C$62+I75*(1-Annahmen!$C$62)/12+IF($A75&gt;=Annahmen!$C$55,Annahmen!$C$64+Annahmen!$C$66,0))*(1-Annahmen!$C$63)*Annahmen!$B$85</f>
        <v>98.018844016919</v>
      </c>
      <c r="Q75" s="25" t="n">
        <f aca="false">IF(D75=0,0,MIN(Annahmen!$B$189,Annahmen!$C$188*D75/(Annahmen!$C$188*D75+E75)))</f>
        <v>0.557620817843866</v>
      </c>
      <c r="R75" s="24" t="n">
        <f aca="false">O75*Q75*Annahmen!$B$196</f>
        <v>284.186728854866</v>
      </c>
      <c r="S75" s="24" t="n">
        <f aca="false">Annahmen!$C$67*(Annahmen!$B$43+Annahmen!$B$154)</f>
        <v>518.967701791488</v>
      </c>
      <c r="T75" s="24" t="n">
        <f aca="false">IF($A75&gt;=Annahmen!$C$55,Annahmen!$C$64*(1-Annahmen!$C$65)*Annahmen!$B$44+(Annahmen!$C$64*Annahmen!$C$65+Annahmen!$C$66)*Annahmen!$B$45,0)</f>
        <v>79.1744983854023</v>
      </c>
      <c r="U75" s="24" t="n">
        <f aca="false">C75*Annahmen!$B$86</f>
        <v>29.7460838734408</v>
      </c>
      <c r="V75" s="24" t="n">
        <f aca="false">SUMPRODUCT((((Annahmen!$C$161:$C$174="monatlich")*(Annahmen!$D$161:$D$174&lt;=$A75))+((Annahmen!$C$161:$C$174="einmalig")*(Annahmen!$D$161:$D$174=$A75)))*Annahmen!$B$161:$B$174*Annahmen!$E$161:$E$174)</f>
        <v>69.9850799606897</v>
      </c>
      <c r="W75" s="24" t="n">
        <f aca="false">IF($A75&gt;=Annahmen!$C$55,Annahmen!$C$143,0)</f>
        <v>500</v>
      </c>
      <c r="X75" s="36" t="n">
        <f aca="false">MAX(0,(I75-Annahmen!$B$147)/Annahmen!$B$148)</f>
        <v>0</v>
      </c>
      <c r="Y75" s="24" t="n">
        <f aca="false">X75*Annahmen!$B$146</f>
        <v>0</v>
      </c>
      <c r="Z75" s="24" t="n">
        <f aca="false">N75-P75-R75-S75-T75-U75-V75-W75-Y75+AL75</f>
        <v>-268.641275022549</v>
      </c>
      <c r="AA75" s="24" t="n">
        <f aca="false">AA74+Z75</f>
        <v>-12439.4099542272</v>
      </c>
      <c r="AB75" s="17" t="n">
        <f aca="false">IF($A75&gt;=Annahmen!$C$180,Annahmen!$C$181,0)</f>
        <v>5</v>
      </c>
      <c r="AC75" s="17" t="n">
        <f aca="false">AB75*(1-Annahmen!$B$199)</f>
        <v>4</v>
      </c>
      <c r="AD75" s="24" t="n">
        <f aca="false">AC75*(Annahmen!$B$197+Annahmen!$B$198)+AB75*Annahmen!$C$155*Annahmen!$B$157</f>
        <v>1481</v>
      </c>
      <c r="AE75" s="24" t="n">
        <f aca="false">AB75*(Annahmen!$B$48+Annahmen!$B$182*Annahmen!$B$11+Annahmen!$C$155*Annahmen!$B$154)</f>
        <v>97.3587163568827</v>
      </c>
      <c r="AF75" s="24" t="n">
        <f aca="false">AD75-AE75</f>
        <v>1383.64128364312</v>
      </c>
      <c r="AG75" s="24" t="n">
        <f aca="false">Gesamt!J59-TÆLLA!Y59+Z75+AF75</f>
        <v>3198.48243151638</v>
      </c>
      <c r="AH75" s="24" t="n">
        <f aca="false">AH74+AG75</f>
        <v>14686.2504250248</v>
      </c>
      <c r="AI75" s="15" t="n">
        <f aca="false">IF(AG75&gt;0,1,0)</f>
        <v>1</v>
      </c>
      <c r="AJ75" s="15" t="n">
        <f aca="false">IF(AH75&gt;=0,1,0)</f>
        <v>1</v>
      </c>
      <c r="AK75" s="15" t="n">
        <f aca="false">MAX(0,C75-I75)</f>
        <v>2813.8466396716</v>
      </c>
      <c r="AL75" s="24" t="n">
        <f aca="false">IF($A75&gt;=Annahmen!$C$69,AK75*Annahmen!$C$70,0)</f>
        <v>281.38466396716</v>
      </c>
      <c r="AM75" s="15" t="n">
        <f aca="false">IF($A75&lt;Annahmen!$C$55,0,IF($A75=Annahmen!$C$55,Annahmen!$C$56,AM74*(1+(Annahmen!$C$57+F75)*(1-C74/Annahmen!$C$58))))</f>
        <v>2524.60838734408</v>
      </c>
      <c r="AN75" s="15" t="n">
        <f aca="false">IF($A75&lt;Annahmen!$C$71,0,IF($A75&lt;Annahmen!$C$71+Annahmen!$B$73,Annahmen!$C$72,Annahmen!$C$72*Annahmen!$B$75))</f>
        <v>450</v>
      </c>
      <c r="AO75" s="7" t="n">
        <f aca="false">IF(Z75&gt;0,1,0)</f>
        <v>0</v>
      </c>
      <c r="AP75" s="7" t="n">
        <f aca="false">IF(AA75&gt;=0,1,0)</f>
        <v>0</v>
      </c>
    </row>
    <row r="76" customFormat="false" ht="15" hidden="false" customHeight="false" outlineLevel="0" collapsed="false">
      <c r="A76" s="7" t="n">
        <v>14</v>
      </c>
      <c r="B76" s="7" t="s">
        <v>403</v>
      </c>
      <c r="C76" s="15" t="n">
        <f aca="false">AM76+AN76</f>
        <v>3484.45564243377</v>
      </c>
      <c r="D76" s="17" t="n">
        <f aca="false">D75+IF($A76&gt;=Annahmen!$C$180,Annahmen!$C$181,0)</f>
        <v>55</v>
      </c>
      <c r="E76" s="17" t="n">
        <f aca="false">E75+Annahmen!$C$67</f>
        <v>127</v>
      </c>
      <c r="F76" s="25" t="n">
        <f aca="false">MIN(Annahmen!$C$185,Annahmen!$C$184*D76/10)</f>
        <v>0.055</v>
      </c>
      <c r="G76" s="42" t="n">
        <f aca="false">MIN(Annahmen!$C$187,Annahmen!$C$186*D76/10)</f>
        <v>0.00275</v>
      </c>
      <c r="H76" s="17" t="n">
        <f aca="false">IF($A76&gt;Annahmen!$B$68,INDEX($AM$63:$AM$86,$A76-Annahmen!$B$68),0)*(Annahmen!$C$59+G76)+IF($A76=Annahmen!$C$71+Annahmen!$B$73,Annahmen!$C$72*Annahmen!$C$74,0)</f>
        <v>32.1887569386371</v>
      </c>
      <c r="I76" s="17" t="n">
        <f aca="false">I75*(1-Annahmen!$C$60)+H76</f>
        <v>183.304799750774</v>
      </c>
      <c r="J76" s="17" t="n">
        <f aca="false">I76*(1-Annahmen!$C$61)</f>
        <v>109.982879850464</v>
      </c>
      <c r="K76" s="17" t="n">
        <f aca="false">I76*Annahmen!$C$61</f>
        <v>73.3219199003096</v>
      </c>
      <c r="L76" s="24" t="n">
        <f aca="false">J76*Annahmen!$C$87+K76*Annahmen!$C$88</f>
        <v>1162.21353201982</v>
      </c>
      <c r="M76" s="24" t="n">
        <f aca="false">IF($A76&gt;=Annahmen!$C$55,Annahmen!$C$64*((1-Annahmen!$C$65)*Annahmen!$B$80+Annahmen!$C$65*Annahmen!$B$81)+Annahmen!$C$66*Annahmen!$B$82,0)</f>
        <v>206.48</v>
      </c>
      <c r="N76" s="24" t="n">
        <f aca="false">(L76+M76)/(1+Annahmen!$B$9)</f>
        <v>1150.16263194943</v>
      </c>
      <c r="O76" s="24" t="n">
        <f aca="false">L76/(1+Annahmen!$B$9)</f>
        <v>976.650026907415</v>
      </c>
      <c r="P76" s="24" t="n">
        <f aca="false">N76*(Annahmen!$C$63*Annahmen!$B$83+(1-Annahmen!$C$63)*Annahmen!$B$84)+(I76*Annahmen!$C$62+I76*(1-Annahmen!$C$62)/12+IF($A76&gt;=Annahmen!$C$55,Annahmen!$C$64+Annahmen!$C$66,0))*(1-Annahmen!$C$63)*Annahmen!$B$85</f>
        <v>109.712547116098</v>
      </c>
      <c r="Q76" s="25" t="n">
        <f aca="false">IF(D76=0,0,MIN(Annahmen!$B$189,Annahmen!$C$188*D76/(Annahmen!$C$188*D76+E76)))</f>
        <v>0.565068493150685</v>
      </c>
      <c r="R76" s="24" t="n">
        <f aca="false">O76*Q76*Annahmen!$B$196</f>
        <v>328.365124628889</v>
      </c>
      <c r="S76" s="24" t="n">
        <f aca="false">Annahmen!$C$67*(Annahmen!$B$43+Annahmen!$B$154)</f>
        <v>518.967701791488</v>
      </c>
      <c r="T76" s="24" t="n">
        <f aca="false">IF($A76&gt;=Annahmen!$C$55,Annahmen!$C$64*(1-Annahmen!$C$65)*Annahmen!$B$44+(Annahmen!$C$64*Annahmen!$C$65+Annahmen!$C$66)*Annahmen!$B$45,0)</f>
        <v>79.1744983854023</v>
      </c>
      <c r="U76" s="24" t="n">
        <f aca="false">C76*Annahmen!$B$86</f>
        <v>34.8445564243377</v>
      </c>
      <c r="V76" s="24" t="n">
        <f aca="false">SUMPRODUCT((((Annahmen!$C$161:$C$174="monatlich")*(Annahmen!$D$161:$D$174&lt;=$A76))+((Annahmen!$C$161:$C$174="einmalig")*(Annahmen!$D$161:$D$174=$A76)))*Annahmen!$B$161:$B$174*Annahmen!$E$161:$E$174)</f>
        <v>69.9850799606897</v>
      </c>
      <c r="W76" s="24" t="n">
        <f aca="false">IF($A76&gt;=Annahmen!$C$55,Annahmen!$C$143,0)</f>
        <v>500</v>
      </c>
      <c r="X76" s="36" t="n">
        <f aca="false">MAX(0,(I76-Annahmen!$B$147)/Annahmen!$B$148)</f>
        <v>0</v>
      </c>
      <c r="Y76" s="24" t="n">
        <f aca="false">X76*Annahmen!$B$146</f>
        <v>0</v>
      </c>
      <c r="Z76" s="24" t="n">
        <f aca="false">N76-P76-R76-S76-T76-U76-V76-W76-Y76+AL76</f>
        <v>-160.771792089172</v>
      </c>
      <c r="AA76" s="24" t="n">
        <f aca="false">AA75+Z76</f>
        <v>-12600.1817463163</v>
      </c>
      <c r="AB76" s="17" t="n">
        <f aca="false">IF($A76&gt;=Annahmen!$C$180,Annahmen!$C$181,0)</f>
        <v>5</v>
      </c>
      <c r="AC76" s="17" t="n">
        <f aca="false">AB76*(1-Annahmen!$B$199)</f>
        <v>4</v>
      </c>
      <c r="AD76" s="24" t="n">
        <f aca="false">AC76*(Annahmen!$B$197+Annahmen!$B$198)+AB76*Annahmen!$C$155*Annahmen!$B$157</f>
        <v>1481</v>
      </c>
      <c r="AE76" s="24" t="n">
        <f aca="false">AB76*(Annahmen!$B$48+Annahmen!$B$182*Annahmen!$B$11+Annahmen!$C$155*Annahmen!$B$154)</f>
        <v>97.3587163568827</v>
      </c>
      <c r="AF76" s="24" t="n">
        <f aca="false">AD76-AE76</f>
        <v>1383.64128364312</v>
      </c>
      <c r="AG76" s="24" t="n">
        <f aca="false">Gesamt!J60-TÆLLA!Y60+Z76+AF76</f>
        <v>3315.92037239368</v>
      </c>
      <c r="AH76" s="24" t="n">
        <f aca="false">AH75+AG76</f>
        <v>18002.1707974185</v>
      </c>
      <c r="AI76" s="15" t="n">
        <f aca="false">IF(AG76&gt;0,1,0)</f>
        <v>1</v>
      </c>
      <c r="AJ76" s="15" t="n">
        <f aca="false">IF(AH76&gt;=0,1,0)</f>
        <v>1</v>
      </c>
      <c r="AK76" s="15" t="n">
        <f aca="false">MAX(0,C76-I76)</f>
        <v>3301.150842683</v>
      </c>
      <c r="AL76" s="24" t="n">
        <f aca="false">IF($A76&gt;=Annahmen!$C$69,AK76*Annahmen!$C$70,0)</f>
        <v>330.1150842683</v>
      </c>
      <c r="AM76" s="15" t="n">
        <f aca="false">IF($A76&lt;Annahmen!$C$55,0,IF($A76=Annahmen!$C$55,Annahmen!$C$56,AM75*(1+(Annahmen!$C$57+F76)*(1-C75/Annahmen!$C$58))))</f>
        <v>3034.45564243377</v>
      </c>
      <c r="AN76" s="15" t="n">
        <f aca="false">IF($A76&lt;Annahmen!$C$71,0,IF($A76&lt;Annahmen!$C$71+Annahmen!$B$73,Annahmen!$C$72,Annahmen!$C$72*Annahmen!$B$75))</f>
        <v>450</v>
      </c>
      <c r="AO76" s="7" t="n">
        <f aca="false">IF(Z76&gt;0,1,0)</f>
        <v>0</v>
      </c>
      <c r="AP76" s="7" t="n">
        <f aca="false">IF(AA76&gt;=0,1,0)</f>
        <v>0</v>
      </c>
    </row>
    <row r="77" customFormat="false" ht="15" hidden="false" customHeight="false" outlineLevel="0" collapsed="false">
      <c r="A77" s="7" t="n">
        <v>15</v>
      </c>
      <c r="B77" s="7" t="s">
        <v>404</v>
      </c>
      <c r="C77" s="15" t="n">
        <f aca="false">AM77+AN77</f>
        <v>4110.58922995562</v>
      </c>
      <c r="D77" s="17" t="n">
        <f aca="false">D76+IF($A77&gt;=Annahmen!$C$180,Annahmen!$C$181,0)</f>
        <v>60</v>
      </c>
      <c r="E77" s="17" t="n">
        <f aca="false">E76+Annahmen!$C$67</f>
        <v>135</v>
      </c>
      <c r="F77" s="25" t="n">
        <f aca="false">MIN(Annahmen!$C$185,Annahmen!$C$184*D77/10)</f>
        <v>0.06</v>
      </c>
      <c r="G77" s="42" t="n">
        <f aca="false">MIN(Annahmen!$C$187,Annahmen!$C$186*D77/10)</f>
        <v>0.003</v>
      </c>
      <c r="H77" s="17" t="n">
        <f aca="false">IF($A77&gt;Annahmen!$B$68,INDEX($AM$63:$AM$86,$A77-Annahmen!$B$68),0)*(Annahmen!$C$59+G77)+IF($A77=Annahmen!$C$71+Annahmen!$B$73,Annahmen!$C$72*Annahmen!$C$74,0)</f>
        <v>39.4479233516391</v>
      </c>
      <c r="I77" s="17" t="n">
        <f aca="false">I76*(1-Annahmen!$C$60)+H77</f>
        <v>211.754435117367</v>
      </c>
      <c r="J77" s="17" t="n">
        <f aca="false">I77*(1-Annahmen!$C$61)</f>
        <v>127.05266107042</v>
      </c>
      <c r="K77" s="17" t="n">
        <f aca="false">I77*Annahmen!$C$61</f>
        <v>84.7017740469467</v>
      </c>
      <c r="L77" s="24" t="n">
        <f aca="false">J77*Annahmen!$C$87+K77*Annahmen!$C$88</f>
        <v>1342.59370345581</v>
      </c>
      <c r="M77" s="24" t="n">
        <f aca="false">IF($A77&gt;=Annahmen!$C$55,Annahmen!$C$64*((1-Annahmen!$C$65)*Annahmen!$B$80+Annahmen!$C$65*Annahmen!$B$81)+Annahmen!$C$66*Annahmen!$B$82,0)</f>
        <v>206.48</v>
      </c>
      <c r="N77" s="24" t="n">
        <f aca="false">(L77+M77)/(1+Annahmen!$B$9)</f>
        <v>1301.74260794606</v>
      </c>
      <c r="O77" s="24" t="n">
        <f aca="false">L77/(1+Annahmen!$B$9)</f>
        <v>1128.23000290404</v>
      </c>
      <c r="P77" s="24" t="n">
        <f aca="false">N77*(Annahmen!$C$63*Annahmen!$B$83+(1-Annahmen!$C$63)*Annahmen!$B$84)+(I77*Annahmen!$C$62+I77*(1-Annahmen!$C$62)/12+IF($A77&gt;=Annahmen!$C$55,Annahmen!$C$64+Annahmen!$C$66,0))*(1-Annahmen!$C$63)*Annahmen!$B$85</f>
        <v>124.470157935675</v>
      </c>
      <c r="Q77" s="25" t="n">
        <f aca="false">IF(D77=0,0,MIN(Annahmen!$B$189,Annahmen!$C$188*D77/(Annahmen!$C$188*D77+E77)))</f>
        <v>0.571428571428571</v>
      </c>
      <c r="R77" s="24" t="n">
        <f aca="false">O77*Q77*Annahmen!$B$196</f>
        <v>383.598200987374</v>
      </c>
      <c r="S77" s="24" t="n">
        <f aca="false">Annahmen!$C$67*(Annahmen!$B$43+Annahmen!$B$154)</f>
        <v>518.967701791488</v>
      </c>
      <c r="T77" s="24" t="n">
        <f aca="false">IF($A77&gt;=Annahmen!$C$55,Annahmen!$C$64*(1-Annahmen!$C$65)*Annahmen!$B$44+(Annahmen!$C$64*Annahmen!$C$65+Annahmen!$C$66)*Annahmen!$B$45,0)</f>
        <v>79.1744983854023</v>
      </c>
      <c r="U77" s="24" t="n">
        <f aca="false">C77*Annahmen!$B$86</f>
        <v>41.1058922995562</v>
      </c>
      <c r="V77" s="24" t="n">
        <f aca="false">SUMPRODUCT((((Annahmen!$C$161:$C$174="monatlich")*(Annahmen!$D$161:$D$174&lt;=$A77))+((Annahmen!$C$161:$C$174="einmalig")*(Annahmen!$D$161:$D$174=$A77)))*Annahmen!$B$161:$B$174*Annahmen!$E$161:$E$174)</f>
        <v>69.9850799606897</v>
      </c>
      <c r="W77" s="24" t="n">
        <f aca="false">IF($A77&gt;=Annahmen!$C$55,Annahmen!$C$143,0)</f>
        <v>500</v>
      </c>
      <c r="X77" s="36" t="n">
        <f aca="false">MAX(0,(I77-Annahmen!$B$147)/Annahmen!$B$148)</f>
        <v>0</v>
      </c>
      <c r="Y77" s="24" t="n">
        <f aca="false">X77*Annahmen!$B$146</f>
        <v>0</v>
      </c>
      <c r="Z77" s="24" t="n">
        <f aca="false">N77-P77-R77-S77-T77-U77-V77-W77-Y77+AL77</f>
        <v>-25.6754439303004</v>
      </c>
      <c r="AA77" s="24" t="n">
        <f aca="false">AA76+Z77</f>
        <v>-12625.8571902466</v>
      </c>
      <c r="AB77" s="17" t="n">
        <f aca="false">IF($A77&gt;=Annahmen!$C$180,Annahmen!$C$181,0)</f>
        <v>5</v>
      </c>
      <c r="AC77" s="17" t="n">
        <f aca="false">AB77*(1-Annahmen!$B$199)</f>
        <v>4</v>
      </c>
      <c r="AD77" s="24" t="n">
        <f aca="false">AC77*(Annahmen!$B$197+Annahmen!$B$198)+AB77*Annahmen!$C$155*Annahmen!$B$157</f>
        <v>1481</v>
      </c>
      <c r="AE77" s="24" t="n">
        <f aca="false">AB77*(Annahmen!$B$48+Annahmen!$B$182*Annahmen!$B$11+Annahmen!$C$155*Annahmen!$B$154)</f>
        <v>97.3587163568827</v>
      </c>
      <c r="AF77" s="24" t="n">
        <f aca="false">AD77-AE77</f>
        <v>1383.64128364312</v>
      </c>
      <c r="AG77" s="24" t="n">
        <f aca="false">Gesamt!J61-TÆLLA!Y61+Z77+AF77</f>
        <v>3460.58517849648</v>
      </c>
      <c r="AH77" s="24" t="n">
        <f aca="false">AH76+AG77</f>
        <v>21462.755975915</v>
      </c>
      <c r="AI77" s="15" t="n">
        <f aca="false">IF(AG77&gt;0,1,0)</f>
        <v>1</v>
      </c>
      <c r="AJ77" s="15" t="n">
        <f aca="false">IF(AH77&gt;=0,1,0)</f>
        <v>1</v>
      </c>
      <c r="AK77" s="15" t="n">
        <f aca="false">MAX(0,C77-I77)</f>
        <v>3898.83479483826</v>
      </c>
      <c r="AL77" s="24" t="n">
        <f aca="false">IF($A77&gt;=Annahmen!$C$69,AK77*Annahmen!$C$70,0)</f>
        <v>389.883479483826</v>
      </c>
      <c r="AM77" s="15" t="n">
        <f aca="false">IF($A77&lt;Annahmen!$C$55,0,IF($A77=Annahmen!$C$55,Annahmen!$C$56,AM76*(1+(Annahmen!$C$57+F77)*(1-C76/Annahmen!$C$58))))</f>
        <v>3660.58922995562</v>
      </c>
      <c r="AN77" s="15" t="n">
        <f aca="false">IF($A77&lt;Annahmen!$C$71,0,IF($A77&lt;Annahmen!$C$71+Annahmen!$B$73,Annahmen!$C$72,Annahmen!$C$72*Annahmen!$B$75))</f>
        <v>450</v>
      </c>
      <c r="AO77" s="7" t="n">
        <f aca="false">IF(Z77&gt;0,1,0)</f>
        <v>0</v>
      </c>
      <c r="AP77" s="7" t="n">
        <f aca="false">IF(AA77&gt;=0,1,0)</f>
        <v>0</v>
      </c>
    </row>
    <row r="78" customFormat="false" ht="15" hidden="false" customHeight="false" outlineLevel="0" collapsed="false">
      <c r="A78" s="7" t="n">
        <v>16</v>
      </c>
      <c r="B78" s="7" t="s">
        <v>405</v>
      </c>
      <c r="C78" s="15" t="n">
        <f aca="false">AM78+AN78</f>
        <v>4881.44019733234</v>
      </c>
      <c r="D78" s="17" t="n">
        <f aca="false">D77+IF($A78&gt;=Annahmen!$C$180,Annahmen!$C$181,0)</f>
        <v>65</v>
      </c>
      <c r="E78" s="17" t="n">
        <f aca="false">E77+Annahmen!$C$67</f>
        <v>143</v>
      </c>
      <c r="F78" s="25" t="n">
        <f aca="false">MIN(Annahmen!$C$185,Annahmen!$C$184*D78/10)</f>
        <v>0.065</v>
      </c>
      <c r="G78" s="42" t="n">
        <f aca="false">MIN(Annahmen!$C$187,Annahmen!$C$186*D78/10)</f>
        <v>0.00325</v>
      </c>
      <c r="H78" s="17" t="n">
        <f aca="false">IF($A78&gt;Annahmen!$B$68,INDEX($AM$63:$AM$86,$A78-Annahmen!$B$68),0)*(Annahmen!$C$59+G78)+IF($A78=Annahmen!$C$71+Annahmen!$B$73,Annahmen!$C$72*Annahmen!$C$74,0)</f>
        <v>48.502807296912</v>
      </c>
      <c r="I78" s="17" t="n">
        <f aca="false">I77*(1-Annahmen!$C$60)+H78</f>
        <v>247.551976307237</v>
      </c>
      <c r="J78" s="17" t="n">
        <f aca="false">I78*(1-Annahmen!$C$61)</f>
        <v>148.531185784342</v>
      </c>
      <c r="K78" s="17" t="n">
        <f aca="false">I78*Annahmen!$C$61</f>
        <v>99.0207905228947</v>
      </c>
      <c r="L78" s="24" t="n">
        <f aca="false">J78*Annahmen!$C$87+K78*Annahmen!$C$88</f>
        <v>1569.56204711332</v>
      </c>
      <c r="M78" s="24" t="n">
        <f aca="false">IF($A78&gt;=Annahmen!$C$55,Annahmen!$C$64*((1-Annahmen!$C$65)*Annahmen!$B$80+Annahmen!$C$65*Annahmen!$B$81)+Annahmen!$C$66*Annahmen!$B$82,0)</f>
        <v>206.48</v>
      </c>
      <c r="N78" s="24" t="n">
        <f aca="false">(L78+M78)/(1+Annahmen!$B$9)</f>
        <v>1492.47230849859</v>
      </c>
      <c r="O78" s="24" t="n">
        <f aca="false">L78/(1+Annahmen!$B$9)</f>
        <v>1318.95970345657</v>
      </c>
      <c r="P78" s="24" t="n">
        <f aca="false">N78*(Annahmen!$C$63*Annahmen!$B$83+(1-Annahmen!$C$63)*Annahmen!$B$84)+(I78*Annahmen!$C$62+I78*(1-Annahmen!$C$62)/12+IF($A78&gt;=Annahmen!$C$55,Annahmen!$C$64+Annahmen!$C$66,0))*(1-Annahmen!$C$63)*Annahmen!$B$85</f>
        <v>143.039330242123</v>
      </c>
      <c r="Q78" s="25" t="n">
        <f aca="false">IF(D78=0,0,MIN(Annahmen!$B$189,Annahmen!$C$188*D78/(Annahmen!$C$188*D78+E78)))</f>
        <v>0.576923076923077</v>
      </c>
      <c r="R78" s="24" t="n">
        <f aca="false">O78*Q78*Annahmen!$B$196</f>
        <v>452.758282821149</v>
      </c>
      <c r="S78" s="24" t="n">
        <f aca="false">Annahmen!$C$67*(Annahmen!$B$43+Annahmen!$B$154)</f>
        <v>518.967701791488</v>
      </c>
      <c r="T78" s="24" t="n">
        <f aca="false">IF($A78&gt;=Annahmen!$C$55,Annahmen!$C$64*(1-Annahmen!$C$65)*Annahmen!$B$44+(Annahmen!$C$64*Annahmen!$C$65+Annahmen!$C$66)*Annahmen!$B$45,0)</f>
        <v>79.1744983854023</v>
      </c>
      <c r="U78" s="24" t="n">
        <f aca="false">C78*Annahmen!$B$86</f>
        <v>48.8144019733234</v>
      </c>
      <c r="V78" s="24" t="n">
        <f aca="false">SUMPRODUCT((((Annahmen!$C$161:$C$174="monatlich")*(Annahmen!$D$161:$D$174&lt;=$A78))+((Annahmen!$C$161:$C$174="einmalig")*(Annahmen!$D$161:$D$174=$A78)))*Annahmen!$B$161:$B$174*Annahmen!$E$161:$E$174)</f>
        <v>69.9850799606897</v>
      </c>
      <c r="W78" s="24" t="n">
        <f aca="false">IF($A78&gt;=Annahmen!$C$55,Annahmen!$C$143,0)</f>
        <v>500</v>
      </c>
      <c r="X78" s="36" t="n">
        <f aca="false">MAX(0,(I78-Annahmen!$B$147)/Annahmen!$B$148)</f>
        <v>0</v>
      </c>
      <c r="Y78" s="24" t="n">
        <f aca="false">X78*Annahmen!$B$146</f>
        <v>0</v>
      </c>
      <c r="Z78" s="24" t="n">
        <f aca="false">N78-P78-R78-S78-T78-U78-V78-W78-Y78+AL78</f>
        <v>143.12183542692</v>
      </c>
      <c r="AA78" s="24" t="n">
        <f aca="false">AA77+Z78</f>
        <v>-12482.7353548197</v>
      </c>
      <c r="AB78" s="17" t="n">
        <f aca="false">IF($A78&gt;=Annahmen!$C$180,Annahmen!$C$181,0)</f>
        <v>5</v>
      </c>
      <c r="AC78" s="17" t="n">
        <f aca="false">AB78*(1-Annahmen!$B$199)</f>
        <v>4</v>
      </c>
      <c r="AD78" s="24" t="n">
        <f aca="false">AC78*(Annahmen!$B$197+Annahmen!$B$198)+AB78*Annahmen!$C$155*Annahmen!$B$157</f>
        <v>1481</v>
      </c>
      <c r="AE78" s="24" t="n">
        <f aca="false">AB78*(Annahmen!$B$48+Annahmen!$B$182*Annahmen!$B$11+Annahmen!$C$155*Annahmen!$B$154)</f>
        <v>97.3587163568827</v>
      </c>
      <c r="AF78" s="24" t="n">
        <f aca="false">AD78-AE78</f>
        <v>1383.64128364312</v>
      </c>
      <c r="AG78" s="24" t="n">
        <f aca="false">Gesamt!J62-TÆLLA!Y62+Z78+AF78</f>
        <v>3638.95091579762</v>
      </c>
      <c r="AH78" s="24" t="n">
        <f aca="false">AH77+AG78</f>
        <v>25101.7068917126</v>
      </c>
      <c r="AI78" s="15" t="n">
        <f aca="false">IF(AG78&gt;0,1,0)</f>
        <v>1</v>
      </c>
      <c r="AJ78" s="15" t="n">
        <f aca="false">IF(AH78&gt;=0,1,0)</f>
        <v>1</v>
      </c>
      <c r="AK78" s="15" t="n">
        <f aca="false">MAX(0,C78-I78)</f>
        <v>4633.8882210251</v>
      </c>
      <c r="AL78" s="24" t="n">
        <f aca="false">IF($A78&gt;=Annahmen!$C$69,AK78*Annahmen!$C$70,0)</f>
        <v>463.38882210251</v>
      </c>
      <c r="AM78" s="15" t="n">
        <f aca="false">IF($A78&lt;Annahmen!$C$55,0,IF($A78=Annahmen!$C$55,Annahmen!$C$56,AM77*(1+(Annahmen!$C$57+F78)*(1-C77/Annahmen!$C$58))))</f>
        <v>4431.44019733234</v>
      </c>
      <c r="AN78" s="15" t="n">
        <f aca="false">IF($A78&lt;Annahmen!$C$71,0,IF($A78&lt;Annahmen!$C$71+Annahmen!$B$73,Annahmen!$C$72,Annahmen!$C$72*Annahmen!$B$75))</f>
        <v>450</v>
      </c>
      <c r="AO78" s="7" t="n">
        <f aca="false">IF(Z78&gt;0,1,0)</f>
        <v>1</v>
      </c>
      <c r="AP78" s="7" t="n">
        <f aca="false">IF(AA78&gt;=0,1,0)</f>
        <v>0</v>
      </c>
    </row>
    <row r="79" customFormat="false" ht="15" hidden="false" customHeight="false" outlineLevel="0" collapsed="false">
      <c r="A79" s="7" t="n">
        <v>17</v>
      </c>
      <c r="B79" s="7" t="s">
        <v>406</v>
      </c>
      <c r="C79" s="15" t="n">
        <f aca="false">AM79+AN79</f>
        <v>5832.56204940299</v>
      </c>
      <c r="D79" s="17" t="n">
        <f aca="false">D78+IF($A79&gt;=Annahmen!$C$180,Annahmen!$C$181,0)</f>
        <v>70</v>
      </c>
      <c r="E79" s="17" t="n">
        <f aca="false">E78+Annahmen!$C$67</f>
        <v>151</v>
      </c>
      <c r="F79" s="25" t="n">
        <f aca="false">MIN(Annahmen!$C$185,Annahmen!$C$184*D79/10)</f>
        <v>0.07</v>
      </c>
      <c r="G79" s="42" t="n">
        <f aca="false">MIN(Annahmen!$C$187,Annahmen!$C$186*D79/10)</f>
        <v>0.0035</v>
      </c>
      <c r="H79" s="17" t="n">
        <f aca="false">IF($A79&gt;Annahmen!$B$68,INDEX($AM$63:$AM$86,$A79-Annahmen!$B$68),0)*(Annahmen!$C$59+G79)+IF($A79=Annahmen!$C$71+Annahmen!$B$73,Annahmen!$C$72*Annahmen!$C$74,0)</f>
        <v>59.8244426639866</v>
      </c>
      <c r="I79" s="17" t="n">
        <f aca="false">I78*(1-Annahmen!$C$60)+H79</f>
        <v>292.523300392789</v>
      </c>
      <c r="J79" s="17" t="n">
        <f aca="false">I79*(1-Annahmen!$C$61)</f>
        <v>175.513980235673</v>
      </c>
      <c r="K79" s="17" t="n">
        <f aca="false">I79*Annahmen!$C$61</f>
        <v>117.009320157116</v>
      </c>
      <c r="L79" s="24" t="n">
        <f aca="false">J79*Annahmen!$C$87+K79*Annahmen!$C$88</f>
        <v>1854.69523225708</v>
      </c>
      <c r="M79" s="24" t="n">
        <f aca="false">IF($A79&gt;=Annahmen!$C$55,Annahmen!$C$64*((1-Annahmen!$C$65)*Annahmen!$B$80+Annahmen!$C$65*Annahmen!$B$81)+Annahmen!$C$66*Annahmen!$B$82,0)</f>
        <v>206.48</v>
      </c>
      <c r="N79" s="24" t="n">
        <f aca="false">(L79+M79)/(1+Annahmen!$B$9)</f>
        <v>1732.08002710679</v>
      </c>
      <c r="O79" s="24" t="n">
        <f aca="false">L79/(1+Annahmen!$B$9)</f>
        <v>1558.56742206477</v>
      </c>
      <c r="P79" s="24" t="n">
        <f aca="false">N79*(Annahmen!$C$63*Annahmen!$B$83+(1-Annahmen!$C$63)*Annahmen!$B$84)+(I79*Annahmen!$C$62+I79*(1-Annahmen!$C$62)/12+IF($A79&gt;=Annahmen!$C$55,Annahmen!$C$64+Annahmen!$C$66,0))*(1-Annahmen!$C$63)*Annahmen!$B$85</f>
        <v>166.367196850739</v>
      </c>
      <c r="Q79" s="25" t="n">
        <f aca="false">IF(D79=0,0,MIN(Annahmen!$B$189,Annahmen!$C$188*D79/(Annahmen!$C$188*D79+E79)))</f>
        <v>0.581717451523546</v>
      </c>
      <c r="R79" s="24" t="n">
        <f aca="false">O79*Q79*Annahmen!$B$196</f>
        <v>539.45429193073</v>
      </c>
      <c r="S79" s="24" t="n">
        <f aca="false">Annahmen!$C$67*(Annahmen!$B$43+Annahmen!$B$154)</f>
        <v>518.967701791488</v>
      </c>
      <c r="T79" s="24" t="n">
        <f aca="false">IF($A79&gt;=Annahmen!$C$55,Annahmen!$C$64*(1-Annahmen!$C$65)*Annahmen!$B$44+(Annahmen!$C$64*Annahmen!$C$65+Annahmen!$C$66)*Annahmen!$B$45,0)</f>
        <v>79.1744983854023</v>
      </c>
      <c r="U79" s="24" t="n">
        <f aca="false">C79*Annahmen!$B$86</f>
        <v>58.3256204940299</v>
      </c>
      <c r="V79" s="24" t="n">
        <f aca="false">SUMPRODUCT((((Annahmen!$C$161:$C$174="monatlich")*(Annahmen!$D$161:$D$174&lt;=$A79))+((Annahmen!$C$161:$C$174="einmalig")*(Annahmen!$D$161:$D$174=$A79)))*Annahmen!$B$161:$B$174*Annahmen!$E$161:$E$174)</f>
        <v>69.9850799606897</v>
      </c>
      <c r="W79" s="24" t="n">
        <f aca="false">IF($A79&gt;=Annahmen!$C$55,Annahmen!$C$143,0)</f>
        <v>500</v>
      </c>
      <c r="X79" s="36" t="n">
        <f aca="false">MAX(0,(I79-Annahmen!$B$147)/Annahmen!$B$148)</f>
        <v>0</v>
      </c>
      <c r="Y79" s="24" t="n">
        <f aca="false">X79*Annahmen!$B$146</f>
        <v>0</v>
      </c>
      <c r="Z79" s="24" t="n">
        <f aca="false">N79-P79-R79-S79-T79-U79-V79-W79-Y79+AL79</f>
        <v>353.809512594731</v>
      </c>
      <c r="AA79" s="24" t="n">
        <f aca="false">AA78+Z79</f>
        <v>-12128.925842225</v>
      </c>
      <c r="AB79" s="17" t="n">
        <f aca="false">IF($A79&gt;=Annahmen!$C$180,Annahmen!$C$181,0)</f>
        <v>5</v>
      </c>
      <c r="AC79" s="17" t="n">
        <f aca="false">AB79*(1-Annahmen!$B$199)</f>
        <v>4</v>
      </c>
      <c r="AD79" s="24" t="n">
        <f aca="false">AC79*(Annahmen!$B$197+Annahmen!$B$198)+AB79*Annahmen!$C$155*Annahmen!$B$157</f>
        <v>1481</v>
      </c>
      <c r="AE79" s="24" t="n">
        <f aca="false">AB79*(Annahmen!$B$48+Annahmen!$B$182*Annahmen!$B$11+Annahmen!$C$155*Annahmen!$B$154)</f>
        <v>97.3587163568827</v>
      </c>
      <c r="AF79" s="24" t="n">
        <f aca="false">AD79-AE79</f>
        <v>1383.64128364312</v>
      </c>
      <c r="AG79" s="24" t="n">
        <f aca="false">Gesamt!J63-TÆLLA!Y63+Z79+AF79</f>
        <v>3859.20705090936</v>
      </c>
      <c r="AH79" s="24" t="n">
        <f aca="false">AH78+AG79</f>
        <v>28960.913942622</v>
      </c>
      <c r="AI79" s="15" t="n">
        <f aca="false">IF(AG79&gt;0,1,0)</f>
        <v>1</v>
      </c>
      <c r="AJ79" s="15" t="n">
        <f aca="false">IF(AH79&gt;=0,1,0)</f>
        <v>1</v>
      </c>
      <c r="AK79" s="15" t="n">
        <f aca="false">MAX(0,C79-I79)</f>
        <v>5540.0387490102</v>
      </c>
      <c r="AL79" s="24" t="n">
        <f aca="false">IF($A79&gt;=Annahmen!$C$69,AK79*Annahmen!$C$70,0)</f>
        <v>554.00387490102</v>
      </c>
      <c r="AM79" s="15" t="n">
        <f aca="false">IF($A79&lt;Annahmen!$C$55,0,IF($A79=Annahmen!$C$55,Annahmen!$C$56,AM78*(1+(Annahmen!$C$57+F79)*(1-C78/Annahmen!$C$58))))</f>
        <v>5382.56204940299</v>
      </c>
      <c r="AN79" s="15" t="n">
        <f aca="false">IF($A79&lt;Annahmen!$C$71,0,IF($A79&lt;Annahmen!$C$71+Annahmen!$B$73,Annahmen!$C$72,Annahmen!$C$72*Annahmen!$B$75))</f>
        <v>450</v>
      </c>
      <c r="AO79" s="7" t="n">
        <f aca="false">IF(Z79&gt;0,1,0)</f>
        <v>1</v>
      </c>
      <c r="AP79" s="7" t="n">
        <f aca="false">IF(AA79&gt;=0,1,0)</f>
        <v>0</v>
      </c>
    </row>
    <row r="80" customFormat="false" ht="15" hidden="false" customHeight="false" outlineLevel="0" collapsed="false">
      <c r="A80" s="7" t="n">
        <v>18</v>
      </c>
      <c r="B80" s="7" t="s">
        <v>407</v>
      </c>
      <c r="C80" s="15" t="n">
        <f aca="false">AM80+AN80</f>
        <v>7008.32011748852</v>
      </c>
      <c r="D80" s="17" t="n">
        <f aca="false">D79+IF($A80&gt;=Annahmen!$C$180,Annahmen!$C$181,0)</f>
        <v>75</v>
      </c>
      <c r="E80" s="17" t="n">
        <f aca="false">E79+Annahmen!$C$67</f>
        <v>159</v>
      </c>
      <c r="F80" s="25" t="n">
        <f aca="false">MIN(Annahmen!$C$185,Annahmen!$C$184*D80/10)</f>
        <v>0.075</v>
      </c>
      <c r="G80" s="42" t="n">
        <f aca="false">MIN(Annahmen!$C$187,Annahmen!$C$186*D80/10)</f>
        <v>0.00375</v>
      </c>
      <c r="H80" s="17" t="n">
        <f aca="false">IF($A80&gt;Annahmen!$B$68,INDEX($AM$63:$AM$86,$A80-Annahmen!$B$68),0)*(Annahmen!$C$59+G80)+IF($A80=Annahmen!$C$71+Annahmen!$B$73,Annahmen!$C$72*Annahmen!$C$74,0)</f>
        <v>74.0102281792911</v>
      </c>
      <c r="I80" s="17" t="n">
        <f aca="false">I79*(1-Annahmen!$C$60)+H80</f>
        <v>348.982130548513</v>
      </c>
      <c r="J80" s="17" t="n">
        <f aca="false">I80*(1-Annahmen!$C$61)</f>
        <v>209.389278329108</v>
      </c>
      <c r="K80" s="17" t="n">
        <f aca="false">I80*Annahmen!$C$61</f>
        <v>139.592852219405</v>
      </c>
      <c r="L80" s="24" t="n">
        <f aca="false">J80*Annahmen!$C$87+K80*Annahmen!$C$88</f>
        <v>2212.66303505442</v>
      </c>
      <c r="M80" s="24" t="n">
        <f aca="false">IF($A80&gt;=Annahmen!$C$55,Annahmen!$C$64*((1-Annahmen!$C$65)*Annahmen!$B$80+Annahmen!$C$65*Annahmen!$B$81)+Annahmen!$C$66*Annahmen!$B$82,0)</f>
        <v>206.48</v>
      </c>
      <c r="N80" s="24" t="n">
        <f aca="false">(L80+M80)/(1+Annahmen!$B$9)</f>
        <v>2032.89330676842</v>
      </c>
      <c r="O80" s="24" t="n">
        <f aca="false">L80/(1+Annahmen!$B$9)</f>
        <v>1859.3807017264</v>
      </c>
      <c r="P80" s="24" t="n">
        <f aca="false">N80*(Annahmen!$C$63*Annahmen!$B$83+(1-Annahmen!$C$63)*Annahmen!$B$84)+(I80*Annahmen!$C$62+I80*(1-Annahmen!$C$62)/12+IF($A80&gt;=Annahmen!$C$55,Annahmen!$C$64+Annahmen!$C$66,0))*(1-Annahmen!$C$63)*Annahmen!$B$85</f>
        <v>195.653949810152</v>
      </c>
      <c r="Q80" s="25" t="n">
        <f aca="false">IF(D80=0,0,MIN(Annahmen!$B$189,Annahmen!$C$188*D80/(Annahmen!$C$188*D80+E80)))</f>
        <v>0.5859375</v>
      </c>
      <c r="R80" s="24" t="n">
        <f aca="false">O80*Q80*Annahmen!$B$196</f>
        <v>648.2411235511</v>
      </c>
      <c r="S80" s="24" t="n">
        <f aca="false">Annahmen!$C$67*(Annahmen!$B$43+Annahmen!$B$154)</f>
        <v>518.967701791488</v>
      </c>
      <c r="T80" s="24" t="n">
        <f aca="false">IF($A80&gt;=Annahmen!$C$55,Annahmen!$C$64*(1-Annahmen!$C$65)*Annahmen!$B$44+(Annahmen!$C$64*Annahmen!$C$65+Annahmen!$C$66)*Annahmen!$B$45,0)</f>
        <v>79.1744983854023</v>
      </c>
      <c r="U80" s="24" t="n">
        <f aca="false">C80*Annahmen!$B$86</f>
        <v>70.0832011748852</v>
      </c>
      <c r="V80" s="24" t="n">
        <f aca="false">SUMPRODUCT((((Annahmen!$C$161:$C$174="monatlich")*(Annahmen!$D$161:$D$174&lt;=$A80))+((Annahmen!$C$161:$C$174="einmalig")*(Annahmen!$D$161:$D$174=$A80)))*Annahmen!$B$161:$B$174*Annahmen!$E$161:$E$174)</f>
        <v>69.9850799606897</v>
      </c>
      <c r="W80" s="24" t="n">
        <f aca="false">IF($A80&gt;=Annahmen!$C$55,Annahmen!$C$143,0)</f>
        <v>500</v>
      </c>
      <c r="X80" s="36" t="n">
        <f aca="false">MAX(0,(I80-Annahmen!$B$147)/Annahmen!$B$148)</f>
        <v>0</v>
      </c>
      <c r="Y80" s="24" t="n">
        <f aca="false">X80*Annahmen!$B$146</f>
        <v>0</v>
      </c>
      <c r="Z80" s="24" t="n">
        <f aca="false">N80-P80-R80-S80-T80-U80-V80-W80-Y80+AL80</f>
        <v>616.721550788705</v>
      </c>
      <c r="AA80" s="24" t="n">
        <f aca="false">AA79+Z80</f>
        <v>-11512.2042914363</v>
      </c>
      <c r="AB80" s="17" t="n">
        <f aca="false">IF($A80&gt;=Annahmen!$C$180,Annahmen!$C$181,0)</f>
        <v>5</v>
      </c>
      <c r="AC80" s="17" t="n">
        <f aca="false">AB80*(1-Annahmen!$B$199)</f>
        <v>4</v>
      </c>
      <c r="AD80" s="24" t="n">
        <f aca="false">AC80*(Annahmen!$B$197+Annahmen!$B$198)+AB80*Annahmen!$C$155*Annahmen!$B$157</f>
        <v>1481</v>
      </c>
      <c r="AE80" s="24" t="n">
        <f aca="false">AB80*(Annahmen!$B$48+Annahmen!$B$182*Annahmen!$B$11+Annahmen!$C$155*Annahmen!$B$154)</f>
        <v>97.3587163568827</v>
      </c>
      <c r="AF80" s="24" t="n">
        <f aca="false">AD80-AE80</f>
        <v>1383.64128364312</v>
      </c>
      <c r="AG80" s="24" t="n">
        <f aca="false">Gesamt!J64-TÆLLA!Y64+Z80+AF80</f>
        <v>4131.68754704726</v>
      </c>
      <c r="AH80" s="24" t="n">
        <f aca="false">AH79+AG80</f>
        <v>33092.6014896692</v>
      </c>
      <c r="AI80" s="15" t="n">
        <f aca="false">IF(AG80&gt;0,1,0)</f>
        <v>1</v>
      </c>
      <c r="AJ80" s="15" t="n">
        <f aca="false">IF(AH80&gt;=0,1,0)</f>
        <v>1</v>
      </c>
      <c r="AK80" s="15" t="n">
        <f aca="false">MAX(0,C80-I80)</f>
        <v>6659.33798694001</v>
      </c>
      <c r="AL80" s="24" t="n">
        <f aca="false">IF($A80&gt;=Annahmen!$C$69,AK80*Annahmen!$C$70,0)</f>
        <v>665.933798694001</v>
      </c>
      <c r="AM80" s="15" t="n">
        <f aca="false">IF($A80&lt;Annahmen!$C$55,0,IF($A80=Annahmen!$C$55,Annahmen!$C$56,AM79*(1+(Annahmen!$C$57+F80)*(1-C79/Annahmen!$C$58))))</f>
        <v>6558.32011748852</v>
      </c>
      <c r="AN80" s="15" t="n">
        <f aca="false">IF($A80&lt;Annahmen!$C$71,0,IF($A80&lt;Annahmen!$C$71+Annahmen!$B$73,Annahmen!$C$72,Annahmen!$C$72*Annahmen!$B$75))</f>
        <v>450</v>
      </c>
      <c r="AO80" s="7" t="n">
        <f aca="false">IF(Z80&gt;0,1,0)</f>
        <v>1</v>
      </c>
      <c r="AP80" s="7" t="n">
        <f aca="false">IF(AA80&gt;=0,1,0)</f>
        <v>0</v>
      </c>
    </row>
    <row r="81" customFormat="false" ht="15" hidden="false" customHeight="false" outlineLevel="0" collapsed="false">
      <c r="A81" s="7" t="n">
        <v>19</v>
      </c>
      <c r="B81" s="7" t="s">
        <v>408</v>
      </c>
      <c r="C81" s="15" t="n">
        <f aca="false">AM81+AN81</f>
        <v>8463.87651667211</v>
      </c>
      <c r="D81" s="17" t="n">
        <f aca="false">D80+IF($A81&gt;=Annahmen!$C$180,Annahmen!$C$181,0)</f>
        <v>80</v>
      </c>
      <c r="E81" s="17" t="n">
        <f aca="false">E80+Annahmen!$C$67</f>
        <v>167</v>
      </c>
      <c r="F81" s="25" t="n">
        <f aca="false">MIN(Annahmen!$C$185,Annahmen!$C$184*D81/10)</f>
        <v>0.08</v>
      </c>
      <c r="G81" s="42" t="n">
        <f aca="false">MIN(Annahmen!$C$187,Annahmen!$C$186*D81/10)</f>
        <v>0.004</v>
      </c>
      <c r="H81" s="17" t="n">
        <f aca="false">IF($A81&gt;Annahmen!$B$68,INDEX($AM$63:$AM$86,$A81-Annahmen!$B$68),0)*(Annahmen!$C$59+G81)+IF($A81=Annahmen!$C$71+Annahmen!$B$73,Annahmen!$C$72*Annahmen!$C$74,0)</f>
        <v>91.8164816448393</v>
      </c>
      <c r="I81" s="17" t="n">
        <f aca="false">I80*(1-Annahmen!$C$60)+H81</f>
        <v>419.859684360441</v>
      </c>
      <c r="J81" s="17" t="n">
        <f aca="false">I81*(1-Annahmen!$C$61)</f>
        <v>251.915810616265</v>
      </c>
      <c r="K81" s="17" t="n">
        <f aca="false">I81*Annahmen!$C$61</f>
        <v>167.943873744177</v>
      </c>
      <c r="L81" s="24" t="n">
        <f aca="false">J81*Annahmen!$C$87+K81*Annahmen!$C$88</f>
        <v>2662.05035207332</v>
      </c>
      <c r="M81" s="24" t="n">
        <f aca="false">IF($A81&gt;=Annahmen!$C$55,Annahmen!$C$64*((1-Annahmen!$C$65)*Annahmen!$B$80+Annahmen!$C$65*Annahmen!$B$81)+Annahmen!$C$66*Annahmen!$B$82,0)</f>
        <v>206.48</v>
      </c>
      <c r="N81" s="24" t="n">
        <f aca="false">(L81+M81)/(1+Annahmen!$B$9)</f>
        <v>2410.52970762464</v>
      </c>
      <c r="O81" s="24" t="n">
        <f aca="false">L81/(1+Annahmen!$B$9)</f>
        <v>2237.01710258262</v>
      </c>
      <c r="P81" s="24" t="n">
        <f aca="false">N81*(Annahmen!$C$63*Annahmen!$B$83+(1-Annahmen!$C$63)*Annahmen!$B$84)+(I81*Annahmen!$C$62+I81*(1-Annahmen!$C$62)/12+IF($A81&gt;=Annahmen!$C$55,Annahmen!$C$64+Annahmen!$C$66,0))*(1-Annahmen!$C$63)*Annahmen!$B$85</f>
        <v>232.420092557567</v>
      </c>
      <c r="Q81" s="25" t="n">
        <f aca="false">IF(D81=0,0,MIN(Annahmen!$B$189,Annahmen!$C$188*D81/(Annahmen!$C$188*D81+E81)))</f>
        <v>0.58968058968059</v>
      </c>
      <c r="R81" s="24" t="n">
        <f aca="false">O81*Q81*Annahmen!$B$196</f>
        <v>784.879710685008</v>
      </c>
      <c r="S81" s="24" t="n">
        <f aca="false">Annahmen!$C$67*(Annahmen!$B$43+Annahmen!$B$154)</f>
        <v>518.967701791488</v>
      </c>
      <c r="T81" s="24" t="n">
        <f aca="false">IF($A81&gt;=Annahmen!$C$55,Annahmen!$C$64*(1-Annahmen!$C$65)*Annahmen!$B$44+(Annahmen!$C$64*Annahmen!$C$65+Annahmen!$C$66)*Annahmen!$B$45,0)</f>
        <v>79.1744983854023</v>
      </c>
      <c r="U81" s="24" t="n">
        <f aca="false">C81*Annahmen!$B$86</f>
        <v>84.6387651667211</v>
      </c>
      <c r="V81" s="24" t="n">
        <f aca="false">SUMPRODUCT((((Annahmen!$C$161:$C$174="monatlich")*(Annahmen!$D$161:$D$174&lt;=$A81))+((Annahmen!$C$161:$C$174="einmalig")*(Annahmen!$D$161:$D$174=$A81)))*Annahmen!$B$161:$B$174*Annahmen!$E$161:$E$174)</f>
        <v>69.9850799606897</v>
      </c>
      <c r="W81" s="24" t="n">
        <f aca="false">IF($A81&gt;=Annahmen!$C$55,Annahmen!$C$143,0)</f>
        <v>500</v>
      </c>
      <c r="X81" s="36" t="n">
        <f aca="false">MAX(0,(I81-Annahmen!$B$147)/Annahmen!$B$148)</f>
        <v>0</v>
      </c>
      <c r="Y81" s="24" t="n">
        <f aca="false">X81*Annahmen!$B$146</f>
        <v>0</v>
      </c>
      <c r="Z81" s="24" t="n">
        <f aca="false">N81-P81-R81-S81-T81-U81-V81-W81-Y81+AL81</f>
        <v>944.865542308927</v>
      </c>
      <c r="AA81" s="24" t="n">
        <f aca="false">AA80+Z81</f>
        <v>-10567.3387491273</v>
      </c>
      <c r="AB81" s="17" t="n">
        <f aca="false">IF($A81&gt;=Annahmen!$C$180,Annahmen!$C$181,0)</f>
        <v>5</v>
      </c>
      <c r="AC81" s="17" t="n">
        <f aca="false">AB81*(1-Annahmen!$B$199)</f>
        <v>4</v>
      </c>
      <c r="AD81" s="24" t="n">
        <f aca="false">AC81*(Annahmen!$B$197+Annahmen!$B$198)+AB81*Annahmen!$C$155*Annahmen!$B$157</f>
        <v>1481</v>
      </c>
      <c r="AE81" s="24" t="n">
        <f aca="false">AB81*(Annahmen!$B$48+Annahmen!$B$182*Annahmen!$B$11+Annahmen!$C$155*Annahmen!$B$154)</f>
        <v>97.3587163568827</v>
      </c>
      <c r="AF81" s="24" t="n">
        <f aca="false">AD81-AE81</f>
        <v>1383.64128364312</v>
      </c>
      <c r="AG81" s="24" t="n">
        <f aca="false">Gesamt!J65-TÆLLA!Y65+Z81+AF81</f>
        <v>4469.39999651141</v>
      </c>
      <c r="AH81" s="24" t="n">
        <f aca="false">AH80+AG81</f>
        <v>37562.0014861806</v>
      </c>
      <c r="AI81" s="15" t="n">
        <f aca="false">IF(AG81&gt;0,1,0)</f>
        <v>1</v>
      </c>
      <c r="AJ81" s="15" t="n">
        <f aca="false">IF(AH81&gt;=0,1,0)</f>
        <v>1</v>
      </c>
      <c r="AK81" s="15" t="n">
        <f aca="false">MAX(0,C81-I81)</f>
        <v>8044.01683231167</v>
      </c>
      <c r="AL81" s="24" t="n">
        <f aca="false">IF($A81&gt;=Annahmen!$C$69,AK81*Annahmen!$C$70,0)</f>
        <v>804.401683231167</v>
      </c>
      <c r="AM81" s="15" t="n">
        <f aca="false">IF($A81&lt;Annahmen!$C$55,0,IF($A81=Annahmen!$C$55,Annahmen!$C$56,AM80*(1+(Annahmen!$C$57+F81)*(1-C80/Annahmen!$C$58))))</f>
        <v>8013.87651667211</v>
      </c>
      <c r="AN81" s="15" t="n">
        <f aca="false">IF($A81&lt;Annahmen!$C$71,0,IF($A81&lt;Annahmen!$C$71+Annahmen!$B$73,Annahmen!$C$72,Annahmen!$C$72*Annahmen!$B$75))</f>
        <v>450</v>
      </c>
      <c r="AO81" s="7" t="n">
        <f aca="false">IF(Z81&gt;0,1,0)</f>
        <v>1</v>
      </c>
      <c r="AP81" s="7" t="n">
        <f aca="false">IF(AA81&gt;=0,1,0)</f>
        <v>0</v>
      </c>
    </row>
    <row r="82" customFormat="false" ht="15" hidden="false" customHeight="false" outlineLevel="0" collapsed="false">
      <c r="A82" s="7" t="n">
        <v>20</v>
      </c>
      <c r="B82" s="7" t="s">
        <v>409</v>
      </c>
      <c r="C82" s="15" t="n">
        <f aca="false">AM82+AN82</f>
        <v>10267.4390561131</v>
      </c>
      <c r="D82" s="17" t="n">
        <f aca="false">D81+IF($A82&gt;=Annahmen!$C$180,Annahmen!$C$181,0)</f>
        <v>85</v>
      </c>
      <c r="E82" s="17" t="n">
        <f aca="false">E81+Annahmen!$C$67</f>
        <v>175</v>
      </c>
      <c r="F82" s="25" t="n">
        <f aca="false">MIN(Annahmen!$C$185,Annahmen!$C$184*D82/10)</f>
        <v>0.085</v>
      </c>
      <c r="G82" s="42" t="n">
        <f aca="false">MIN(Annahmen!$C$187,Annahmen!$C$186*D82/10)</f>
        <v>0.00425</v>
      </c>
      <c r="H82" s="17" t="n">
        <f aca="false">IF($A82&gt;Annahmen!$B$68,INDEX($AM$63:$AM$86,$A82-Annahmen!$B$68),0)*(Annahmen!$C$59+G82)+IF($A82=Annahmen!$C$71+Annahmen!$B$73,Annahmen!$C$72*Annahmen!$C$74,0)</f>
        <v>114.197740362578</v>
      </c>
      <c r="I82" s="17" t="n">
        <f aca="false">I81*(1-Annahmen!$C$60)+H82</f>
        <v>508.865843661392</v>
      </c>
      <c r="J82" s="17" t="n">
        <f aca="false">I82*(1-Annahmen!$C$61)</f>
        <v>305.319506196835</v>
      </c>
      <c r="K82" s="17" t="n">
        <f aca="false">I82*Annahmen!$C$61</f>
        <v>203.546337464557</v>
      </c>
      <c r="L82" s="24" t="n">
        <f aca="false">J82*Annahmen!$C$87+K82*Annahmen!$C$88</f>
        <v>3226.37907076111</v>
      </c>
      <c r="M82" s="24" t="n">
        <f aca="false">IF($A82&gt;=Annahmen!$C$55,Annahmen!$C$64*((1-Annahmen!$C$65)*Annahmen!$B$80+Annahmen!$C$65*Annahmen!$B$81)+Annahmen!$C$66*Annahmen!$B$82,0)</f>
        <v>206.48</v>
      </c>
      <c r="N82" s="24" t="n">
        <f aca="false">(L82+M82)/(1+Annahmen!$B$9)</f>
        <v>2884.755521648</v>
      </c>
      <c r="O82" s="24" t="n">
        <f aca="false">L82/(1+Annahmen!$B$9)</f>
        <v>2711.24291660598</v>
      </c>
      <c r="P82" s="24" t="n">
        <f aca="false">N82*(Annahmen!$C$63*Annahmen!$B$83+(1-Annahmen!$C$63)*Annahmen!$B$84)+(I82*Annahmen!$C$62+I82*(1-Annahmen!$C$62)/12+IF($A82&gt;=Annahmen!$C$55,Annahmen!$C$64+Annahmen!$C$66,0))*(1-Annahmen!$C$63)*Annahmen!$B$85</f>
        <v>278.590043159153</v>
      </c>
      <c r="Q82" s="25" t="n">
        <f aca="false">IF(D82=0,0,MIN(Annahmen!$B$189,Annahmen!$C$188*D82/(Annahmen!$C$188*D82+E82)))</f>
        <v>0.593023255813954</v>
      </c>
      <c r="R82" s="24" t="n">
        <f aca="false">O82*Q82*Annahmen!$B$196</f>
        <v>956.658910516377</v>
      </c>
      <c r="S82" s="24" t="n">
        <f aca="false">Annahmen!$C$67*(Annahmen!$B$43+Annahmen!$B$154)</f>
        <v>518.967701791488</v>
      </c>
      <c r="T82" s="24" t="n">
        <f aca="false">IF($A82&gt;=Annahmen!$C$55,Annahmen!$C$64*(1-Annahmen!$C$65)*Annahmen!$B$44+(Annahmen!$C$64*Annahmen!$C$65+Annahmen!$C$66)*Annahmen!$B$45,0)</f>
        <v>79.1744983854023</v>
      </c>
      <c r="U82" s="24" t="n">
        <f aca="false">C82*Annahmen!$B$86</f>
        <v>102.674390561131</v>
      </c>
      <c r="V82" s="24" t="n">
        <f aca="false">SUMPRODUCT((((Annahmen!$C$161:$C$174="monatlich")*(Annahmen!$D$161:$D$174&lt;=$A82))+((Annahmen!$C$161:$C$174="einmalig")*(Annahmen!$D$161:$D$174=$A82)))*Annahmen!$B$161:$B$174*Annahmen!$E$161:$E$174)</f>
        <v>69.9850799606897</v>
      </c>
      <c r="W82" s="24" t="n">
        <f aca="false">IF($A82&gt;=Annahmen!$C$55,Annahmen!$C$143,0)</f>
        <v>500</v>
      </c>
      <c r="X82" s="36" t="n">
        <f aca="false">MAX(0,(I82-Annahmen!$B$147)/Annahmen!$B$148)</f>
        <v>0</v>
      </c>
      <c r="Y82" s="24" t="n">
        <f aca="false">X82*Annahmen!$B$146</f>
        <v>0</v>
      </c>
      <c r="Z82" s="24" t="n">
        <f aca="false">N82-P82-R82-S82-T82-U82-V82-W82-Y82+AL82</f>
        <v>1354.56221851893</v>
      </c>
      <c r="AA82" s="24" t="n">
        <f aca="false">AA81+Z82</f>
        <v>-9212.77653060842</v>
      </c>
      <c r="AB82" s="17" t="n">
        <f aca="false">IF($A82&gt;=Annahmen!$C$180,Annahmen!$C$181,0)</f>
        <v>5</v>
      </c>
      <c r="AC82" s="17" t="n">
        <f aca="false">AB82*(1-Annahmen!$B$199)</f>
        <v>4</v>
      </c>
      <c r="AD82" s="24" t="n">
        <f aca="false">AC82*(Annahmen!$B$197+Annahmen!$B$198)+AB82*Annahmen!$C$155*Annahmen!$B$157</f>
        <v>1481</v>
      </c>
      <c r="AE82" s="24" t="n">
        <f aca="false">AB82*(Annahmen!$B$48+Annahmen!$B$182*Annahmen!$B$11+Annahmen!$C$155*Annahmen!$B$154)</f>
        <v>97.3587163568827</v>
      </c>
      <c r="AF82" s="24" t="n">
        <f aca="false">AD82-AE82</f>
        <v>1383.64128364312</v>
      </c>
      <c r="AG82" s="24" t="n">
        <f aca="false">Gesamt!J66-TÆLLA!Y66+Z82+AF82</f>
        <v>4888.66513066533</v>
      </c>
      <c r="AH82" s="24" t="n">
        <f aca="false">AH81+AG82</f>
        <v>42450.666616846</v>
      </c>
      <c r="AI82" s="15" t="n">
        <f aca="false">IF(AG82&gt;0,1,0)</f>
        <v>1</v>
      </c>
      <c r="AJ82" s="15" t="n">
        <f aca="false">IF(AH82&gt;=0,1,0)</f>
        <v>1</v>
      </c>
      <c r="AK82" s="15" t="n">
        <f aca="false">MAX(0,C82-I82)</f>
        <v>9758.57321245172</v>
      </c>
      <c r="AL82" s="24" t="n">
        <f aca="false">IF($A82&gt;=Annahmen!$C$69,AK82*Annahmen!$C$70,0)</f>
        <v>975.857321245172</v>
      </c>
      <c r="AM82" s="15" t="n">
        <f aca="false">IF($A82&lt;Annahmen!$C$55,0,IF($A82=Annahmen!$C$55,Annahmen!$C$56,AM81*(1+(Annahmen!$C$57+F82)*(1-C81/Annahmen!$C$58))))</f>
        <v>9817.43905611311</v>
      </c>
      <c r="AN82" s="15" t="n">
        <f aca="false">IF($A82&lt;Annahmen!$C$71,0,IF($A82&lt;Annahmen!$C$71+Annahmen!$B$73,Annahmen!$C$72,Annahmen!$C$72*Annahmen!$B$75))</f>
        <v>450</v>
      </c>
      <c r="AO82" s="7" t="n">
        <f aca="false">IF(Z82&gt;0,1,0)</f>
        <v>1</v>
      </c>
      <c r="AP82" s="7" t="n">
        <f aca="false">IF(AA82&gt;=0,1,0)</f>
        <v>0</v>
      </c>
    </row>
    <row r="83" customFormat="false" ht="15" hidden="false" customHeight="false" outlineLevel="0" collapsed="false">
      <c r="A83" s="7" t="n">
        <v>21</v>
      </c>
      <c r="B83" s="7" t="s">
        <v>410</v>
      </c>
      <c r="C83" s="15" t="n">
        <f aca="false">AM83+AN83</f>
        <v>12502.6644809454</v>
      </c>
      <c r="D83" s="17" t="n">
        <f aca="false">D82+IF($A83&gt;=Annahmen!$C$180,Annahmen!$C$181,0)</f>
        <v>90</v>
      </c>
      <c r="E83" s="17" t="n">
        <f aca="false">E82+Annahmen!$C$67</f>
        <v>183</v>
      </c>
      <c r="F83" s="25" t="n">
        <f aca="false">MIN(Annahmen!$C$185,Annahmen!$C$184*D83/10)</f>
        <v>0.09</v>
      </c>
      <c r="G83" s="42" t="n">
        <f aca="false">MIN(Annahmen!$C$187,Annahmen!$C$186*D83/10)</f>
        <v>0.0045</v>
      </c>
      <c r="H83" s="17" t="n">
        <f aca="false">IF($A83&gt;Annahmen!$B$68,INDEX($AM$63:$AM$86,$A83-Annahmen!$B$68),0)*(Annahmen!$C$59+G83)+IF($A83=Annahmen!$C$71+Annahmen!$B$73,Annahmen!$C$72*Annahmen!$C$74,0)</f>
        <v>142.35286631364</v>
      </c>
      <c r="I83" s="17" t="n">
        <f aca="false">I82*(1-Annahmen!$C$60)+H83</f>
        <v>620.686759355349</v>
      </c>
      <c r="J83" s="17" t="n">
        <f aca="false">I83*(1-Annahmen!$C$61)</f>
        <v>372.412055613209</v>
      </c>
      <c r="K83" s="17" t="n">
        <f aca="false">I83*Annahmen!$C$61</f>
        <v>248.27470374214</v>
      </c>
      <c r="L83" s="24" t="n">
        <f aca="false">J83*Annahmen!$C$87+K83*Annahmen!$C$88</f>
        <v>3935.36094989936</v>
      </c>
      <c r="M83" s="24" t="n">
        <f aca="false">IF($A83&gt;=Annahmen!$C$55,Annahmen!$C$64*((1-Annahmen!$C$65)*Annahmen!$B$80+Annahmen!$C$65*Annahmen!$B$81)+Annahmen!$C$66*Annahmen!$B$82,0)</f>
        <v>206.48</v>
      </c>
      <c r="N83" s="24" t="n">
        <f aca="false">(L83+M83)/(1+Annahmen!$B$9)</f>
        <v>3480.53861336081</v>
      </c>
      <c r="O83" s="24" t="n">
        <f aca="false">L83/(1+Annahmen!$B$9)</f>
        <v>3307.02600831879</v>
      </c>
      <c r="P83" s="24" t="n">
        <f aca="false">N83*(Annahmen!$C$63*Annahmen!$B$83+(1-Annahmen!$C$63)*Annahmen!$B$84)+(I83*Annahmen!$C$62+I83*(1-Annahmen!$C$62)/12+IF($A83&gt;=Annahmen!$C$55,Annahmen!$C$64+Annahmen!$C$66,0))*(1-Annahmen!$C$63)*Annahmen!$B$85</f>
        <v>336.594637384565</v>
      </c>
      <c r="Q83" s="25" t="n">
        <f aca="false">IF(D83=0,0,MIN(Annahmen!$B$189,Annahmen!$C$188*D83/(Annahmen!$C$188*D83+E83)))</f>
        <v>0.596026490066225</v>
      </c>
      <c r="R83" s="24" t="n">
        <f aca="false">O83*Q83*Annahmen!$B$196</f>
        <v>1172.7896870561</v>
      </c>
      <c r="S83" s="24" t="n">
        <f aca="false">Annahmen!$C$67*(Annahmen!$B$43+Annahmen!$B$154)</f>
        <v>518.967701791488</v>
      </c>
      <c r="T83" s="24" t="n">
        <f aca="false">IF($A83&gt;=Annahmen!$C$55,Annahmen!$C$64*(1-Annahmen!$C$65)*Annahmen!$B$44+(Annahmen!$C$64*Annahmen!$C$65+Annahmen!$C$66)*Annahmen!$B$45,0)</f>
        <v>79.1744983854023</v>
      </c>
      <c r="U83" s="24" t="n">
        <f aca="false">C83*Annahmen!$B$86</f>
        <v>125.026644809454</v>
      </c>
      <c r="V83" s="24" t="n">
        <f aca="false">SUMPRODUCT((((Annahmen!$C$161:$C$174="monatlich")*(Annahmen!$D$161:$D$174&lt;=$A83))+((Annahmen!$C$161:$C$174="einmalig")*(Annahmen!$D$161:$D$174=$A83)))*Annahmen!$B$161:$B$174*Annahmen!$E$161:$E$174)</f>
        <v>69.9850799606897</v>
      </c>
      <c r="W83" s="24" t="n">
        <f aca="false">IF($A83&gt;=Annahmen!$C$55,Annahmen!$C$143,0)</f>
        <v>500</v>
      </c>
      <c r="X83" s="36" t="n">
        <f aca="false">MAX(0,(I83-Annahmen!$B$147)/Annahmen!$B$148)</f>
        <v>0</v>
      </c>
      <c r="Y83" s="24" t="n">
        <f aca="false">X83*Annahmen!$B$146</f>
        <v>0</v>
      </c>
      <c r="Z83" s="24" t="n">
        <f aca="false">N83-P83-R83-S83-T83-U83-V83-W83-Y83+AL83</f>
        <v>1866.19813613211</v>
      </c>
      <c r="AA83" s="24" t="n">
        <f aca="false">AA82+Z83</f>
        <v>-7346.57839447631</v>
      </c>
      <c r="AB83" s="17" t="n">
        <f aca="false">IF($A83&gt;=Annahmen!$C$180,Annahmen!$C$181,0)</f>
        <v>5</v>
      </c>
      <c r="AC83" s="17" t="n">
        <f aca="false">AB83*(1-Annahmen!$B$199)</f>
        <v>4</v>
      </c>
      <c r="AD83" s="24" t="n">
        <f aca="false">AC83*(Annahmen!$B$197+Annahmen!$B$198)+AB83*Annahmen!$C$155*Annahmen!$B$157</f>
        <v>1481</v>
      </c>
      <c r="AE83" s="24" t="n">
        <f aca="false">AB83*(Annahmen!$B$48+Annahmen!$B$182*Annahmen!$B$11+Annahmen!$C$155*Annahmen!$B$154)</f>
        <v>97.3587163568827</v>
      </c>
      <c r="AF83" s="24" t="n">
        <f aca="false">AD83-AE83</f>
        <v>1383.64128364312</v>
      </c>
      <c r="AG83" s="24" t="n">
        <f aca="false">Gesamt!J67-TÆLLA!Y67+Z83+AF83</f>
        <v>5409.86950622244</v>
      </c>
      <c r="AH83" s="24" t="n">
        <f aca="false">AH82+AG83</f>
        <v>47860.5361230684</v>
      </c>
      <c r="AI83" s="15" t="n">
        <f aca="false">IF(AG83&gt;0,1,0)</f>
        <v>1</v>
      </c>
      <c r="AJ83" s="15" t="n">
        <f aca="false">IF(AH83&gt;=0,1,0)</f>
        <v>1</v>
      </c>
      <c r="AK83" s="15" t="n">
        <f aca="false">MAX(0,C83-I83)</f>
        <v>11881.97772159</v>
      </c>
      <c r="AL83" s="24" t="n">
        <f aca="false">IF($A83&gt;=Annahmen!$C$69,AK83*Annahmen!$C$70,0)</f>
        <v>1188.197772159</v>
      </c>
      <c r="AM83" s="15" t="n">
        <f aca="false">IF($A83&lt;Annahmen!$C$55,0,IF($A83=Annahmen!$C$55,Annahmen!$C$56,AM82*(1+(Annahmen!$C$57+F83)*(1-C82/Annahmen!$C$58))))</f>
        <v>12052.6644809454</v>
      </c>
      <c r="AN83" s="15" t="n">
        <f aca="false">IF($A83&lt;Annahmen!$C$71,0,IF($A83&lt;Annahmen!$C$71+Annahmen!$B$73,Annahmen!$C$72,Annahmen!$C$72*Annahmen!$B$75))</f>
        <v>450</v>
      </c>
      <c r="AO83" s="7" t="n">
        <f aca="false">IF(Z83&gt;0,1,0)</f>
        <v>1</v>
      </c>
      <c r="AP83" s="7" t="n">
        <f aca="false">IF(AA83&gt;=0,1,0)</f>
        <v>0</v>
      </c>
    </row>
    <row r="84" customFormat="false" ht="15" hidden="false" customHeight="false" outlineLevel="0" collapsed="false">
      <c r="A84" s="7" t="n">
        <v>22</v>
      </c>
      <c r="B84" s="7" t="s">
        <v>411</v>
      </c>
      <c r="C84" s="15" t="n">
        <f aca="false">AM84+AN84</f>
        <v>15270.9715141463</v>
      </c>
      <c r="D84" s="17" t="n">
        <f aca="false">D83+IF($A84&gt;=Annahmen!$C$180,Annahmen!$C$181,0)</f>
        <v>95</v>
      </c>
      <c r="E84" s="17" t="n">
        <f aca="false">E83+Annahmen!$C$67</f>
        <v>191</v>
      </c>
      <c r="F84" s="25" t="n">
        <f aca="false">MIN(Annahmen!$C$185,Annahmen!$C$184*D84/10)</f>
        <v>0.095</v>
      </c>
      <c r="G84" s="42" t="n">
        <f aca="false">MIN(Annahmen!$C$187,Annahmen!$C$186*D84/10)</f>
        <v>0.00475</v>
      </c>
      <c r="H84" s="17" t="n">
        <f aca="false">IF($A84&gt;Annahmen!$B$68,INDEX($AM$63:$AM$86,$A84-Annahmen!$B$68),0)*(Annahmen!$C$59+G84)+IF($A84=Annahmen!$C$71+Annahmen!$B$73,Annahmen!$C$72*Annahmen!$C$74,0)</f>
        <v>177.776801093944</v>
      </c>
      <c r="I84" s="17" t="n">
        <f aca="false">I83*(1-Annahmen!$C$60)+H84</f>
        <v>761.222354887972</v>
      </c>
      <c r="J84" s="17" t="n">
        <f aca="false">I84*(1-Annahmen!$C$61)</f>
        <v>456.733412932783</v>
      </c>
      <c r="K84" s="17" t="n">
        <f aca="false">I84*Annahmen!$C$61</f>
        <v>304.488941955189</v>
      </c>
      <c r="L84" s="24" t="n">
        <f aca="false">J84*Annahmen!$C$87+K84*Annahmen!$C$88</f>
        <v>4826.40347077471</v>
      </c>
      <c r="M84" s="24" t="n">
        <f aca="false">IF($A84&gt;=Annahmen!$C$55,Annahmen!$C$64*((1-Annahmen!$C$65)*Annahmen!$B$80+Annahmen!$C$65*Annahmen!$B$81)+Annahmen!$C$66*Annahmen!$B$82,0)</f>
        <v>206.48</v>
      </c>
      <c r="N84" s="24" t="n">
        <f aca="false">(L84+M84)/(1+Annahmen!$B$9)</f>
        <v>4229.31384098715</v>
      </c>
      <c r="O84" s="24" t="n">
        <f aca="false">L84/(1+Annahmen!$B$9)</f>
        <v>4055.80123594513</v>
      </c>
      <c r="P84" s="24" t="n">
        <f aca="false">N84*(Annahmen!$C$63*Annahmen!$B$83+(1-Annahmen!$C$63)*Annahmen!$B$84)+(I84*Annahmen!$C$62+I84*(1-Annahmen!$C$62)/12+IF($A84&gt;=Annahmen!$C$55,Annahmen!$C$64+Annahmen!$C$66,0))*(1-Annahmen!$C$63)*Annahmen!$B$85</f>
        <v>409.494328310071</v>
      </c>
      <c r="Q84" s="25" t="n">
        <f aca="false">IF(D84=0,0,MIN(Annahmen!$B$189,Annahmen!$C$188*D84/(Annahmen!$C$188*D84+E84)))</f>
        <v>0.598739495798319</v>
      </c>
      <c r="R84" s="24" t="n">
        <f aca="false">O84*Q84*Annahmen!$B$196</f>
        <v>1444.87919030545</v>
      </c>
      <c r="S84" s="24" t="n">
        <f aca="false">Annahmen!$C$67*(Annahmen!$B$43+Annahmen!$B$154)</f>
        <v>518.967701791488</v>
      </c>
      <c r="T84" s="24" t="n">
        <f aca="false">IF($A84&gt;=Annahmen!$C$55,Annahmen!$C$64*(1-Annahmen!$C$65)*Annahmen!$B$44+(Annahmen!$C$64*Annahmen!$C$65+Annahmen!$C$66)*Annahmen!$B$45,0)</f>
        <v>79.1744983854023</v>
      </c>
      <c r="U84" s="24" t="n">
        <f aca="false">C84*Annahmen!$B$86</f>
        <v>152.709715141463</v>
      </c>
      <c r="V84" s="24" t="n">
        <f aca="false">SUMPRODUCT((((Annahmen!$C$161:$C$174="monatlich")*(Annahmen!$D$161:$D$174&lt;=$A84))+((Annahmen!$C$161:$C$174="einmalig")*(Annahmen!$D$161:$D$174=$A84)))*Annahmen!$B$161:$B$174*Annahmen!$E$161:$E$174)</f>
        <v>69.9850799606897</v>
      </c>
      <c r="W84" s="24" t="n">
        <f aca="false">IF($A84&gt;=Annahmen!$C$55,Annahmen!$C$143,0)</f>
        <v>500</v>
      </c>
      <c r="X84" s="36" t="n">
        <f aca="false">MAX(0,(I84-Annahmen!$B$147)/Annahmen!$B$148)</f>
        <v>0</v>
      </c>
      <c r="Y84" s="24" t="n">
        <f aca="false">X84*Annahmen!$B$146</f>
        <v>0</v>
      </c>
      <c r="Z84" s="24" t="n">
        <f aca="false">N84-P84-R84-S84-T84-U84-V84-W84-Y84+AL84</f>
        <v>2505.07824301841</v>
      </c>
      <c r="AA84" s="24" t="n">
        <f aca="false">AA83+Z84</f>
        <v>-4841.50015145789</v>
      </c>
      <c r="AB84" s="17" t="n">
        <f aca="false">IF($A84&gt;=Annahmen!$C$180,Annahmen!$C$181,0)</f>
        <v>5</v>
      </c>
      <c r="AC84" s="17" t="n">
        <f aca="false">AB84*(1-Annahmen!$B$199)</f>
        <v>4</v>
      </c>
      <c r="AD84" s="24" t="n">
        <f aca="false">AC84*(Annahmen!$B$197+Annahmen!$B$198)+AB84*Annahmen!$C$155*Annahmen!$B$157</f>
        <v>1481</v>
      </c>
      <c r="AE84" s="24" t="n">
        <f aca="false">AB84*(Annahmen!$B$48+Annahmen!$B$182*Annahmen!$B$11+Annahmen!$C$155*Annahmen!$B$154)</f>
        <v>97.3587163568827</v>
      </c>
      <c r="AF84" s="24" t="n">
        <f aca="false">AD84-AE84</f>
        <v>1383.64128364312</v>
      </c>
      <c r="AG84" s="24" t="n">
        <f aca="false">Gesamt!J68-TÆLLA!Y68+Z84+AF84</f>
        <v>6058.31807105267</v>
      </c>
      <c r="AH84" s="24" t="n">
        <f aca="false">AH83+AG84</f>
        <v>53918.8541941211</v>
      </c>
      <c r="AI84" s="15" t="n">
        <f aca="false">IF(AG84&gt;0,1,0)</f>
        <v>1</v>
      </c>
      <c r="AJ84" s="15" t="n">
        <f aca="false">IF(AH84&gt;=0,1,0)</f>
        <v>1</v>
      </c>
      <c r="AK84" s="15" t="n">
        <f aca="false">MAX(0,C84-I84)</f>
        <v>14509.7491592583</v>
      </c>
      <c r="AL84" s="24" t="n">
        <f aca="false">IF($A84&gt;=Annahmen!$C$69,AK84*Annahmen!$C$70,0)</f>
        <v>1450.97491592583</v>
      </c>
      <c r="AM84" s="15" t="n">
        <f aca="false">IF($A84&lt;Annahmen!$C$55,0,IF($A84=Annahmen!$C$55,Annahmen!$C$56,AM83*(1+(Annahmen!$C$57+F84)*(1-C83/Annahmen!$C$58))))</f>
        <v>14820.9715141463</v>
      </c>
      <c r="AN84" s="15" t="n">
        <f aca="false">IF($A84&lt;Annahmen!$C$71,0,IF($A84&lt;Annahmen!$C$71+Annahmen!$B$73,Annahmen!$C$72,Annahmen!$C$72*Annahmen!$B$75))</f>
        <v>450</v>
      </c>
      <c r="AO84" s="7" t="n">
        <f aca="false">IF(Z84&gt;0,1,0)</f>
        <v>1</v>
      </c>
      <c r="AP84" s="7" t="n">
        <f aca="false">IF(AA84&gt;=0,1,0)</f>
        <v>0</v>
      </c>
    </row>
    <row r="85" customFormat="false" ht="15" hidden="false" customHeight="false" outlineLevel="0" collapsed="false">
      <c r="A85" s="7" t="n">
        <v>23</v>
      </c>
      <c r="B85" s="7" t="s">
        <v>412</v>
      </c>
      <c r="C85" s="15" t="n">
        <f aca="false">AM85+AN85</f>
        <v>18693.3011004273</v>
      </c>
      <c r="D85" s="17" t="n">
        <f aca="false">D84+IF($A85&gt;=Annahmen!$C$180,Annahmen!$C$181,0)</f>
        <v>100</v>
      </c>
      <c r="E85" s="17" t="n">
        <f aca="false">E84+Annahmen!$C$67</f>
        <v>199</v>
      </c>
      <c r="F85" s="25" t="n">
        <f aca="false">MIN(Annahmen!$C$185,Annahmen!$C$184*D85/10)</f>
        <v>0.1</v>
      </c>
      <c r="G85" s="42" t="n">
        <f aca="false">MIN(Annahmen!$C$187,Annahmen!$C$186*D85/10)</f>
        <v>0.005</v>
      </c>
      <c r="H85" s="17" t="n">
        <f aca="false">IF($A85&gt;Annahmen!$B$68,INDEX($AM$63:$AM$86,$A85-Annahmen!$B$68),0)*(Annahmen!$C$59+G85)+IF($A85=Annahmen!$C$71+Annahmen!$B$73,Annahmen!$C$72*Annahmen!$C$74,0)</f>
        <v>222.314572712195</v>
      </c>
      <c r="I85" s="17" t="n">
        <f aca="false">I84*(1-Annahmen!$C$60)+H85</f>
        <v>937.863586306888</v>
      </c>
      <c r="J85" s="17" t="n">
        <f aca="false">I85*(1-Annahmen!$C$61)</f>
        <v>562.718151784133</v>
      </c>
      <c r="K85" s="17" t="n">
        <f aca="false">I85*Annahmen!$C$61</f>
        <v>375.145434522755</v>
      </c>
      <c r="L85" s="24" t="n">
        <f aca="false">J85*Annahmen!$C$87+K85*Annahmen!$C$88</f>
        <v>5946.36775838111</v>
      </c>
      <c r="M85" s="24" t="n">
        <f aca="false">IF($A85&gt;=Annahmen!$C$55,Annahmen!$C$64*((1-Annahmen!$C$65)*Annahmen!$B$80+Annahmen!$C$65*Annahmen!$B$81)+Annahmen!$C$66*Annahmen!$B$82,0)</f>
        <v>206.48</v>
      </c>
      <c r="N85" s="24" t="n">
        <f aca="false">(L85+M85)/(1+Annahmen!$B$9)</f>
        <v>5170.46030116059</v>
      </c>
      <c r="O85" s="24" t="n">
        <f aca="false">L85/(1+Annahmen!$B$9)</f>
        <v>4996.94769611858</v>
      </c>
      <c r="P85" s="24" t="n">
        <f aca="false">N85*(Annahmen!$C$63*Annahmen!$B$83+(1-Annahmen!$C$63)*Annahmen!$B$84)+(I85*Annahmen!$C$62+I85*(1-Annahmen!$C$62)/12+IF($A85&gt;=Annahmen!$C$55,Annahmen!$C$64+Annahmen!$C$66,0))*(1-Annahmen!$C$63)*Annahmen!$B$85</f>
        <v>501.123008761711</v>
      </c>
      <c r="Q85" s="25" t="n">
        <f aca="false">IF(D85=0,0,MIN(Annahmen!$B$189,Annahmen!$C$188*D85/(Annahmen!$C$188*D85+E85)))</f>
        <v>0.601202404809619</v>
      </c>
      <c r="R85" s="24" t="n">
        <f aca="false">O85*Q85*Annahmen!$B$196</f>
        <v>1787.48529811055</v>
      </c>
      <c r="S85" s="24" t="n">
        <f aca="false">Annahmen!$C$67*(Annahmen!$B$43+Annahmen!$B$154)</f>
        <v>518.967701791488</v>
      </c>
      <c r="T85" s="24" t="n">
        <f aca="false">IF($A85&gt;=Annahmen!$C$55,Annahmen!$C$64*(1-Annahmen!$C$65)*Annahmen!$B$44+(Annahmen!$C$64*Annahmen!$C$65+Annahmen!$C$66)*Annahmen!$B$45,0)</f>
        <v>79.1744983854023</v>
      </c>
      <c r="U85" s="24" t="n">
        <f aca="false">C85*Annahmen!$B$86</f>
        <v>186.933011004273</v>
      </c>
      <c r="V85" s="24" t="n">
        <f aca="false">SUMPRODUCT((((Annahmen!$C$161:$C$174="monatlich")*(Annahmen!$D$161:$D$174&lt;=$A85))+((Annahmen!$C$161:$C$174="einmalig")*(Annahmen!$D$161:$D$174=$A85)))*Annahmen!$B$161:$B$174*Annahmen!$E$161:$E$174)</f>
        <v>69.9850799606897</v>
      </c>
      <c r="W85" s="24" t="n">
        <f aca="false">IF($A85&gt;=Annahmen!$C$55,Annahmen!$C$143,0)</f>
        <v>500</v>
      </c>
      <c r="X85" s="36" t="n">
        <f aca="false">MAX(0,(I85-Annahmen!$B$147)/Annahmen!$B$148)</f>
        <v>0</v>
      </c>
      <c r="Y85" s="24" t="n">
        <f aca="false">X85*Annahmen!$B$146</f>
        <v>0</v>
      </c>
      <c r="Z85" s="24" t="n">
        <f aca="false">N85-P85-R85-S85-T85-U85-V85-W85-Y85+AL85</f>
        <v>3302.33545455851</v>
      </c>
      <c r="AA85" s="24" t="n">
        <f aca="false">AA84+Z85</f>
        <v>-1539.16469689938</v>
      </c>
      <c r="AB85" s="17" t="n">
        <f aca="false">IF($A85&gt;=Annahmen!$C$180,Annahmen!$C$181,0)</f>
        <v>5</v>
      </c>
      <c r="AC85" s="17" t="n">
        <f aca="false">AB85*(1-Annahmen!$B$199)</f>
        <v>4</v>
      </c>
      <c r="AD85" s="24" t="n">
        <f aca="false">AC85*(Annahmen!$B$197+Annahmen!$B$198)+AB85*Annahmen!$C$155*Annahmen!$B$157</f>
        <v>1481</v>
      </c>
      <c r="AE85" s="24" t="n">
        <f aca="false">AB85*(Annahmen!$B$48+Annahmen!$B$182*Annahmen!$B$11+Annahmen!$C$155*Annahmen!$B$154)</f>
        <v>97.3587163568827</v>
      </c>
      <c r="AF85" s="24" t="n">
        <f aca="false">AD85-AE85</f>
        <v>1383.64128364312</v>
      </c>
      <c r="AG85" s="24" t="n">
        <f aca="false">Gesamt!J69-TÆLLA!Y69+Z85+AF85</f>
        <v>6865.14374053669</v>
      </c>
      <c r="AH85" s="24" t="n">
        <f aca="false">AH84+AG85</f>
        <v>60783.9979346578</v>
      </c>
      <c r="AI85" s="15" t="n">
        <f aca="false">IF(AG85&gt;0,1,0)</f>
        <v>1</v>
      </c>
      <c r="AJ85" s="15" t="n">
        <f aca="false">IF(AH85&gt;=0,1,0)</f>
        <v>1</v>
      </c>
      <c r="AK85" s="15" t="n">
        <f aca="false">MAX(0,C85-I85)</f>
        <v>17755.4375141204</v>
      </c>
      <c r="AL85" s="24" t="n">
        <f aca="false">IF($A85&gt;=Annahmen!$C$69,AK85*Annahmen!$C$70,0)</f>
        <v>1775.54375141204</v>
      </c>
      <c r="AM85" s="15" t="n">
        <f aca="false">IF($A85&lt;Annahmen!$C$55,0,IF($A85=Annahmen!$C$55,Annahmen!$C$56,AM84*(1+(Annahmen!$C$57+F85)*(1-C84/Annahmen!$C$58))))</f>
        <v>18243.3011004273</v>
      </c>
      <c r="AN85" s="15" t="n">
        <f aca="false">IF($A85&lt;Annahmen!$C$71,0,IF($A85&lt;Annahmen!$C$71+Annahmen!$B$73,Annahmen!$C$72,Annahmen!$C$72*Annahmen!$B$75))</f>
        <v>450</v>
      </c>
      <c r="AO85" s="7" t="n">
        <f aca="false">IF(Z85&gt;0,1,0)</f>
        <v>1</v>
      </c>
      <c r="AP85" s="7" t="n">
        <f aca="false">IF(AA85&gt;=0,1,0)</f>
        <v>0</v>
      </c>
    </row>
    <row r="86" customFormat="false" ht="15" hidden="false" customHeight="false" outlineLevel="0" collapsed="false">
      <c r="A86" s="7" t="n">
        <v>24</v>
      </c>
      <c r="B86" s="7" t="s">
        <v>413</v>
      </c>
      <c r="C86" s="15" t="n">
        <f aca="false">AM86+AN86</f>
        <v>22827.841974864</v>
      </c>
      <c r="D86" s="17" t="n">
        <f aca="false">D85+IF($A86&gt;=Annahmen!$C$180,Annahmen!$C$181,0)</f>
        <v>105</v>
      </c>
      <c r="E86" s="17" t="n">
        <f aca="false">E85+Annahmen!$C$67</f>
        <v>207</v>
      </c>
      <c r="F86" s="25" t="n">
        <f aca="false">MIN(Annahmen!$C$185,Annahmen!$C$184*D86/10)</f>
        <v>0.1</v>
      </c>
      <c r="G86" s="42" t="n">
        <f aca="false">MIN(Annahmen!$C$187,Annahmen!$C$186*D86/10)</f>
        <v>0.005</v>
      </c>
      <c r="H86" s="17" t="n">
        <f aca="false">IF($A86&gt;Annahmen!$B$68,INDEX($AM$63:$AM$86,$A86-Annahmen!$B$68),0)*(Annahmen!$C$59+G86)+IF($A86=Annahmen!$C$71+Annahmen!$B$73,Annahmen!$C$72*Annahmen!$C$74,0)</f>
        <v>273.649516506409</v>
      </c>
      <c r="I86" s="17" t="n">
        <f aca="false">I85*(1-Annahmen!$C$60)+H86</f>
        <v>1155.24128763488</v>
      </c>
      <c r="J86" s="17" t="n">
        <f aca="false">I86*(1-Annahmen!$C$61)</f>
        <v>693.14477258093</v>
      </c>
      <c r="K86" s="17" t="n">
        <f aca="false">I86*Annahmen!$C$61</f>
        <v>462.096515053954</v>
      </c>
      <c r="L86" s="24" t="n">
        <f aca="false">J86*Annahmen!$C$87+K86*Annahmen!$C$88</f>
        <v>7324.61484403437</v>
      </c>
      <c r="M86" s="24" t="n">
        <f aca="false">IF($A86&gt;=Annahmen!$C$55,Annahmen!$C$64*((1-Annahmen!$C$65)*Annahmen!$B$80+Annahmen!$C$65*Annahmen!$B$81)+Annahmen!$C$66*Annahmen!$B$82,0)</f>
        <v>206.48</v>
      </c>
      <c r="N86" s="24" t="n">
        <f aca="false">(L86+M86)/(1+Annahmen!$B$9)</f>
        <v>6328.65112944065</v>
      </c>
      <c r="O86" s="24" t="n">
        <f aca="false">L86/(1+Annahmen!$B$9)</f>
        <v>6155.13852439863</v>
      </c>
      <c r="P86" s="24" t="n">
        <f aca="false">N86*(Annahmen!$C$63*Annahmen!$B$83+(1-Annahmen!$C$63)*Annahmen!$B$84)+(I86*Annahmen!$C$62+I86*(1-Annahmen!$C$62)/12+IF($A86&gt;=Annahmen!$C$55,Annahmen!$C$64+Annahmen!$C$66,0))*(1-Annahmen!$C$63)*Annahmen!$B$85</f>
        <v>613.882820116615</v>
      </c>
      <c r="Q86" s="25" t="n">
        <f aca="false">IF(D86=0,0,MIN(Annahmen!$B$189,Annahmen!$C$188*D86/(Annahmen!$C$188*D86+E86)))</f>
        <v>0.603448275862069</v>
      </c>
      <c r="R86" s="24" t="n">
        <f aca="false">O86*Q86*Annahmen!$B$196</f>
        <v>2210.01309949313</v>
      </c>
      <c r="S86" s="24" t="n">
        <f aca="false">Annahmen!$C$67*(Annahmen!$B$43+Annahmen!$B$154)</f>
        <v>518.967701791488</v>
      </c>
      <c r="T86" s="24" t="n">
        <f aca="false">IF($A86&gt;=Annahmen!$C$55,Annahmen!$C$64*(1-Annahmen!$C$65)*Annahmen!$B$44+(Annahmen!$C$64*Annahmen!$C$65+Annahmen!$C$66)*Annahmen!$B$45,0)</f>
        <v>79.1744983854023</v>
      </c>
      <c r="U86" s="24" t="n">
        <f aca="false">C86*Annahmen!$B$86</f>
        <v>228.27841974864</v>
      </c>
      <c r="V86" s="24" t="n">
        <f aca="false">SUMPRODUCT((((Annahmen!$C$161:$C$174="monatlich")*(Annahmen!$D$161:$D$174&lt;=$A86))+((Annahmen!$C$161:$C$174="einmalig")*(Annahmen!$D$161:$D$174=$A86)))*Annahmen!$B$161:$B$174*Annahmen!$E$161:$E$174)</f>
        <v>69.9850799606897</v>
      </c>
      <c r="W86" s="24" t="n">
        <f aca="false">IF($A86&gt;=Annahmen!$C$55,Annahmen!$C$143,0)</f>
        <v>500</v>
      </c>
      <c r="X86" s="36" t="n">
        <f aca="false">MAX(0,(I86-Annahmen!$B$147)/Annahmen!$B$148)</f>
        <v>0.0517470958782946</v>
      </c>
      <c r="Y86" s="24" t="n">
        <f aca="false">X86*Annahmen!$B$146</f>
        <v>232.861931452326</v>
      </c>
      <c r="Z86" s="24" t="n">
        <f aca="false">N86-P86-R86-S86-T86-U86-V86-W86-Y86+AL86</f>
        <v>4042.74764721527</v>
      </c>
      <c r="AA86" s="24" t="n">
        <f aca="false">AA85+Z86</f>
        <v>2503.58295031589</v>
      </c>
      <c r="AB86" s="17" t="n">
        <f aca="false">IF($A86&gt;=Annahmen!$C$180,Annahmen!$C$181,0)</f>
        <v>5</v>
      </c>
      <c r="AC86" s="17" t="n">
        <f aca="false">AB86*(1-Annahmen!$B$199)</f>
        <v>4</v>
      </c>
      <c r="AD86" s="24" t="n">
        <f aca="false">AC86*(Annahmen!$B$197+Annahmen!$B$198)+AB86*Annahmen!$C$155*Annahmen!$B$157</f>
        <v>1481</v>
      </c>
      <c r="AE86" s="24" t="n">
        <f aca="false">AB86*(Annahmen!$B$48+Annahmen!$B$182*Annahmen!$B$11+Annahmen!$C$155*Annahmen!$B$154)</f>
        <v>97.3587163568827</v>
      </c>
      <c r="AF86" s="24" t="n">
        <f aca="false">AD86-AE86</f>
        <v>1383.64128364312</v>
      </c>
      <c r="AG86" s="24" t="n">
        <f aca="false">Gesamt!J70-TÆLLA!Y70+Z86+AF86</f>
        <v>7615.12439113738</v>
      </c>
      <c r="AH86" s="24" t="n">
        <f aca="false">AH85+AG86</f>
        <v>68399.1223257951</v>
      </c>
      <c r="AI86" s="15" t="n">
        <f aca="false">IF(AG86&gt;0,1,0)</f>
        <v>1</v>
      </c>
      <c r="AJ86" s="15" t="n">
        <f aca="false">IF(AH86&gt;=0,1,0)</f>
        <v>1</v>
      </c>
      <c r="AK86" s="15" t="n">
        <f aca="false">MAX(0,C86-I86)</f>
        <v>21672.6006872291</v>
      </c>
      <c r="AL86" s="24" t="n">
        <f aca="false">IF($A86&gt;=Annahmen!$C$69,AK86*Annahmen!$C$70,0)</f>
        <v>2167.26006872291</v>
      </c>
      <c r="AM86" s="15" t="n">
        <f aca="false">IF($A86&lt;Annahmen!$C$55,0,IF($A86=Annahmen!$C$55,Annahmen!$C$56,AM85*(1+(Annahmen!$C$57+F86)*(1-C85/Annahmen!$C$58))))</f>
        <v>22377.841974864</v>
      </c>
      <c r="AN86" s="15" t="n">
        <f aca="false">IF($A86&lt;Annahmen!$C$71,0,IF($A86&lt;Annahmen!$C$71+Annahmen!$B$73,Annahmen!$C$72,Annahmen!$C$72*Annahmen!$B$75))</f>
        <v>450</v>
      </c>
      <c r="AO86" s="7" t="n">
        <f aca="false">IF(Z86&gt;0,1,0)</f>
        <v>1</v>
      </c>
      <c r="AP86" s="7" t="n">
        <f aca="false">IF(AA86&gt;=0,1,0)</f>
        <v>1</v>
      </c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customFormat="false" ht="15" hidden="false" customHeight="false" outlineLevel="0" collapsed="false">
      <c r="A90" s="5" t="str">
        <f aca="false">"Szenario stark – "&amp;Annahmen!$D$142</f>
        <v>Szenario stark – skalierbares Business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2"/>
      <c r="AP90" s="2"/>
    </row>
    <row r="91" customFormat="false" ht="42" hidden="false" customHeight="true" outlineLevel="0" collapsed="false">
      <c r="A91" s="35" t="s">
        <v>99</v>
      </c>
      <c r="B91" s="35" t="s">
        <v>359</v>
      </c>
      <c r="C91" s="35" t="s">
        <v>360</v>
      </c>
      <c r="D91" s="35" t="s">
        <v>596</v>
      </c>
      <c r="E91" s="35" t="s">
        <v>597</v>
      </c>
      <c r="F91" s="35" t="s">
        <v>598</v>
      </c>
      <c r="G91" s="35" t="s">
        <v>599</v>
      </c>
      <c r="H91" s="35" t="s">
        <v>361</v>
      </c>
      <c r="I91" s="35" t="s">
        <v>362</v>
      </c>
      <c r="J91" s="35" t="s">
        <v>363</v>
      </c>
      <c r="K91" s="35" t="s">
        <v>364</v>
      </c>
      <c r="L91" s="35" t="s">
        <v>365</v>
      </c>
      <c r="M91" s="35" t="s">
        <v>600</v>
      </c>
      <c r="N91" s="35" t="s">
        <v>372</v>
      </c>
      <c r="O91" s="35" t="s">
        <v>601</v>
      </c>
      <c r="P91" s="35" t="s">
        <v>373</v>
      </c>
      <c r="Q91" s="35" t="s">
        <v>602</v>
      </c>
      <c r="R91" s="35" t="s">
        <v>603</v>
      </c>
      <c r="S91" s="35" t="s">
        <v>604</v>
      </c>
      <c r="T91" s="35" t="s">
        <v>376</v>
      </c>
      <c r="U91" s="35" t="s">
        <v>377</v>
      </c>
      <c r="V91" s="35" t="s">
        <v>378</v>
      </c>
      <c r="W91" s="35" t="s">
        <v>379</v>
      </c>
      <c r="X91" s="35" t="s">
        <v>380</v>
      </c>
      <c r="Y91" s="35" t="s">
        <v>381</v>
      </c>
      <c r="Z91" s="35" t="s">
        <v>476</v>
      </c>
      <c r="AA91" s="35" t="s">
        <v>605</v>
      </c>
      <c r="AB91" s="35" t="s">
        <v>606</v>
      </c>
      <c r="AC91" s="35" t="s">
        <v>607</v>
      </c>
      <c r="AD91" s="35" t="s">
        <v>608</v>
      </c>
      <c r="AE91" s="35" t="s">
        <v>609</v>
      </c>
      <c r="AF91" s="35" t="s">
        <v>610</v>
      </c>
      <c r="AG91" s="35" t="s">
        <v>611</v>
      </c>
      <c r="AH91" s="35" t="s">
        <v>612</v>
      </c>
      <c r="AI91" s="35" t="s">
        <v>613</v>
      </c>
      <c r="AJ91" s="35" t="s">
        <v>614</v>
      </c>
      <c r="AK91" s="35" t="s">
        <v>384</v>
      </c>
      <c r="AL91" s="35" t="s">
        <v>385</v>
      </c>
      <c r="AM91" s="35" t="s">
        <v>386</v>
      </c>
      <c r="AN91" s="35" t="s">
        <v>387</v>
      </c>
      <c r="AO91" s="35" t="s">
        <v>388</v>
      </c>
      <c r="AP91" s="35" t="s">
        <v>389</v>
      </c>
    </row>
    <row r="92" customFormat="false" ht="15" hidden="false" customHeight="false" outlineLevel="0" collapsed="false">
      <c r="A92" s="7" t="n">
        <v>1</v>
      </c>
      <c r="B92" s="7" t="s">
        <v>390</v>
      </c>
      <c r="C92" s="15" t="n">
        <f aca="false">AM92+AN92</f>
        <v>0</v>
      </c>
      <c r="D92" s="17" t="n">
        <f aca="false">IF($A92&gt;=Annahmen!$D$180,Annahmen!$D$181,0)</f>
        <v>0</v>
      </c>
      <c r="E92" s="17" t="n">
        <f aca="false">Annahmen!$B$183+Annahmen!$D$67</f>
        <v>27</v>
      </c>
      <c r="F92" s="25" t="n">
        <f aca="false">MIN(Annahmen!$D$185,Annahmen!$D$184*D92/10)</f>
        <v>0</v>
      </c>
      <c r="G92" s="42" t="n">
        <f aca="false">MIN(Annahmen!$D$187,Annahmen!$D$186*D92/10)</f>
        <v>0</v>
      </c>
      <c r="H92" s="17" t="n">
        <f aca="false">IF($A92&gt;Annahmen!$B$68,INDEX($AM$92:$AM$115,$A92-Annahmen!$B$68),0)*(Annahmen!$D$59+G92)+IF($A92=Annahmen!$D$71+Annahmen!$B$73,Annahmen!$D$72*Annahmen!$D$74,0)</f>
        <v>0</v>
      </c>
      <c r="I92" s="17" t="n">
        <f aca="false">H92</f>
        <v>0</v>
      </c>
      <c r="J92" s="17" t="n">
        <f aca="false">I92*(1-Annahmen!$D$61)</f>
        <v>0</v>
      </c>
      <c r="K92" s="17" t="n">
        <f aca="false">I92*Annahmen!$D$61</f>
        <v>0</v>
      </c>
      <c r="L92" s="24" t="n">
        <f aca="false">J92*Annahmen!$D$87+K92*Annahmen!$D$88</f>
        <v>0</v>
      </c>
      <c r="M92" s="24" t="n">
        <f aca="false">IF($A92&gt;=Annahmen!$D$55,Annahmen!$D$64*((1-Annahmen!$D$65)*Annahmen!$B$80+Annahmen!$D$65*Annahmen!$B$81)+Annahmen!$D$66*Annahmen!$B$82,0)</f>
        <v>0</v>
      </c>
      <c r="N92" s="24" t="n">
        <f aca="false">(L92+M92)/(1+Annahmen!$B$9)</f>
        <v>0</v>
      </c>
      <c r="O92" s="24" t="n">
        <f aca="false">L92/(1+Annahmen!$B$9)</f>
        <v>0</v>
      </c>
      <c r="P92" s="24" t="n">
        <f aca="false">N92*(Annahmen!$D$63*Annahmen!$B$83+(1-Annahmen!$D$63)*Annahmen!$B$84)+(I92*Annahmen!$D$62+I92*(1-Annahmen!$D$62)/12+IF($A92&gt;=Annahmen!$D$55,Annahmen!$D$64+Annahmen!$D$66,0))*(1-Annahmen!$D$63)*Annahmen!$B$85</f>
        <v>0</v>
      </c>
      <c r="Q92" s="25" t="n">
        <f aca="false">IF(D92=0,0,MIN(Annahmen!$B$189,Annahmen!$D$188*D92/(Annahmen!$D$188*D92+E92)))</f>
        <v>0</v>
      </c>
      <c r="R92" s="24" t="n">
        <f aca="false">O92*Q92*Annahmen!$B$196</f>
        <v>0</v>
      </c>
      <c r="S92" s="24" t="n">
        <f aca="false">Annahmen!$D$67*(Annahmen!$B$43+Annahmen!$B$154)</f>
        <v>778.451552687232</v>
      </c>
      <c r="T92" s="24" t="n">
        <f aca="false">IF($A92&gt;=Annahmen!$D$55,Annahmen!$D$64*(1-Annahmen!$D$65)*Annahmen!$B$44+(Annahmen!$D$64*Annahmen!$D$65+Annahmen!$D$66)*Annahmen!$B$45,0)</f>
        <v>0</v>
      </c>
      <c r="U92" s="24" t="n">
        <f aca="false">C92*Annahmen!$B$86</f>
        <v>0</v>
      </c>
      <c r="V92" s="24" t="n">
        <f aca="false">SUMPRODUCT((((Annahmen!$C$161:$C$174="monatlich")*(Annahmen!$D$161:$D$174&lt;=$A92))+((Annahmen!$C$161:$C$174="einmalig")*(Annahmen!$D$161:$D$174=$A92)))*Annahmen!$B$161:$B$174*Annahmen!$E$161:$E$174)</f>
        <v>3518.26773742402</v>
      </c>
      <c r="W92" s="24" t="n">
        <f aca="false">IF($A92&gt;=Annahmen!$D$55,Annahmen!$D$143,0)</f>
        <v>0</v>
      </c>
      <c r="X92" s="36" t="n">
        <f aca="false">MAX(0,(I92-Annahmen!$B$147)/Annahmen!$B$148)</f>
        <v>0</v>
      </c>
      <c r="Y92" s="24" t="n">
        <f aca="false">X92*Annahmen!$B$146</f>
        <v>0</v>
      </c>
      <c r="Z92" s="24" t="n">
        <f aca="false">N92-P92-R92-S92-T92-U92-V92-W92-Y92+AL92</f>
        <v>-4296.71929011125</v>
      </c>
      <c r="AA92" s="24" t="n">
        <f aca="false">Z92</f>
        <v>-4296.71929011125</v>
      </c>
      <c r="AB92" s="17" t="n">
        <f aca="false">IF($A92&gt;=Annahmen!$D$180,Annahmen!$D$181,0)</f>
        <v>0</v>
      </c>
      <c r="AC92" s="17" t="n">
        <f aca="false">AB92*(1-Annahmen!$B$199)</f>
        <v>0</v>
      </c>
      <c r="AD92" s="24" t="n">
        <f aca="false">AC92*(Annahmen!$B$197+Annahmen!$B$198)+AB92*Annahmen!$D$155*Annahmen!$B$157</f>
        <v>0</v>
      </c>
      <c r="AE92" s="24" t="n">
        <f aca="false">AB92*(Annahmen!$B$48+Annahmen!$B$182*Annahmen!$B$11+Annahmen!$D$155*Annahmen!$B$154)</f>
        <v>0</v>
      </c>
      <c r="AF92" s="24" t="n">
        <f aca="false">AD92-AE92</f>
        <v>0</v>
      </c>
      <c r="AG92" s="24" t="n">
        <f aca="false">Gesamt!J76-TÆLLA!Y76+Z92+AF92</f>
        <v>-7210.09579238869</v>
      </c>
      <c r="AH92" s="24" t="n">
        <f aca="false">AG92</f>
        <v>-7210.09579238869</v>
      </c>
      <c r="AI92" s="15" t="n">
        <f aca="false">IF(AG92&gt;0,1,0)</f>
        <v>0</v>
      </c>
      <c r="AJ92" s="15" t="n">
        <f aca="false">IF(AH92&gt;=0,1,0)</f>
        <v>0</v>
      </c>
      <c r="AK92" s="15" t="n">
        <f aca="false">MAX(0,C92-I92)</f>
        <v>0</v>
      </c>
      <c r="AL92" s="24" t="n">
        <f aca="false">IF($A92&gt;=Annahmen!$D$69,AK92*Annahmen!$D$70,0)</f>
        <v>0</v>
      </c>
      <c r="AM92" s="15" t="n">
        <f aca="false">IF($A92&lt;Annahmen!$D$55,0,Annahmen!$D$56)</f>
        <v>0</v>
      </c>
      <c r="AN92" s="15" t="n">
        <f aca="false">IF($A92&lt;Annahmen!$D$71,0,IF($A92&lt;Annahmen!$D$71+Annahmen!$B$73,Annahmen!$D$72,Annahmen!$D$72*Annahmen!$B$75))</f>
        <v>0</v>
      </c>
      <c r="AO92" s="7" t="n">
        <f aca="false">IF(Z92&gt;0,1,0)</f>
        <v>0</v>
      </c>
      <c r="AP92" s="7" t="n">
        <f aca="false">IF(AA92&gt;=0,1,0)</f>
        <v>0</v>
      </c>
    </row>
    <row r="93" customFormat="false" ht="15" hidden="false" customHeight="false" outlineLevel="0" collapsed="false">
      <c r="A93" s="7" t="n">
        <v>2</v>
      </c>
      <c r="B93" s="7" t="s">
        <v>391</v>
      </c>
      <c r="C93" s="15" t="n">
        <f aca="false">AM93+AN93</f>
        <v>1000</v>
      </c>
      <c r="D93" s="17" t="n">
        <f aca="false">D92+IF($A93&gt;=Annahmen!$D$180,Annahmen!$D$181,0)</f>
        <v>0</v>
      </c>
      <c r="E93" s="17" t="n">
        <f aca="false">E92+Annahmen!$D$67</f>
        <v>39</v>
      </c>
      <c r="F93" s="25" t="n">
        <f aca="false">MIN(Annahmen!$D$185,Annahmen!$D$184*D93/10)</f>
        <v>0</v>
      </c>
      <c r="G93" s="42" t="n">
        <f aca="false">MIN(Annahmen!$D$187,Annahmen!$D$186*D93/10)</f>
        <v>0</v>
      </c>
      <c r="H93" s="17" t="n">
        <f aca="false">IF($A93&gt;Annahmen!$B$68,INDEX($AM$92:$AM$115,$A93-Annahmen!$B$68),0)*(Annahmen!$D$59+G93)+IF($A93=Annahmen!$D$71+Annahmen!$B$73,Annahmen!$D$72*Annahmen!$D$74,0)</f>
        <v>0</v>
      </c>
      <c r="I93" s="17" t="n">
        <f aca="false">I92*(1-Annahmen!$D$60)+H93</f>
        <v>0</v>
      </c>
      <c r="J93" s="17" t="n">
        <f aca="false">I93*(1-Annahmen!$D$61)</f>
        <v>0</v>
      </c>
      <c r="K93" s="17" t="n">
        <f aca="false">I93*Annahmen!$D$61</f>
        <v>0</v>
      </c>
      <c r="L93" s="24" t="n">
        <f aca="false">J93*Annahmen!$D$87+K93*Annahmen!$D$88</f>
        <v>0</v>
      </c>
      <c r="M93" s="24" t="n">
        <f aca="false">IF($A93&gt;=Annahmen!$D$55,Annahmen!$D$64*((1-Annahmen!$D$65)*Annahmen!$B$80+Annahmen!$D$65*Annahmen!$B$81)+Annahmen!$D$66*Annahmen!$B$82,0)</f>
        <v>486.45</v>
      </c>
      <c r="N93" s="24" t="n">
        <f aca="false">(L93+M93)/(1+Annahmen!$B$9)</f>
        <v>408.781512605042</v>
      </c>
      <c r="O93" s="24" t="n">
        <f aca="false">L93/(1+Annahmen!$B$9)</f>
        <v>0</v>
      </c>
      <c r="P93" s="24" t="n">
        <f aca="false">N93*(Annahmen!$D$63*Annahmen!$B$83+(1-Annahmen!$D$63)*Annahmen!$B$84)+(I93*Annahmen!$D$62+I93*(1-Annahmen!$D$62)/12+IF($A93&gt;=Annahmen!$D$55,Annahmen!$D$64+Annahmen!$D$66,0))*(1-Annahmen!$D$63)*Annahmen!$B$85</f>
        <v>29.1059243697479</v>
      </c>
      <c r="Q93" s="25" t="n">
        <f aca="false">IF(D93=0,0,MIN(Annahmen!$B$189,Annahmen!$D$188*D93/(Annahmen!$D$188*D93+E93)))</f>
        <v>0</v>
      </c>
      <c r="R93" s="24" t="n">
        <f aca="false">O93*Q93*Annahmen!$B$196</f>
        <v>0</v>
      </c>
      <c r="S93" s="24" t="n">
        <f aca="false">Annahmen!$D$67*(Annahmen!$B$43+Annahmen!$B$154)</f>
        <v>778.451552687232</v>
      </c>
      <c r="T93" s="24" t="n">
        <f aca="false">IF($A93&gt;=Annahmen!$D$55,Annahmen!$D$64*(1-Annahmen!$D$65)*Annahmen!$B$44+(Annahmen!$D$64*Annahmen!$D$65+Annahmen!$D$66)*Annahmen!$B$45,0)</f>
        <v>190.53822791269</v>
      </c>
      <c r="U93" s="24" t="n">
        <f aca="false">C93*Annahmen!$B$86</f>
        <v>10</v>
      </c>
      <c r="V93" s="24" t="n">
        <f aca="false">SUMPRODUCT((((Annahmen!$C$161:$C$174="monatlich")*(Annahmen!$D$161:$D$174&lt;=$A93))+((Annahmen!$C$161:$C$174="einmalig")*(Annahmen!$D$161:$D$174=$A93)))*Annahmen!$B$161:$B$174*Annahmen!$E$161:$E$174)</f>
        <v>92.3204681497364</v>
      </c>
      <c r="W93" s="24" t="n">
        <f aca="false">IF($A93&gt;=Annahmen!$D$55,Annahmen!$D$143,0)</f>
        <v>2000</v>
      </c>
      <c r="X93" s="36" t="n">
        <f aca="false">MAX(0,(I93-Annahmen!$B$147)/Annahmen!$B$148)</f>
        <v>0</v>
      </c>
      <c r="Y93" s="24" t="n">
        <f aca="false">X93*Annahmen!$B$146</f>
        <v>0</v>
      </c>
      <c r="Z93" s="24" t="n">
        <f aca="false">N93-P93-R93-S93-T93-U93-V93-W93-Y93+AL93</f>
        <v>-2691.63466051436</v>
      </c>
      <c r="AA93" s="24" t="n">
        <f aca="false">AA92+Z93</f>
        <v>-6988.35395062562</v>
      </c>
      <c r="AB93" s="17" t="n">
        <f aca="false">IF($A93&gt;=Annahmen!$D$180,Annahmen!$D$181,0)</f>
        <v>0</v>
      </c>
      <c r="AC93" s="17" t="n">
        <f aca="false">AB93*(1-Annahmen!$B$199)</f>
        <v>0</v>
      </c>
      <c r="AD93" s="24" t="n">
        <f aca="false">AC93*(Annahmen!$B$197+Annahmen!$B$198)+AB93*Annahmen!$D$155*Annahmen!$B$157</f>
        <v>0</v>
      </c>
      <c r="AE93" s="24" t="n">
        <f aca="false">AB93*(Annahmen!$B$48+Annahmen!$B$182*Annahmen!$B$11+Annahmen!$D$155*Annahmen!$B$154)</f>
        <v>0</v>
      </c>
      <c r="AF93" s="24" t="n">
        <f aca="false">AD93-AE93</f>
        <v>0</v>
      </c>
      <c r="AG93" s="24" t="n">
        <f aca="false">Gesamt!J77-TÆLLA!Y77+Z93+AF93</f>
        <v>-3170.82272448292</v>
      </c>
      <c r="AH93" s="24" t="n">
        <f aca="false">AH92+AG93</f>
        <v>-10380.9185168716</v>
      </c>
      <c r="AI93" s="15" t="n">
        <f aca="false">IF(AG93&gt;0,1,0)</f>
        <v>0</v>
      </c>
      <c r="AJ93" s="15" t="n">
        <f aca="false">IF(AH93&gt;=0,1,0)</f>
        <v>0</v>
      </c>
      <c r="AK93" s="15" t="n">
        <f aca="false">MAX(0,C93-I93)</f>
        <v>1000</v>
      </c>
      <c r="AL93" s="24" t="n">
        <f aca="false">IF($A93&gt;=Annahmen!$D$69,AK93*Annahmen!$D$70,0)</f>
        <v>0</v>
      </c>
      <c r="AM93" s="15" t="n">
        <f aca="false">IF($A93&lt;Annahmen!$D$55,0,IF($A93=Annahmen!$D$55,Annahmen!$D$56,AM92*(1+(Annahmen!$D$57+F93)*(1-C92/Annahmen!$D$58))))</f>
        <v>1000</v>
      </c>
      <c r="AN93" s="15" t="n">
        <f aca="false">IF($A93&lt;Annahmen!$D$71,0,IF($A93&lt;Annahmen!$D$71+Annahmen!$B$73,Annahmen!$D$72,Annahmen!$D$72*Annahmen!$B$75))</f>
        <v>0</v>
      </c>
      <c r="AO93" s="7" t="n">
        <f aca="false">IF(Z93&gt;0,1,0)</f>
        <v>0</v>
      </c>
      <c r="AP93" s="7" t="n">
        <f aca="false">IF(AA93&gt;=0,1,0)</f>
        <v>0</v>
      </c>
    </row>
    <row r="94" customFormat="false" ht="15" hidden="false" customHeight="false" outlineLevel="0" collapsed="false">
      <c r="A94" s="7" t="n">
        <v>3</v>
      </c>
      <c r="B94" s="7" t="s">
        <v>392</v>
      </c>
      <c r="C94" s="15" t="n">
        <f aca="false">AM94+AN94</f>
        <v>6234.53</v>
      </c>
      <c r="D94" s="17" t="n">
        <f aca="false">D93+IF($A94&gt;=Annahmen!$D$180,Annahmen!$D$181,0)</f>
        <v>10</v>
      </c>
      <c r="E94" s="17" t="n">
        <f aca="false">E93+Annahmen!$D$67</f>
        <v>51</v>
      </c>
      <c r="F94" s="25" t="n">
        <f aca="false">MIN(Annahmen!$D$185,Annahmen!$D$184*D94/10)</f>
        <v>0.015</v>
      </c>
      <c r="G94" s="42" t="n">
        <f aca="false">MIN(Annahmen!$D$187,Annahmen!$D$186*D94/10)</f>
        <v>0.0008</v>
      </c>
      <c r="H94" s="17" t="n">
        <f aca="false">IF($A94&gt;Annahmen!$B$68,INDEX($AM$92:$AM$115,$A94-Annahmen!$B$68),0)*(Annahmen!$D$59+G94)+IF($A94=Annahmen!$D$71+Annahmen!$B$73,Annahmen!$D$72*Annahmen!$D$74,0)</f>
        <v>15.8</v>
      </c>
      <c r="I94" s="17" t="n">
        <f aca="false">I93*(1-Annahmen!$D$60)+H94</f>
        <v>15.8</v>
      </c>
      <c r="J94" s="17" t="n">
        <f aca="false">I94*(1-Annahmen!$D$61)</f>
        <v>7.9</v>
      </c>
      <c r="K94" s="17" t="n">
        <f aca="false">I94*Annahmen!$D$61</f>
        <v>7.9</v>
      </c>
      <c r="L94" s="24" t="n">
        <f aca="false">J94*Annahmen!$D$87+K94*Annahmen!$D$88</f>
        <v>101.29775</v>
      </c>
      <c r="M94" s="24" t="n">
        <f aca="false">IF($A94&gt;=Annahmen!$D$55,Annahmen!$D$64*((1-Annahmen!$D$65)*Annahmen!$B$80+Annahmen!$D$65*Annahmen!$B$81)+Annahmen!$D$66*Annahmen!$B$82,0)</f>
        <v>486.45</v>
      </c>
      <c r="N94" s="24" t="n">
        <f aca="false">(L94+M94)/(1+Annahmen!$B$9)</f>
        <v>493.905672268908</v>
      </c>
      <c r="O94" s="24" t="n">
        <f aca="false">L94/(1+Annahmen!$B$9)</f>
        <v>85.1241596638655</v>
      </c>
      <c r="P94" s="24" t="n">
        <f aca="false">N94*(Annahmen!$D$63*Annahmen!$B$83+(1-Annahmen!$D$63)*Annahmen!$B$84)+(I94*Annahmen!$D$62+I94*(1-Annahmen!$D$62)/12+IF($A94&gt;=Annahmen!$D$55,Annahmen!$D$64+Annahmen!$D$66,0))*(1-Annahmen!$D$63)*Annahmen!$B$85</f>
        <v>36.2632413865546</v>
      </c>
      <c r="Q94" s="25" t="n">
        <f aca="false">IF(D94=0,0,MIN(Annahmen!$B$189,Annahmen!$D$188*D94/(Annahmen!$D$188*D94+E94)))</f>
        <v>0.43956043956044</v>
      </c>
      <c r="R94" s="24" t="n">
        <f aca="false">O94*Q94*Annahmen!$B$196</f>
        <v>22.2632417582418</v>
      </c>
      <c r="S94" s="24" t="n">
        <f aca="false">Annahmen!$D$67*(Annahmen!$B$43+Annahmen!$B$154)</f>
        <v>778.451552687232</v>
      </c>
      <c r="T94" s="24" t="n">
        <f aca="false">IF($A94&gt;=Annahmen!$D$55,Annahmen!$D$64*(1-Annahmen!$D$65)*Annahmen!$B$44+(Annahmen!$D$64*Annahmen!$D$65+Annahmen!$D$66)*Annahmen!$B$45,0)</f>
        <v>190.53822791269</v>
      </c>
      <c r="U94" s="24" t="n">
        <f aca="false">C94*Annahmen!$B$86</f>
        <v>62.3453</v>
      </c>
      <c r="V94" s="24" t="n">
        <f aca="false">SUMPRODUCT((((Annahmen!$C$161:$C$174="monatlich")*(Annahmen!$D$161:$D$174&lt;=$A94))+((Annahmen!$C$161:$C$174="einmalig")*(Annahmen!$D$161:$D$174=$A94)))*Annahmen!$B$161:$B$174*Annahmen!$E$161:$E$174)</f>
        <v>69.9850799606897</v>
      </c>
      <c r="W94" s="24" t="n">
        <f aca="false">IF($A94&gt;=Annahmen!$D$55,Annahmen!$D$143,0)</f>
        <v>2000</v>
      </c>
      <c r="X94" s="36" t="n">
        <f aca="false">MAX(0,(I94-Annahmen!$B$147)/Annahmen!$B$148)</f>
        <v>0</v>
      </c>
      <c r="Y94" s="24" t="n">
        <f aca="false">X94*Annahmen!$B$146</f>
        <v>0</v>
      </c>
      <c r="Z94" s="24" t="n">
        <f aca="false">N94-P94-R94-S94-T94-U94-V94-W94-Y94+AL94</f>
        <v>-2665.9409714365</v>
      </c>
      <c r="AA94" s="24" t="n">
        <f aca="false">AA93+Z94</f>
        <v>-9654.29492206212</v>
      </c>
      <c r="AB94" s="17" t="n">
        <f aca="false">IF($A94&gt;=Annahmen!$D$180,Annahmen!$D$181,0)</f>
        <v>10</v>
      </c>
      <c r="AC94" s="17" t="n">
        <f aca="false">AB94*(1-Annahmen!$B$199)</f>
        <v>8</v>
      </c>
      <c r="AD94" s="24" t="n">
        <f aca="false">AC94*(Annahmen!$B$197+Annahmen!$B$198)+AB94*Annahmen!$D$155*Annahmen!$B$157</f>
        <v>3016</v>
      </c>
      <c r="AE94" s="24" t="n">
        <f aca="false">AB94*(Annahmen!$B$48+Annahmen!$B$182*Annahmen!$B$11+Annahmen!$D$155*Annahmen!$B$154)</f>
        <v>230.717432713765</v>
      </c>
      <c r="AF94" s="24" t="n">
        <f aca="false">AD94-AE94</f>
        <v>2785.28256728623</v>
      </c>
      <c r="AG94" s="24" t="n">
        <f aca="false">Gesamt!J78-TÆLLA!Y78+Z94+AF94</f>
        <v>4745.12407708054</v>
      </c>
      <c r="AH94" s="24" t="n">
        <f aca="false">AH93+AG94</f>
        <v>-5635.79443979106</v>
      </c>
      <c r="AI94" s="15" t="n">
        <f aca="false">IF(AG94&gt;0,1,0)</f>
        <v>1</v>
      </c>
      <c r="AJ94" s="15" t="n">
        <f aca="false">IF(AH94&gt;=0,1,0)</f>
        <v>0</v>
      </c>
      <c r="AK94" s="15" t="n">
        <f aca="false">MAX(0,C94-I94)</f>
        <v>6218.73</v>
      </c>
      <c r="AL94" s="24" t="n">
        <f aca="false">IF($A94&gt;=Annahmen!$D$69,AK94*Annahmen!$D$70,0)</f>
        <v>0</v>
      </c>
      <c r="AM94" s="15" t="n">
        <f aca="false">IF($A94&lt;Annahmen!$D$55,0,IF($A94=Annahmen!$D$55,Annahmen!$D$56,AM93*(1+(Annahmen!$D$57+F94)*(1-C93/Annahmen!$D$58))))</f>
        <v>1234.53</v>
      </c>
      <c r="AN94" s="15" t="n">
        <f aca="false">IF($A94&lt;Annahmen!$D$71,0,IF($A94&lt;Annahmen!$D$71+Annahmen!$B$73,Annahmen!$D$72,Annahmen!$D$72*Annahmen!$B$75))</f>
        <v>5000</v>
      </c>
      <c r="AO94" s="7" t="n">
        <f aca="false">IF(Z94&gt;0,1,0)</f>
        <v>0</v>
      </c>
      <c r="AP94" s="7" t="n">
        <f aca="false">IF(AA94&gt;=0,1,0)</f>
        <v>0</v>
      </c>
    </row>
    <row r="95" customFormat="false" ht="15" hidden="false" customHeight="false" outlineLevel="0" collapsed="false">
      <c r="A95" s="7" t="n">
        <v>4</v>
      </c>
      <c r="B95" s="7" t="s">
        <v>393</v>
      </c>
      <c r="C95" s="15" t="n">
        <f aca="false">AM95+AN95</f>
        <v>6539.31414283955</v>
      </c>
      <c r="D95" s="17" t="n">
        <f aca="false">D94+IF($A95&gt;=Annahmen!$D$180,Annahmen!$D$181,0)</f>
        <v>20</v>
      </c>
      <c r="E95" s="17" t="n">
        <f aca="false">E94+Annahmen!$D$67</f>
        <v>63</v>
      </c>
      <c r="F95" s="25" t="n">
        <f aca="false">MIN(Annahmen!$D$185,Annahmen!$D$184*D95/10)</f>
        <v>0.03</v>
      </c>
      <c r="G95" s="42" t="n">
        <f aca="false">MIN(Annahmen!$D$187,Annahmen!$D$186*D95/10)</f>
        <v>0.0016</v>
      </c>
      <c r="H95" s="17" t="n">
        <f aca="false">IF($A95&gt;Annahmen!$B$68,INDEX($AM$92:$AM$115,$A95-Annahmen!$B$68),0)*(Annahmen!$D$59+G95)+IF($A95=Annahmen!$D$71+Annahmen!$B$73,Annahmen!$D$72*Annahmen!$D$74,0)</f>
        <v>20.493198</v>
      </c>
      <c r="I95" s="17" t="n">
        <f aca="false">I94*(1-Annahmen!$D$60)+H95</f>
        <v>35.661198</v>
      </c>
      <c r="J95" s="17" t="n">
        <f aca="false">I95*(1-Annahmen!$D$61)</f>
        <v>17.830599</v>
      </c>
      <c r="K95" s="17" t="n">
        <f aca="false">I95*Annahmen!$D$61</f>
        <v>17.830599</v>
      </c>
      <c r="L95" s="24" t="n">
        <f aca="false">J95*Annahmen!$D$87+K95*Annahmen!$D$88</f>
        <v>228.6328556775</v>
      </c>
      <c r="M95" s="24" t="n">
        <f aca="false">IF($A95&gt;=Annahmen!$D$55,Annahmen!$D$64*((1-Annahmen!$D$65)*Annahmen!$B$80+Annahmen!$D$65*Annahmen!$B$81)+Annahmen!$D$66*Annahmen!$B$82,0)</f>
        <v>486.45</v>
      </c>
      <c r="N95" s="24" t="n">
        <f aca="false">(L95+M95)/(1+Annahmen!$B$9)</f>
        <v>600.909962754202</v>
      </c>
      <c r="O95" s="24" t="n">
        <f aca="false">L95/(1+Annahmen!$B$9)</f>
        <v>192.12845014916</v>
      </c>
      <c r="P95" s="24" t="n">
        <f aca="false">N95*(Annahmen!$D$63*Annahmen!$B$83+(1-Annahmen!$D$63)*Annahmen!$B$84)+(I95*Annahmen!$D$62+I95*(1-Annahmen!$D$62)/12+IF($A95&gt;=Annahmen!$D$55,Annahmen!$D$64+Annahmen!$D$66,0))*(1-Annahmen!$D$63)*Annahmen!$B$85</f>
        <v>45.2602597675399</v>
      </c>
      <c r="Q95" s="25" t="n">
        <f aca="false">IF(D95=0,0,MIN(Annahmen!$B$189,Annahmen!$D$188*D95/(Annahmen!$D$188*D95+E95)))</f>
        <v>0.55944055944056</v>
      </c>
      <c r="R95" s="24" t="n">
        <f aca="false">O95*Q95*Annahmen!$B$196</f>
        <v>63.9532463433566</v>
      </c>
      <c r="S95" s="24" t="n">
        <f aca="false">Annahmen!$D$67*(Annahmen!$B$43+Annahmen!$B$154)</f>
        <v>778.451552687232</v>
      </c>
      <c r="T95" s="24" t="n">
        <f aca="false">IF($A95&gt;=Annahmen!$D$55,Annahmen!$D$64*(1-Annahmen!$D$65)*Annahmen!$B$44+(Annahmen!$D$64*Annahmen!$D$65+Annahmen!$D$66)*Annahmen!$B$45,0)</f>
        <v>190.53822791269</v>
      </c>
      <c r="U95" s="24" t="n">
        <f aca="false">C95*Annahmen!$B$86</f>
        <v>65.3931414283955</v>
      </c>
      <c r="V95" s="24" t="n">
        <f aca="false">SUMPRODUCT((((Annahmen!$C$161:$C$174="monatlich")*(Annahmen!$D$161:$D$174&lt;=$A95))+((Annahmen!$C$161:$C$174="einmalig")*(Annahmen!$D$161:$D$174=$A95)))*Annahmen!$B$161:$B$174*Annahmen!$E$161:$E$174)</f>
        <v>69.9850799606897</v>
      </c>
      <c r="W95" s="24" t="n">
        <f aca="false">IF($A95&gt;=Annahmen!$D$55,Annahmen!$D$143,0)</f>
        <v>2000</v>
      </c>
      <c r="X95" s="36" t="n">
        <f aca="false">MAX(0,(I95-Annahmen!$B$147)/Annahmen!$B$148)</f>
        <v>0</v>
      </c>
      <c r="Y95" s="24" t="n">
        <f aca="false">X95*Annahmen!$B$146</f>
        <v>0</v>
      </c>
      <c r="Z95" s="24" t="n">
        <f aca="false">N95-P95-R95-S95-T95-U95-V95-W95-Y95+AL95</f>
        <v>-2612.6715453457</v>
      </c>
      <c r="AA95" s="24" t="n">
        <f aca="false">AA94+Z95</f>
        <v>-12266.9664674078</v>
      </c>
      <c r="AB95" s="17" t="n">
        <f aca="false">IF($A95&gt;=Annahmen!$D$180,Annahmen!$D$181,0)</f>
        <v>10</v>
      </c>
      <c r="AC95" s="17" t="n">
        <f aca="false">AB95*(1-Annahmen!$B$199)</f>
        <v>8</v>
      </c>
      <c r="AD95" s="24" t="n">
        <f aca="false">AC95*(Annahmen!$B$197+Annahmen!$B$198)+AB95*Annahmen!$D$155*Annahmen!$B$157</f>
        <v>3016</v>
      </c>
      <c r="AE95" s="24" t="n">
        <f aca="false">AB95*(Annahmen!$B$48+Annahmen!$B$182*Annahmen!$B$11+Annahmen!$D$155*Annahmen!$B$154)</f>
        <v>230.717432713765</v>
      </c>
      <c r="AF95" s="24" t="n">
        <f aca="false">AD95-AE95</f>
        <v>2785.28256728623</v>
      </c>
      <c r="AG95" s="24" t="n">
        <f aca="false">Gesamt!J79-TÆLLA!Y79+Z95+AF95</f>
        <v>5186.66733494704</v>
      </c>
      <c r="AH95" s="24" t="n">
        <f aca="false">AH94+AG95</f>
        <v>-449.127104844021</v>
      </c>
      <c r="AI95" s="15" t="n">
        <f aca="false">IF(AG95&gt;0,1,0)</f>
        <v>1</v>
      </c>
      <c r="AJ95" s="15" t="n">
        <f aca="false">IF(AH95&gt;=0,1,0)</f>
        <v>0</v>
      </c>
      <c r="AK95" s="15" t="n">
        <f aca="false">MAX(0,C95-I95)</f>
        <v>6503.65294483955</v>
      </c>
      <c r="AL95" s="24" t="n">
        <f aca="false">IF($A95&gt;=Annahmen!$D$69,AK95*Annahmen!$D$70,0)</f>
        <v>0</v>
      </c>
      <c r="AM95" s="15" t="n">
        <f aca="false">IF($A95&lt;Annahmen!$D$55,0,IF($A95=Annahmen!$D$55,Annahmen!$D$56,AM94*(1+(Annahmen!$D$57+F95)*(1-C94/Annahmen!$D$58))))</f>
        <v>1539.31414283955</v>
      </c>
      <c r="AN95" s="15" t="n">
        <f aca="false">IF($A95&lt;Annahmen!$D$71,0,IF($A95&lt;Annahmen!$D$71+Annahmen!$B$73,Annahmen!$D$72,Annahmen!$D$72*Annahmen!$B$75))</f>
        <v>5000</v>
      </c>
      <c r="AO95" s="7" t="n">
        <f aca="false">IF(Z95&gt;0,1,0)</f>
        <v>0</v>
      </c>
      <c r="AP95" s="7" t="n">
        <f aca="false">IF(AA95&gt;=0,1,0)</f>
        <v>0</v>
      </c>
    </row>
    <row r="96" customFormat="false" ht="15" hidden="false" customHeight="false" outlineLevel="0" collapsed="false">
      <c r="A96" s="7" t="n">
        <v>5</v>
      </c>
      <c r="B96" s="7" t="s">
        <v>394</v>
      </c>
      <c r="C96" s="15" t="n">
        <f aca="false">AM96+AN96</f>
        <v>6941.89737955742</v>
      </c>
      <c r="D96" s="17" t="n">
        <f aca="false">D95+IF($A96&gt;=Annahmen!$D$180,Annahmen!$D$181,0)</f>
        <v>30</v>
      </c>
      <c r="E96" s="17" t="n">
        <f aca="false">E95+Annahmen!$D$67</f>
        <v>75</v>
      </c>
      <c r="F96" s="25" t="n">
        <f aca="false">MIN(Annahmen!$D$185,Annahmen!$D$184*D96/10)</f>
        <v>0.045</v>
      </c>
      <c r="G96" s="42" t="n">
        <f aca="false">MIN(Annahmen!$D$187,Annahmen!$D$186*D96/10)</f>
        <v>0.0024</v>
      </c>
      <c r="H96" s="17" t="n">
        <f aca="false">IF($A96&gt;Annahmen!$B$68,INDEX($AM$92:$AM$115,$A96-Annahmen!$B$68),0)*(Annahmen!$D$59+G96)+IF($A96=Annahmen!$D$71+Annahmen!$B$73,Annahmen!$D$72*Annahmen!$D$74,0)</f>
        <v>26.7840660854082</v>
      </c>
      <c r="I96" s="17" t="n">
        <f aca="false">I95*(1-Annahmen!$D$60)+H96</f>
        <v>61.0188161654082</v>
      </c>
      <c r="J96" s="17" t="n">
        <f aca="false">I96*(1-Annahmen!$D$61)</f>
        <v>30.5094080827041</v>
      </c>
      <c r="K96" s="17" t="n">
        <f aca="false">I96*Annahmen!$D$61</f>
        <v>30.5094080827041</v>
      </c>
      <c r="L96" s="24" t="n">
        <f aca="false">J96*Annahmen!$D$87+K96*Annahmen!$D$88</f>
        <v>391.206885140473</v>
      </c>
      <c r="M96" s="24" t="n">
        <f aca="false">IF($A96&gt;=Annahmen!$D$55,Annahmen!$D$64*((1-Annahmen!$D$65)*Annahmen!$B$80+Annahmen!$D$65*Annahmen!$B$81)+Annahmen!$D$66*Annahmen!$B$82,0)</f>
        <v>486.45</v>
      </c>
      <c r="N96" s="24" t="n">
        <f aca="false">(L96+M96)/(1+Annahmen!$B$9)</f>
        <v>737.526794235692</v>
      </c>
      <c r="O96" s="24" t="n">
        <f aca="false">L96/(1+Annahmen!$B$9)</f>
        <v>328.74528163065</v>
      </c>
      <c r="P96" s="24" t="n">
        <f aca="false">N96*(Annahmen!$D$63*Annahmen!$B$83+(1-Annahmen!$D$63)*Annahmen!$B$84)+(I96*Annahmen!$D$62+I96*(1-Annahmen!$D$62)/12+IF($A96&gt;=Annahmen!$D$55,Annahmen!$D$64+Annahmen!$D$66,0))*(1-Annahmen!$D$63)*Annahmen!$B$85</f>
        <v>56.7471276157022</v>
      </c>
      <c r="Q96" s="25" t="n">
        <f aca="false">IF(D96=0,0,MIN(Annahmen!$B$189,Annahmen!$D$188*D96/(Annahmen!$D$188*D96+E96)))</f>
        <v>0.615384615384615</v>
      </c>
      <c r="R96" s="24" t="n">
        <f aca="false">O96*Q96*Annahmen!$B$196</f>
        <v>120.371349273992</v>
      </c>
      <c r="S96" s="24" t="n">
        <f aca="false">Annahmen!$D$67*(Annahmen!$B$43+Annahmen!$B$154)</f>
        <v>778.451552687232</v>
      </c>
      <c r="T96" s="24" t="n">
        <f aca="false">IF($A96&gt;=Annahmen!$D$55,Annahmen!$D$64*(1-Annahmen!$D$65)*Annahmen!$B$44+(Annahmen!$D$64*Annahmen!$D$65+Annahmen!$D$66)*Annahmen!$B$45,0)</f>
        <v>190.53822791269</v>
      </c>
      <c r="U96" s="24" t="n">
        <f aca="false">C96*Annahmen!$B$86</f>
        <v>69.4189737955742</v>
      </c>
      <c r="V96" s="24" t="n">
        <f aca="false">SUMPRODUCT((((Annahmen!$C$161:$C$174="monatlich")*(Annahmen!$D$161:$D$174&lt;=$A96))+((Annahmen!$C$161:$C$174="einmalig")*(Annahmen!$D$161:$D$174=$A96)))*Annahmen!$B$161:$B$174*Annahmen!$E$161:$E$174)</f>
        <v>309.98507996069</v>
      </c>
      <c r="W96" s="24" t="n">
        <f aca="false">IF($A96&gt;=Annahmen!$D$55,Annahmen!$D$143,0)</f>
        <v>2000</v>
      </c>
      <c r="X96" s="36" t="n">
        <f aca="false">MAX(0,(I96-Annahmen!$B$147)/Annahmen!$B$148)</f>
        <v>0</v>
      </c>
      <c r="Y96" s="24" t="n">
        <f aca="false">X96*Annahmen!$B$146</f>
        <v>0</v>
      </c>
      <c r="Z96" s="24" t="n">
        <f aca="false">N96-P96-R96-S96-T96-U96-V96-W96-Y96+AL96</f>
        <v>-2787.98551701019</v>
      </c>
      <c r="AA96" s="24" t="n">
        <f aca="false">AA95+Z96</f>
        <v>-15054.951984418</v>
      </c>
      <c r="AB96" s="17" t="n">
        <f aca="false">IF($A96&gt;=Annahmen!$D$180,Annahmen!$D$181,0)</f>
        <v>10</v>
      </c>
      <c r="AC96" s="17" t="n">
        <f aca="false">AB96*(1-Annahmen!$B$199)</f>
        <v>8</v>
      </c>
      <c r="AD96" s="24" t="n">
        <f aca="false">AC96*(Annahmen!$B$197+Annahmen!$B$198)+AB96*Annahmen!$D$155*Annahmen!$B$157</f>
        <v>3016</v>
      </c>
      <c r="AE96" s="24" t="n">
        <f aca="false">AB96*(Annahmen!$B$48+Annahmen!$B$182*Annahmen!$B$11+Annahmen!$D$155*Annahmen!$B$154)</f>
        <v>230.717432713765</v>
      </c>
      <c r="AF96" s="24" t="n">
        <f aca="false">AD96-AE96</f>
        <v>2785.28256728623</v>
      </c>
      <c r="AG96" s="24" t="n">
        <f aca="false">Gesamt!J80-TÆLLA!Y80+Z96+AF96</f>
        <v>4489.62719505826</v>
      </c>
      <c r="AH96" s="24" t="n">
        <f aca="false">AH95+AG96</f>
        <v>4040.50009021424</v>
      </c>
      <c r="AI96" s="15" t="n">
        <f aca="false">IF(AG96&gt;0,1,0)</f>
        <v>1</v>
      </c>
      <c r="AJ96" s="15" t="n">
        <f aca="false">IF(AH96&gt;=0,1,0)</f>
        <v>1</v>
      </c>
      <c r="AK96" s="15" t="n">
        <f aca="false">MAX(0,C96-I96)</f>
        <v>6880.87856339202</v>
      </c>
      <c r="AL96" s="24" t="n">
        <f aca="false">IF($A96&gt;=Annahmen!$D$69,AK96*Annahmen!$D$70,0)</f>
        <v>0</v>
      </c>
      <c r="AM96" s="15" t="n">
        <f aca="false">IF($A96&lt;Annahmen!$D$55,0,IF($A96=Annahmen!$D$55,Annahmen!$D$56,AM95*(1+(Annahmen!$D$57+F96)*(1-C95/Annahmen!$D$58))))</f>
        <v>1941.89737955742</v>
      </c>
      <c r="AN96" s="15" t="n">
        <f aca="false">IF($A96&lt;Annahmen!$D$71,0,IF($A96&lt;Annahmen!$D$71+Annahmen!$B$73,Annahmen!$D$72,Annahmen!$D$72*Annahmen!$B$75))</f>
        <v>5000</v>
      </c>
      <c r="AO96" s="7" t="n">
        <f aca="false">IF(Z96&gt;0,1,0)</f>
        <v>0</v>
      </c>
      <c r="AP96" s="7" t="n">
        <f aca="false">IF(AA96&gt;=0,1,0)</f>
        <v>0</v>
      </c>
    </row>
    <row r="97" customFormat="false" ht="15" hidden="false" customHeight="false" outlineLevel="0" collapsed="false">
      <c r="A97" s="7" t="n">
        <v>6</v>
      </c>
      <c r="B97" s="7" t="s">
        <v>395</v>
      </c>
      <c r="C97" s="15" t="n">
        <f aca="false">AM97+AN97</f>
        <v>3978.07959252841</v>
      </c>
      <c r="D97" s="17" t="n">
        <f aca="false">D96+IF($A97&gt;=Annahmen!$D$180,Annahmen!$D$181,0)</f>
        <v>40</v>
      </c>
      <c r="E97" s="17" t="n">
        <f aca="false">E96+Annahmen!$D$67</f>
        <v>87</v>
      </c>
      <c r="F97" s="25" t="n">
        <f aca="false">MIN(Annahmen!$D$185,Annahmen!$D$184*D97/10)</f>
        <v>0.06</v>
      </c>
      <c r="G97" s="42" t="n">
        <f aca="false">MIN(Annahmen!$D$187,Annahmen!$D$186*D97/10)</f>
        <v>0.0032</v>
      </c>
      <c r="H97" s="17" t="n">
        <f aca="false">IF($A97&gt;Annahmen!$B$68,INDEX($AM$92:$AM$115,$A97-Annahmen!$B$68),0)*(Annahmen!$D$59+G97)+IF($A97=Annahmen!$D$71+Annahmen!$B$73,Annahmen!$D$72*Annahmen!$D$74,0)</f>
        <v>435.342532307945</v>
      </c>
      <c r="I97" s="17" t="n">
        <f aca="false">I96*(1-Annahmen!$D$60)+H97</f>
        <v>493.920595826737</v>
      </c>
      <c r="J97" s="17" t="n">
        <f aca="false">I97*(1-Annahmen!$D$61)</f>
        <v>246.960297913368</v>
      </c>
      <c r="K97" s="17" t="n">
        <f aca="false">I97*Annahmen!$D$61</f>
        <v>246.960297913368</v>
      </c>
      <c r="L97" s="24" t="n">
        <f aca="false">J97*Annahmen!$D$87+K97*Annahmen!$D$88</f>
        <v>3166.64841999417</v>
      </c>
      <c r="M97" s="24" t="n">
        <f aca="false">IF($A97&gt;=Annahmen!$D$55,Annahmen!$D$64*((1-Annahmen!$D$65)*Annahmen!$B$80+Annahmen!$D$65*Annahmen!$B$81)+Annahmen!$D$66*Annahmen!$B$82,0)</f>
        <v>486.45</v>
      </c>
      <c r="N97" s="24" t="n">
        <f aca="false">(L97+M97)/(1+Annahmen!$B$9)</f>
        <v>3069.83060503712</v>
      </c>
      <c r="O97" s="24" t="n">
        <f aca="false">L97/(1+Annahmen!$B$9)</f>
        <v>2661.04909243207</v>
      </c>
      <c r="P97" s="24" t="n">
        <f aca="false">N97*(Annahmen!$D$63*Annahmen!$B$83+(1-Annahmen!$D$63)*Annahmen!$B$84)+(I97*Annahmen!$D$62+I97*(1-Annahmen!$D$62)/12+IF($A97&gt;=Annahmen!$D$55,Annahmen!$D$64+Annahmen!$D$66,0))*(1-Annahmen!$D$63)*Annahmen!$B$85</f>
        <v>252.849360158483</v>
      </c>
      <c r="Q97" s="25" t="n">
        <f aca="false">IF(D97=0,0,MIN(Annahmen!$B$189,Annahmen!$D$188*D97/(Annahmen!$D$188*D97+E97)))</f>
        <v>0.647773279352227</v>
      </c>
      <c r="R97" s="24" t="n">
        <f aca="false">O97*Q97*Annahmen!$B$196</f>
        <v>1025.63511578758</v>
      </c>
      <c r="S97" s="24" t="n">
        <f aca="false">Annahmen!$D$67*(Annahmen!$B$43+Annahmen!$B$154)</f>
        <v>778.451552687232</v>
      </c>
      <c r="T97" s="24" t="n">
        <f aca="false">IF($A97&gt;=Annahmen!$D$55,Annahmen!$D$64*(1-Annahmen!$D$65)*Annahmen!$B$44+(Annahmen!$D$64*Annahmen!$D$65+Annahmen!$D$66)*Annahmen!$B$45,0)</f>
        <v>190.53822791269</v>
      </c>
      <c r="U97" s="24" t="n">
        <f aca="false">C97*Annahmen!$B$86</f>
        <v>39.7807959252841</v>
      </c>
      <c r="V97" s="24" t="n">
        <f aca="false">SUMPRODUCT((((Annahmen!$C$161:$C$174="monatlich")*(Annahmen!$D$161:$D$174&lt;=$A97))+((Annahmen!$C$161:$C$174="einmalig")*(Annahmen!$D$161:$D$174=$A97)))*Annahmen!$B$161:$B$174*Annahmen!$E$161:$E$174)</f>
        <v>69.9850799606897</v>
      </c>
      <c r="W97" s="24" t="n">
        <f aca="false">IF($A97&gt;=Annahmen!$D$55,Annahmen!$D$143,0)</f>
        <v>2000</v>
      </c>
      <c r="X97" s="36" t="n">
        <f aca="false">MAX(0,(I97-Annahmen!$B$147)/Annahmen!$B$148)</f>
        <v>0</v>
      </c>
      <c r="Y97" s="24" t="n">
        <f aca="false">X97*Annahmen!$B$146</f>
        <v>0</v>
      </c>
      <c r="Z97" s="24" t="n">
        <f aca="false">N97-P97-R97-S97-T97-U97-V97-W97-Y97+AL97</f>
        <v>-1287.40952739485</v>
      </c>
      <c r="AA97" s="24" t="n">
        <f aca="false">AA96+Z97</f>
        <v>-16342.3615118129</v>
      </c>
      <c r="AB97" s="17" t="n">
        <f aca="false">IF($A97&gt;=Annahmen!$D$180,Annahmen!$D$181,0)</f>
        <v>10</v>
      </c>
      <c r="AC97" s="17" t="n">
        <f aca="false">AB97*(1-Annahmen!$B$199)</f>
        <v>8</v>
      </c>
      <c r="AD97" s="24" t="n">
        <f aca="false">AC97*(Annahmen!$B$197+Annahmen!$B$198)+AB97*Annahmen!$D$155*Annahmen!$B$157</f>
        <v>3016</v>
      </c>
      <c r="AE97" s="24" t="n">
        <f aca="false">AB97*(Annahmen!$B$48+Annahmen!$B$182*Annahmen!$B$11+Annahmen!$D$155*Annahmen!$B$154)</f>
        <v>230.717432713765</v>
      </c>
      <c r="AF97" s="24" t="n">
        <f aca="false">AD97-AE97</f>
        <v>2785.28256728623</v>
      </c>
      <c r="AG97" s="24" t="n">
        <f aca="false">Gesamt!J81-TÆLLA!Y81+Z97+AF97</f>
        <v>7676.44655682104</v>
      </c>
      <c r="AH97" s="24" t="n">
        <f aca="false">AH96+AG97</f>
        <v>11716.9466470353</v>
      </c>
      <c r="AI97" s="15" t="n">
        <f aca="false">IF(AG97&gt;0,1,0)</f>
        <v>1</v>
      </c>
      <c r="AJ97" s="15" t="n">
        <f aca="false">IF(AH97&gt;=0,1,0)</f>
        <v>1</v>
      </c>
      <c r="AK97" s="15" t="n">
        <f aca="false">MAX(0,C97-I97)</f>
        <v>3484.15899670167</v>
      </c>
      <c r="AL97" s="24" t="n">
        <f aca="false">IF($A97&gt;=Annahmen!$D$69,AK97*Annahmen!$D$70,0)</f>
        <v>0</v>
      </c>
      <c r="AM97" s="15" t="n">
        <f aca="false">IF($A97&lt;Annahmen!$D$55,0,IF($A97=Annahmen!$D$55,Annahmen!$D$56,AM96*(1+(Annahmen!$D$57+F97)*(1-C96/Annahmen!$D$58))))</f>
        <v>2478.07959252841</v>
      </c>
      <c r="AN97" s="15" t="n">
        <f aca="false">IF($A97&lt;Annahmen!$D$71,0,IF($A97&lt;Annahmen!$D$71+Annahmen!$B$73,Annahmen!$D$72,Annahmen!$D$72*Annahmen!$B$75))</f>
        <v>1500</v>
      </c>
      <c r="AO97" s="7" t="n">
        <f aca="false">IF(Z97&gt;0,1,0)</f>
        <v>0</v>
      </c>
      <c r="AP97" s="7" t="n">
        <f aca="false">IF(AA97&gt;=0,1,0)</f>
        <v>0</v>
      </c>
    </row>
    <row r="98" customFormat="false" ht="15" hidden="false" customHeight="false" outlineLevel="0" collapsed="false">
      <c r="A98" s="7" t="n">
        <v>7</v>
      </c>
      <c r="B98" s="7" t="s">
        <v>396</v>
      </c>
      <c r="C98" s="15" t="n">
        <f aca="false">AM98+AN98</f>
        <v>4703.29685358943</v>
      </c>
      <c r="D98" s="17" t="n">
        <f aca="false">D97+IF($A98&gt;=Annahmen!$D$180,Annahmen!$D$181,0)</f>
        <v>50</v>
      </c>
      <c r="E98" s="17" t="n">
        <f aca="false">E97+Annahmen!$D$67</f>
        <v>99</v>
      </c>
      <c r="F98" s="25" t="n">
        <f aca="false">MIN(Annahmen!$D$185,Annahmen!$D$184*D98/10)</f>
        <v>0.075</v>
      </c>
      <c r="G98" s="42" t="n">
        <f aca="false">MIN(Annahmen!$D$187,Annahmen!$D$186*D98/10)</f>
        <v>0.004</v>
      </c>
      <c r="H98" s="17" t="n">
        <f aca="false">IF($A98&gt;Annahmen!$B$68,INDEX($AM$92:$AM$115,$A98-Annahmen!$B$68),0)*(Annahmen!$D$59+G98)+IF($A98=Annahmen!$D$71+Annahmen!$B$73,Annahmen!$D$72*Annahmen!$D$74,0)</f>
        <v>47.0835122580398</v>
      </c>
      <c r="I98" s="17" t="n">
        <f aca="false">I97*(1-Annahmen!$D$60)+H98</f>
        <v>521.247284251707</v>
      </c>
      <c r="J98" s="17" t="n">
        <f aca="false">I98*(1-Annahmen!$D$61)</f>
        <v>260.623642125854</v>
      </c>
      <c r="K98" s="17" t="n">
        <f aca="false">I98*Annahmen!$D$61</f>
        <v>260.623642125854</v>
      </c>
      <c r="L98" s="24" t="n">
        <f aca="false">J98*Annahmen!$D$87+K98*Annahmen!$D$88</f>
        <v>3341.84665115876</v>
      </c>
      <c r="M98" s="24" t="n">
        <f aca="false">IF($A98&gt;=Annahmen!$D$55,Annahmen!$D$64*((1-Annahmen!$D$65)*Annahmen!$B$80+Annahmen!$D$65*Annahmen!$B$81)+Annahmen!$D$66*Annahmen!$B$82,0)</f>
        <v>486.45</v>
      </c>
      <c r="N98" s="24" t="n">
        <f aca="false">(L98+M98)/(1+Annahmen!$B$9)</f>
        <v>3217.05600937711</v>
      </c>
      <c r="O98" s="24" t="n">
        <f aca="false">L98/(1+Annahmen!$B$9)</f>
        <v>2808.27449677207</v>
      </c>
      <c r="P98" s="24" t="n">
        <f aca="false">N98*(Annahmen!$D$63*Annahmen!$B$83+(1-Annahmen!$D$63)*Annahmen!$B$84)+(I98*Annahmen!$D$62+I98*(1-Annahmen!$D$62)/12+IF($A98&gt;=Annahmen!$D$55,Annahmen!$D$64+Annahmen!$D$66,0))*(1-Annahmen!$D$63)*Annahmen!$B$85</f>
        <v>265.228206492472</v>
      </c>
      <c r="Q98" s="25" t="n">
        <f aca="false">IF(D98=0,0,MIN(Annahmen!$B$189,Annahmen!$D$188*D98/(Annahmen!$D$188*D98+E98)))</f>
        <v>0.668896321070234</v>
      </c>
      <c r="R98" s="24" t="n">
        <f aca="false">O98*Q98*Annahmen!$B$196</f>
        <v>1117.67446527049</v>
      </c>
      <c r="S98" s="24" t="n">
        <f aca="false">Annahmen!$D$67*(Annahmen!$B$43+Annahmen!$B$154)</f>
        <v>778.451552687232</v>
      </c>
      <c r="T98" s="24" t="n">
        <f aca="false">IF($A98&gt;=Annahmen!$D$55,Annahmen!$D$64*(1-Annahmen!$D$65)*Annahmen!$B$44+(Annahmen!$D$64*Annahmen!$D$65+Annahmen!$D$66)*Annahmen!$B$45,0)</f>
        <v>190.53822791269</v>
      </c>
      <c r="U98" s="24" t="n">
        <f aca="false">C98*Annahmen!$B$86</f>
        <v>47.0329685358943</v>
      </c>
      <c r="V98" s="24" t="n">
        <f aca="false">SUMPRODUCT((((Annahmen!$C$161:$C$174="monatlich")*(Annahmen!$D$161:$D$174&lt;=$A98))+((Annahmen!$C$161:$C$174="einmalig")*(Annahmen!$D$161:$D$174=$A98)))*Annahmen!$B$161:$B$174*Annahmen!$E$161:$E$174)</f>
        <v>69.9850799606897</v>
      </c>
      <c r="W98" s="24" t="n">
        <f aca="false">IF($A98&gt;=Annahmen!$D$55,Annahmen!$D$143,0)</f>
        <v>2000</v>
      </c>
      <c r="X98" s="36" t="n">
        <f aca="false">MAX(0,(I98-Annahmen!$B$147)/Annahmen!$B$148)</f>
        <v>0</v>
      </c>
      <c r="Y98" s="24" t="n">
        <f aca="false">X98*Annahmen!$B$146</f>
        <v>0</v>
      </c>
      <c r="Z98" s="24" t="n">
        <f aca="false">N98-P98-R98-S98-T98-U98-V98-W98-Y98+AL98</f>
        <v>-415.444577614813</v>
      </c>
      <c r="AA98" s="24" t="n">
        <f aca="false">AA97+Z98</f>
        <v>-16757.8060894277</v>
      </c>
      <c r="AB98" s="17" t="n">
        <f aca="false">IF($A98&gt;=Annahmen!$D$180,Annahmen!$D$181,0)</f>
        <v>10</v>
      </c>
      <c r="AC98" s="17" t="n">
        <f aca="false">AB98*(1-Annahmen!$B$199)</f>
        <v>8</v>
      </c>
      <c r="AD98" s="24" t="n">
        <f aca="false">AC98*(Annahmen!$B$197+Annahmen!$B$198)+AB98*Annahmen!$D$155*Annahmen!$B$157</f>
        <v>3016</v>
      </c>
      <c r="AE98" s="24" t="n">
        <f aca="false">AB98*(Annahmen!$B$48+Annahmen!$B$182*Annahmen!$B$11+Annahmen!$D$155*Annahmen!$B$154)</f>
        <v>230.717432713765</v>
      </c>
      <c r="AF98" s="24" t="n">
        <f aca="false">AD98-AE98</f>
        <v>2785.28256728623</v>
      </c>
      <c r="AG98" s="24" t="n">
        <f aca="false">Gesamt!J82-TÆLLA!Y82+Z98+AF98</f>
        <v>9349.34185183402</v>
      </c>
      <c r="AH98" s="24" t="n">
        <f aca="false">AH97+AG98</f>
        <v>21066.2884988693</v>
      </c>
      <c r="AI98" s="15" t="n">
        <f aca="false">IF(AG98&gt;0,1,0)</f>
        <v>1</v>
      </c>
      <c r="AJ98" s="15" t="n">
        <f aca="false">IF(AH98&gt;=0,1,0)</f>
        <v>1</v>
      </c>
      <c r="AK98" s="15" t="n">
        <f aca="false">MAX(0,C98-I98)</f>
        <v>4182.04956933772</v>
      </c>
      <c r="AL98" s="24" t="n">
        <f aca="false">IF($A98&gt;=Annahmen!$D$69,AK98*Annahmen!$D$70,0)</f>
        <v>836.409913867544</v>
      </c>
      <c r="AM98" s="15" t="n">
        <f aca="false">IF($A98&lt;Annahmen!$D$55,0,IF($A98=Annahmen!$D$55,Annahmen!$D$56,AM97*(1+(Annahmen!$D$57+F98)*(1-C97/Annahmen!$D$58))))</f>
        <v>3203.29685358943</v>
      </c>
      <c r="AN98" s="15" t="n">
        <f aca="false">IF($A98&lt;Annahmen!$D$71,0,IF($A98&lt;Annahmen!$D$71+Annahmen!$B$73,Annahmen!$D$72,Annahmen!$D$72*Annahmen!$B$75))</f>
        <v>1500</v>
      </c>
      <c r="AO98" s="7" t="n">
        <f aca="false">IF(Z98&gt;0,1,0)</f>
        <v>0</v>
      </c>
      <c r="AP98" s="7" t="n">
        <f aca="false">IF(AA98&gt;=0,1,0)</f>
        <v>0</v>
      </c>
    </row>
    <row r="99" customFormat="false" ht="15" hidden="false" customHeight="false" outlineLevel="0" collapsed="false">
      <c r="A99" s="7" t="n">
        <v>8</v>
      </c>
      <c r="B99" s="7" t="s">
        <v>397</v>
      </c>
      <c r="C99" s="15" t="n">
        <f aca="false">AM99+AN99</f>
        <v>5686.97792347434</v>
      </c>
      <c r="D99" s="17" t="n">
        <f aca="false">D98+IF($A99&gt;=Annahmen!$D$180,Annahmen!$D$181,0)</f>
        <v>60</v>
      </c>
      <c r="E99" s="17" t="n">
        <f aca="false">E98+Annahmen!$D$67</f>
        <v>111</v>
      </c>
      <c r="F99" s="25" t="n">
        <f aca="false">MIN(Annahmen!$D$185,Annahmen!$D$184*D99/10)</f>
        <v>0.09</v>
      </c>
      <c r="G99" s="42" t="n">
        <f aca="false">MIN(Annahmen!$D$187,Annahmen!$D$186*D99/10)</f>
        <v>0.0048</v>
      </c>
      <c r="H99" s="17" t="n">
        <f aca="false">IF($A99&gt;Annahmen!$B$68,INDEX($AM$92:$AM$115,$A99-Annahmen!$B$68),0)*(Annahmen!$D$59+G99)+IF($A99=Annahmen!$D$71+Annahmen!$B$73,Annahmen!$D$72*Annahmen!$D$74,0)</f>
        <v>63.4252777010707</v>
      </c>
      <c r="I99" s="17" t="n">
        <f aca="false">I98*(1-Annahmen!$D$60)+H99</f>
        <v>563.82267058271</v>
      </c>
      <c r="J99" s="17" t="n">
        <f aca="false">I99*(1-Annahmen!$D$61)</f>
        <v>281.911335291355</v>
      </c>
      <c r="K99" s="17" t="n">
        <f aca="false">I99*Annahmen!$D$61</f>
        <v>281.911335291355</v>
      </c>
      <c r="L99" s="24" t="n">
        <f aca="false">J99*Annahmen!$D$87+K99*Annahmen!$D$88</f>
        <v>3614.8080967734</v>
      </c>
      <c r="M99" s="24" t="n">
        <f aca="false">IF($A99&gt;=Annahmen!$D$55,Annahmen!$D$64*((1-Annahmen!$D$65)*Annahmen!$B$80+Annahmen!$D$65*Annahmen!$B$81)+Annahmen!$D$66*Annahmen!$B$82,0)</f>
        <v>486.45</v>
      </c>
      <c r="N99" s="24" t="n">
        <f aca="false">(L99+M99)/(1+Annahmen!$B$9)</f>
        <v>3446.43537543983</v>
      </c>
      <c r="O99" s="24" t="n">
        <f aca="false">L99/(1+Annahmen!$B$9)</f>
        <v>3037.65386283479</v>
      </c>
      <c r="P99" s="24" t="n">
        <f aca="false">N99*(Annahmen!$D$63*Annahmen!$B$83+(1-Annahmen!$D$63)*Annahmen!$B$84)+(I99*Annahmen!$D$62+I99*(1-Annahmen!$D$62)/12+IF($A99&gt;=Annahmen!$D$55,Annahmen!$D$64+Annahmen!$D$66,0))*(1-Annahmen!$D$63)*Annahmen!$B$85</f>
        <v>284.514632890193</v>
      </c>
      <c r="Q99" s="25" t="n">
        <f aca="false">IF(D99=0,0,MIN(Annahmen!$B$189,Annahmen!$D$188*D99/(Annahmen!$D$188*D99+E99)))</f>
        <v>0.683760683760684</v>
      </c>
      <c r="R99" s="24" t="n">
        <f aca="false">O99*Q99*Annahmen!$B$196</f>
        <v>1235.83182795672</v>
      </c>
      <c r="S99" s="24" t="n">
        <f aca="false">Annahmen!$D$67*(Annahmen!$B$43+Annahmen!$B$154)</f>
        <v>778.451552687232</v>
      </c>
      <c r="T99" s="24" t="n">
        <f aca="false">IF($A99&gt;=Annahmen!$D$55,Annahmen!$D$64*(1-Annahmen!$D$65)*Annahmen!$B$44+(Annahmen!$D$64*Annahmen!$D$65+Annahmen!$D$66)*Annahmen!$B$45,0)</f>
        <v>190.53822791269</v>
      </c>
      <c r="U99" s="24" t="n">
        <f aca="false">C99*Annahmen!$B$86</f>
        <v>56.8697792347434</v>
      </c>
      <c r="V99" s="24" t="n">
        <f aca="false">SUMPRODUCT((((Annahmen!$C$161:$C$174="monatlich")*(Annahmen!$D$161:$D$174&lt;=$A99))+((Annahmen!$C$161:$C$174="einmalig")*(Annahmen!$D$161:$D$174=$A99)))*Annahmen!$B$161:$B$174*Annahmen!$E$161:$E$174)</f>
        <v>69.9850799606897</v>
      </c>
      <c r="W99" s="24" t="n">
        <f aca="false">IF($A99&gt;=Annahmen!$D$55,Annahmen!$D$143,0)</f>
        <v>2000</v>
      </c>
      <c r="X99" s="36" t="n">
        <f aca="false">MAX(0,(I99-Annahmen!$B$147)/Annahmen!$B$148)</f>
        <v>0</v>
      </c>
      <c r="Y99" s="24" t="n">
        <f aca="false">X99*Annahmen!$B$146</f>
        <v>0</v>
      </c>
      <c r="Z99" s="24" t="n">
        <f aca="false">N99-P99-R99-S99-T99-U99-V99-W99-Y99+AL99</f>
        <v>-145.12467462411</v>
      </c>
      <c r="AA99" s="24" t="n">
        <f aca="false">AA98+Z99</f>
        <v>-16902.9307640518</v>
      </c>
      <c r="AB99" s="17" t="n">
        <f aca="false">IF($A99&gt;=Annahmen!$D$180,Annahmen!$D$181,0)</f>
        <v>10</v>
      </c>
      <c r="AC99" s="17" t="n">
        <f aca="false">AB99*(1-Annahmen!$B$199)</f>
        <v>8</v>
      </c>
      <c r="AD99" s="24" t="n">
        <f aca="false">AC99*(Annahmen!$B$197+Annahmen!$B$198)+AB99*Annahmen!$D$155*Annahmen!$B$157</f>
        <v>3016</v>
      </c>
      <c r="AE99" s="24" t="n">
        <f aca="false">AB99*(Annahmen!$B$48+Annahmen!$B$182*Annahmen!$B$11+Annahmen!$D$155*Annahmen!$B$154)</f>
        <v>230.717432713765</v>
      </c>
      <c r="AF99" s="24" t="n">
        <f aca="false">AD99-AE99</f>
        <v>2785.28256728623</v>
      </c>
      <c r="AG99" s="24" t="n">
        <f aca="false">Gesamt!J83-TÆLLA!Y83+Z99+AF99</f>
        <v>9657.93558660043</v>
      </c>
      <c r="AH99" s="24" t="n">
        <f aca="false">AH98+AG99</f>
        <v>30724.2240854697</v>
      </c>
      <c r="AI99" s="15" t="n">
        <f aca="false">IF(AG99&gt;0,1,0)</f>
        <v>1</v>
      </c>
      <c r="AJ99" s="15" t="n">
        <f aca="false">IF(AH99&gt;=0,1,0)</f>
        <v>1</v>
      </c>
      <c r="AK99" s="15" t="n">
        <f aca="false">MAX(0,C99-I99)</f>
        <v>5123.15525289163</v>
      </c>
      <c r="AL99" s="24" t="n">
        <f aca="false">IF($A99&gt;=Annahmen!$D$69,AK99*Annahmen!$D$70,0)</f>
        <v>1024.63105057833</v>
      </c>
      <c r="AM99" s="15" t="n">
        <f aca="false">IF($A99&lt;Annahmen!$D$55,0,IF($A99=Annahmen!$D$55,Annahmen!$D$56,AM98*(1+(Annahmen!$D$57+F99)*(1-C98/Annahmen!$D$58))))</f>
        <v>4186.97792347434</v>
      </c>
      <c r="AN99" s="15" t="n">
        <f aca="false">IF($A99&lt;Annahmen!$D$71,0,IF($A99&lt;Annahmen!$D$71+Annahmen!$B$73,Annahmen!$D$72,Annahmen!$D$72*Annahmen!$B$75))</f>
        <v>1500</v>
      </c>
      <c r="AO99" s="7" t="n">
        <f aca="false">IF(Z99&gt;0,1,0)</f>
        <v>0</v>
      </c>
      <c r="AP99" s="7" t="n">
        <f aca="false">IF(AA99&gt;=0,1,0)</f>
        <v>0</v>
      </c>
    </row>
    <row r="100" customFormat="false" ht="15" hidden="false" customHeight="false" outlineLevel="0" collapsed="false">
      <c r="A100" s="7" t="n">
        <v>9</v>
      </c>
      <c r="B100" s="7" t="s">
        <v>398</v>
      </c>
      <c r="C100" s="15" t="n">
        <f aca="false">AM100+AN100</f>
        <v>7032.26843544253</v>
      </c>
      <c r="D100" s="17" t="n">
        <f aca="false">D99+IF($A100&gt;=Annahmen!$D$180,Annahmen!$D$181,0)</f>
        <v>70</v>
      </c>
      <c r="E100" s="17" t="n">
        <f aca="false">E99+Annahmen!$D$67</f>
        <v>123</v>
      </c>
      <c r="F100" s="25" t="n">
        <f aca="false">MIN(Annahmen!$D$185,Annahmen!$D$184*D100/10)</f>
        <v>0.105</v>
      </c>
      <c r="G100" s="42" t="n">
        <f aca="false">MIN(Annahmen!$D$187,Annahmen!$D$186*D100/10)</f>
        <v>0.0056</v>
      </c>
      <c r="H100" s="17" t="n">
        <f aca="false">IF($A100&gt;Annahmen!$B$68,INDEX($AM$92:$AM$115,$A100-Annahmen!$B$68),0)*(Annahmen!$D$59+G100)+IF($A100=Annahmen!$D$71+Annahmen!$B$73,Annahmen!$D$72*Annahmen!$D$74,0)</f>
        <v>86.2517452235714</v>
      </c>
      <c r="I100" s="17" t="n">
        <f aca="false">I99*(1-Annahmen!$D$60)+H100</f>
        <v>627.521508982973</v>
      </c>
      <c r="J100" s="17" t="n">
        <f aca="false">I100*(1-Annahmen!$D$61)</f>
        <v>313.760754491486</v>
      </c>
      <c r="K100" s="17" t="n">
        <f aca="false">I100*Annahmen!$D$61</f>
        <v>313.760754491486</v>
      </c>
      <c r="L100" s="24" t="n">
        <f aca="false">J100*Annahmen!$D$87+K100*Annahmen!$D$88</f>
        <v>4023.19727446708</v>
      </c>
      <c r="M100" s="24" t="n">
        <f aca="false">IF($A100&gt;=Annahmen!$D$55,Annahmen!$D$64*((1-Annahmen!$D$65)*Annahmen!$B$80+Annahmen!$D$65*Annahmen!$B$81)+Annahmen!$D$66*Annahmen!$B$82,0)</f>
        <v>486.45</v>
      </c>
      <c r="N100" s="24" t="n">
        <f aca="false">(L100+M100)/(1+Annahmen!$B$9)</f>
        <v>3789.6195583757</v>
      </c>
      <c r="O100" s="24" t="n">
        <f aca="false">L100/(1+Annahmen!$B$9)</f>
        <v>3380.83804577066</v>
      </c>
      <c r="P100" s="24" t="n">
        <f aca="false">N100*(Annahmen!$D$63*Annahmen!$B$83+(1-Annahmen!$D$63)*Annahmen!$B$84)+(I100*Annahmen!$D$62+I100*(1-Annahmen!$D$62)/12+IF($A100&gt;=Annahmen!$D$55,Annahmen!$D$64+Annahmen!$D$66,0))*(1-Annahmen!$D$63)*Annahmen!$B$85</f>
        <v>313.36987213279</v>
      </c>
      <c r="Q100" s="25" t="n">
        <f aca="false">IF(D100=0,0,MIN(Annahmen!$B$189,Annahmen!$D$188*D100/(Annahmen!$D$188*D100+E100)))</f>
        <v>0.694789081885856</v>
      </c>
      <c r="R100" s="24" t="n">
        <f aca="false">O100*Q100*Annahmen!$B$196</f>
        <v>1397.63677028633</v>
      </c>
      <c r="S100" s="24" t="n">
        <f aca="false">Annahmen!$D$67*(Annahmen!$B$43+Annahmen!$B$154)</f>
        <v>778.451552687232</v>
      </c>
      <c r="T100" s="24" t="n">
        <f aca="false">IF($A100&gt;=Annahmen!$D$55,Annahmen!$D$64*(1-Annahmen!$D$65)*Annahmen!$B$44+(Annahmen!$D$64*Annahmen!$D$65+Annahmen!$D$66)*Annahmen!$B$45,0)</f>
        <v>190.53822791269</v>
      </c>
      <c r="U100" s="24" t="n">
        <f aca="false">C100*Annahmen!$B$86</f>
        <v>70.3226843544253</v>
      </c>
      <c r="V100" s="24" t="n">
        <f aca="false">SUMPRODUCT((((Annahmen!$C$161:$C$174="monatlich")*(Annahmen!$D$161:$D$174&lt;=$A100))+((Annahmen!$C$161:$C$174="einmalig")*(Annahmen!$D$161:$D$174=$A100)))*Annahmen!$B$161:$B$174*Annahmen!$E$161:$E$174)</f>
        <v>69.9850799606897</v>
      </c>
      <c r="W100" s="24" t="n">
        <f aca="false">IF($A100&gt;=Annahmen!$D$55,Annahmen!$D$143,0)</f>
        <v>2000</v>
      </c>
      <c r="X100" s="36" t="n">
        <f aca="false">MAX(0,(I100-Annahmen!$B$147)/Annahmen!$B$148)</f>
        <v>0</v>
      </c>
      <c r="Y100" s="24" t="n">
        <f aca="false">X100*Annahmen!$B$146</f>
        <v>0</v>
      </c>
      <c r="Z100" s="24" t="n">
        <f aca="false">N100-P100-R100-S100-T100-U100-V100-W100-Y100+AL100</f>
        <v>250.264756333454</v>
      </c>
      <c r="AA100" s="24" t="n">
        <f aca="false">AA99+Z100</f>
        <v>-16652.6660077183</v>
      </c>
      <c r="AB100" s="17" t="n">
        <f aca="false">IF($A100&gt;=Annahmen!$D$180,Annahmen!$D$181,0)</f>
        <v>10</v>
      </c>
      <c r="AC100" s="17" t="n">
        <f aca="false">AB100*(1-Annahmen!$B$199)</f>
        <v>8</v>
      </c>
      <c r="AD100" s="24" t="n">
        <f aca="false">AC100*(Annahmen!$B$197+Annahmen!$B$198)+AB100*Annahmen!$D$155*Annahmen!$B$157</f>
        <v>3016</v>
      </c>
      <c r="AE100" s="24" t="n">
        <f aca="false">AB100*(Annahmen!$B$48+Annahmen!$B$182*Annahmen!$B$11+Annahmen!$D$155*Annahmen!$B$154)</f>
        <v>230.717432713765</v>
      </c>
      <c r="AF100" s="24" t="n">
        <f aca="false">AD100-AE100</f>
        <v>2785.28256728623</v>
      </c>
      <c r="AG100" s="24" t="n">
        <f aca="false">Gesamt!J84-TÆLLA!Y84+Z100+AF100</f>
        <v>10091.5988493337</v>
      </c>
      <c r="AH100" s="24" t="n">
        <f aca="false">AH99+AG100</f>
        <v>40815.8229348034</v>
      </c>
      <c r="AI100" s="15" t="n">
        <f aca="false">IF(AG100&gt;0,1,0)</f>
        <v>1</v>
      </c>
      <c r="AJ100" s="15" t="n">
        <f aca="false">IF(AH100&gt;=0,1,0)</f>
        <v>1</v>
      </c>
      <c r="AK100" s="15" t="n">
        <f aca="false">MAX(0,C100-I100)</f>
        <v>6404.74692645956</v>
      </c>
      <c r="AL100" s="24" t="n">
        <f aca="false">IF($A100&gt;=Annahmen!$D$69,AK100*Annahmen!$D$70,0)</f>
        <v>1280.94938529191</v>
      </c>
      <c r="AM100" s="15" t="n">
        <f aca="false">IF($A100&lt;Annahmen!$D$55,0,IF($A100=Annahmen!$D$55,Annahmen!$D$56,AM99*(1+(Annahmen!$D$57+F100)*(1-C99/Annahmen!$D$58))))</f>
        <v>5532.26843544253</v>
      </c>
      <c r="AN100" s="15" t="n">
        <f aca="false">IF($A100&lt;Annahmen!$D$71,0,IF($A100&lt;Annahmen!$D$71+Annahmen!$B$73,Annahmen!$D$72,Annahmen!$D$72*Annahmen!$B$75))</f>
        <v>1500</v>
      </c>
      <c r="AO100" s="7" t="n">
        <f aca="false">IF(Z100&gt;0,1,0)</f>
        <v>1</v>
      </c>
      <c r="AP100" s="7" t="n">
        <f aca="false">IF(AA100&gt;=0,1,0)</f>
        <v>0</v>
      </c>
    </row>
    <row r="101" customFormat="false" ht="15" hidden="false" customHeight="false" outlineLevel="0" collapsed="false">
      <c r="A101" s="7" t="n">
        <v>10</v>
      </c>
      <c r="B101" s="7" t="s">
        <v>399</v>
      </c>
      <c r="C101" s="15" t="n">
        <f aca="false">AM101+AN101</f>
        <v>8886.78471374042</v>
      </c>
      <c r="D101" s="17" t="n">
        <f aca="false">D100+IF($A101&gt;=Annahmen!$D$180,Annahmen!$D$181,0)</f>
        <v>80</v>
      </c>
      <c r="E101" s="17" t="n">
        <f aca="false">E100+Annahmen!$D$67</f>
        <v>135</v>
      </c>
      <c r="F101" s="25" t="n">
        <f aca="false">MIN(Annahmen!$D$185,Annahmen!$D$184*D101/10)</f>
        <v>0.12</v>
      </c>
      <c r="G101" s="42" t="n">
        <f aca="false">MIN(Annahmen!$D$187,Annahmen!$D$186*D101/10)</f>
        <v>0.0064</v>
      </c>
      <c r="H101" s="17" t="n">
        <f aca="false">IF($A101&gt;Annahmen!$B$68,INDEX($AM$92:$AM$115,$A101-Annahmen!$B$68),0)*(Annahmen!$D$59+G101)+IF($A101=Annahmen!$D$71+Annahmen!$B$73,Annahmen!$D$72*Annahmen!$D$74,0)</f>
        <v>118.39054451847</v>
      </c>
      <c r="I101" s="17" t="n">
        <f aca="false">I100*(1-Annahmen!$D$60)+H101</f>
        <v>720.811193142124</v>
      </c>
      <c r="J101" s="17" t="n">
        <f aca="false">I101*(1-Annahmen!$D$61)</f>
        <v>360.405596571062</v>
      </c>
      <c r="K101" s="17" t="n">
        <f aca="false">I101*Annahmen!$D$61</f>
        <v>360.405596571062</v>
      </c>
      <c r="L101" s="24" t="n">
        <f aca="false">J101*Annahmen!$D$87+K101*Annahmen!$D$88</f>
        <v>4621.30076203244</v>
      </c>
      <c r="M101" s="24" t="n">
        <f aca="false">IF($A101&gt;=Annahmen!$D$55,Annahmen!$D$64*((1-Annahmen!$D$65)*Annahmen!$B$80+Annahmen!$D$65*Annahmen!$B$81)+Annahmen!$D$66*Annahmen!$B$82,0)</f>
        <v>486.45</v>
      </c>
      <c r="N101" s="24" t="n">
        <f aca="false">(L101+M101)/(1+Annahmen!$B$9)</f>
        <v>4292.2275311197</v>
      </c>
      <c r="O101" s="24" t="n">
        <f aca="false">L101/(1+Annahmen!$B$9)</f>
        <v>3883.44601851466</v>
      </c>
      <c r="P101" s="24" t="n">
        <f aca="false">N101*(Annahmen!$D$63*Annahmen!$B$83+(1-Annahmen!$D$63)*Annahmen!$B$84)+(I101*Annahmen!$D$62+I101*(1-Annahmen!$D$62)/12+IF($A101&gt;=Annahmen!$D$55,Annahmen!$D$64+Annahmen!$D$66,0))*(1-Annahmen!$D$63)*Annahmen!$B$85</f>
        <v>355.629609090057</v>
      </c>
      <c r="Q101" s="25" t="n">
        <f aca="false">IF(D101=0,0,MIN(Annahmen!$B$189,Annahmen!$D$188*D101/(Annahmen!$D$188*D101+E101)))</f>
        <v>0.7</v>
      </c>
      <c r="R101" s="24" t="n">
        <f aca="false">O101*Q101*Annahmen!$B$196</f>
        <v>1617.45526671135</v>
      </c>
      <c r="S101" s="24" t="n">
        <f aca="false">Annahmen!$D$67*(Annahmen!$B$43+Annahmen!$B$154)</f>
        <v>778.451552687232</v>
      </c>
      <c r="T101" s="24" t="n">
        <f aca="false">IF($A101&gt;=Annahmen!$D$55,Annahmen!$D$64*(1-Annahmen!$D$65)*Annahmen!$B$44+(Annahmen!$D$64*Annahmen!$D$65+Annahmen!$D$66)*Annahmen!$B$45,0)</f>
        <v>190.53822791269</v>
      </c>
      <c r="U101" s="24" t="n">
        <f aca="false">C101*Annahmen!$B$86</f>
        <v>88.8678471374042</v>
      </c>
      <c r="V101" s="24" t="n">
        <f aca="false">SUMPRODUCT((((Annahmen!$C$161:$C$174="monatlich")*(Annahmen!$D$161:$D$174&lt;=$A101))+((Annahmen!$C$161:$C$174="einmalig")*(Annahmen!$D$161:$D$174=$A101)))*Annahmen!$B$161:$B$174*Annahmen!$E$161:$E$174)</f>
        <v>69.9850799606897</v>
      </c>
      <c r="W101" s="24" t="n">
        <f aca="false">IF($A101&gt;=Annahmen!$D$55,Annahmen!$D$143,0)</f>
        <v>2000</v>
      </c>
      <c r="X101" s="36" t="n">
        <f aca="false">MAX(0,(I101-Annahmen!$B$147)/Annahmen!$B$148)</f>
        <v>0</v>
      </c>
      <c r="Y101" s="24" t="n">
        <f aca="false">X101*Annahmen!$B$146</f>
        <v>0</v>
      </c>
      <c r="Z101" s="24" t="n">
        <f aca="false">N101-P101-R101-S101-T101-U101-V101-W101-Y101+AL101</f>
        <v>824.494651739932</v>
      </c>
      <c r="AA101" s="24" t="n">
        <f aca="false">AA100+Z101</f>
        <v>-15828.1713559784</v>
      </c>
      <c r="AB101" s="17" t="n">
        <f aca="false">IF($A101&gt;=Annahmen!$D$180,Annahmen!$D$181,0)</f>
        <v>10</v>
      </c>
      <c r="AC101" s="17" t="n">
        <f aca="false">AB101*(1-Annahmen!$B$199)</f>
        <v>8</v>
      </c>
      <c r="AD101" s="24" t="n">
        <f aca="false">AC101*(Annahmen!$B$197+Annahmen!$B$198)+AB101*Annahmen!$D$155*Annahmen!$B$157</f>
        <v>3016</v>
      </c>
      <c r="AE101" s="24" t="n">
        <f aca="false">AB101*(Annahmen!$B$48+Annahmen!$B$182*Annahmen!$B$11+Annahmen!$D$155*Annahmen!$B$154)</f>
        <v>230.717432713765</v>
      </c>
      <c r="AF101" s="24" t="n">
        <f aca="false">AD101-AE101</f>
        <v>2785.28256728623</v>
      </c>
      <c r="AG101" s="24" t="n">
        <f aca="false">Gesamt!J85-TÆLLA!Y85+Z101+AF101</f>
        <v>10704.1025765159</v>
      </c>
      <c r="AH101" s="24" t="n">
        <f aca="false">AH100+AG101</f>
        <v>51519.9255113193</v>
      </c>
      <c r="AI101" s="15" t="n">
        <f aca="false">IF(AG101&gt;0,1,0)</f>
        <v>1</v>
      </c>
      <c r="AJ101" s="15" t="n">
        <f aca="false">IF(AH101&gt;=0,1,0)</f>
        <v>1</v>
      </c>
      <c r="AK101" s="15" t="n">
        <f aca="false">MAX(0,C101-I101)</f>
        <v>8165.9735205983</v>
      </c>
      <c r="AL101" s="24" t="n">
        <f aca="false">IF($A101&gt;=Annahmen!$D$69,AK101*Annahmen!$D$70,0)</f>
        <v>1633.19470411966</v>
      </c>
      <c r="AM101" s="15" t="n">
        <f aca="false">IF($A101&lt;Annahmen!$D$55,0,IF($A101=Annahmen!$D$55,Annahmen!$D$56,AM100*(1+(Annahmen!$D$57+F101)*(1-C100/Annahmen!$D$58))))</f>
        <v>7386.78471374042</v>
      </c>
      <c r="AN101" s="15" t="n">
        <f aca="false">IF($A101&lt;Annahmen!$D$71,0,IF($A101&lt;Annahmen!$D$71+Annahmen!$B$73,Annahmen!$D$72,Annahmen!$D$72*Annahmen!$B$75))</f>
        <v>1500</v>
      </c>
      <c r="AO101" s="7" t="n">
        <f aca="false">IF(Z101&gt;0,1,0)</f>
        <v>1</v>
      </c>
      <c r="AP101" s="7" t="n">
        <f aca="false">IF(AA101&gt;=0,1,0)</f>
        <v>0</v>
      </c>
    </row>
    <row r="102" customFormat="false" ht="15" hidden="false" customHeight="false" outlineLevel="0" collapsed="false">
      <c r="A102" s="7" t="n">
        <v>11</v>
      </c>
      <c r="B102" s="7" t="s">
        <v>400</v>
      </c>
      <c r="C102" s="15" t="n">
        <f aca="false">AM102+AN102</f>
        <v>11462.4855036291</v>
      </c>
      <c r="D102" s="17" t="n">
        <f aca="false">D101+IF($A102&gt;=Annahmen!$D$180,Annahmen!$D$181,0)</f>
        <v>90</v>
      </c>
      <c r="E102" s="17" t="n">
        <f aca="false">E101+Annahmen!$D$67</f>
        <v>147</v>
      </c>
      <c r="F102" s="25" t="n">
        <f aca="false">MIN(Annahmen!$D$185,Annahmen!$D$184*D102/10)</f>
        <v>0.135</v>
      </c>
      <c r="G102" s="42" t="n">
        <f aca="false">MIN(Annahmen!$D$187,Annahmen!$D$186*D102/10)</f>
        <v>0.0072</v>
      </c>
      <c r="H102" s="17" t="n">
        <f aca="false">IF($A102&gt;Annahmen!$B$68,INDEX($AM$92:$AM$115,$A102-Annahmen!$B$68),0)*(Annahmen!$D$59+G102)+IF($A102=Annahmen!$D$71+Annahmen!$B$73,Annahmen!$D$72*Annahmen!$D$74,0)</f>
        <v>163.986620645037</v>
      </c>
      <c r="I102" s="17" t="n">
        <f aca="false">I101*(1-Annahmen!$D$60)+H102</f>
        <v>855.965366061476</v>
      </c>
      <c r="J102" s="17" t="n">
        <f aca="false">I102*(1-Annahmen!$D$61)</f>
        <v>427.982683030738</v>
      </c>
      <c r="K102" s="17" t="n">
        <f aca="false">I102*Annahmen!$D$61</f>
        <v>427.982683030738</v>
      </c>
      <c r="L102" s="24" t="n">
        <f aca="false">J102*Annahmen!$D$87+K102*Annahmen!$D$88</f>
        <v>5487.80795316164</v>
      </c>
      <c r="M102" s="24" t="n">
        <f aca="false">IF($A102&gt;=Annahmen!$D$55,Annahmen!$D$64*((1-Annahmen!$D$65)*Annahmen!$B$80+Annahmen!$D$65*Annahmen!$B$81)+Annahmen!$D$66*Annahmen!$B$82,0)</f>
        <v>486.45</v>
      </c>
      <c r="N102" s="24" t="n">
        <f aca="false">(L102+M102)/(1+Annahmen!$B$9)</f>
        <v>5020.38483458961</v>
      </c>
      <c r="O102" s="24" t="n">
        <f aca="false">L102/(1+Annahmen!$B$9)</f>
        <v>4611.60332198457</v>
      </c>
      <c r="P102" s="24" t="n">
        <f aca="false">N102*(Annahmen!$D$63*Annahmen!$B$83+(1-Annahmen!$D$63)*Annahmen!$B$84)+(I102*Annahmen!$D$62+I102*(1-Annahmen!$D$62)/12+IF($A102&gt;=Annahmen!$D$55,Annahmen!$D$64+Annahmen!$D$66,0))*(1-Annahmen!$D$63)*Annahmen!$B$85</f>
        <v>416.853739579178</v>
      </c>
      <c r="Q102" s="25" t="n">
        <f aca="false">IF(D102=0,0,MIN(Annahmen!$B$189,Annahmen!$D$188*D102/(Annahmen!$D$188*D102+E102)))</f>
        <v>0.7</v>
      </c>
      <c r="R102" s="24" t="n">
        <f aca="false">O102*Q102*Annahmen!$B$196</f>
        <v>1920.73278360657</v>
      </c>
      <c r="S102" s="24" t="n">
        <f aca="false">Annahmen!$D$67*(Annahmen!$B$43+Annahmen!$B$154)</f>
        <v>778.451552687232</v>
      </c>
      <c r="T102" s="24" t="n">
        <f aca="false">IF($A102&gt;=Annahmen!$D$55,Annahmen!$D$64*(1-Annahmen!$D$65)*Annahmen!$B$44+(Annahmen!$D$64*Annahmen!$D$65+Annahmen!$D$66)*Annahmen!$B$45,0)</f>
        <v>190.53822791269</v>
      </c>
      <c r="U102" s="24" t="n">
        <f aca="false">C102*Annahmen!$B$86</f>
        <v>114.624855036291</v>
      </c>
      <c r="V102" s="24" t="n">
        <f aca="false">SUMPRODUCT((((Annahmen!$C$161:$C$174="monatlich")*(Annahmen!$D$161:$D$174&lt;=$A102))+((Annahmen!$C$161:$C$174="einmalig")*(Annahmen!$D$161:$D$174=$A102)))*Annahmen!$B$161:$B$174*Annahmen!$E$161:$E$174)</f>
        <v>69.9850799606897</v>
      </c>
      <c r="W102" s="24" t="n">
        <f aca="false">IF($A102&gt;=Annahmen!$D$55,Annahmen!$D$143,0)</f>
        <v>2000</v>
      </c>
      <c r="X102" s="36" t="n">
        <f aca="false">MAX(0,(I102-Annahmen!$B$147)/Annahmen!$B$148)</f>
        <v>0</v>
      </c>
      <c r="Y102" s="24" t="n">
        <f aca="false">X102*Annahmen!$B$146</f>
        <v>0</v>
      </c>
      <c r="Z102" s="24" t="n">
        <f aca="false">N102-P102-R102-S102-T102-U102-V102-W102-Y102+AL102</f>
        <v>1650.50262332048</v>
      </c>
      <c r="AA102" s="24" t="n">
        <f aca="false">AA101+Z102</f>
        <v>-14177.6687326579</v>
      </c>
      <c r="AB102" s="17" t="n">
        <f aca="false">IF($A102&gt;=Annahmen!$D$180,Annahmen!$D$181,0)</f>
        <v>10</v>
      </c>
      <c r="AC102" s="17" t="n">
        <f aca="false">AB102*(1-Annahmen!$B$199)</f>
        <v>8</v>
      </c>
      <c r="AD102" s="24" t="n">
        <f aca="false">AC102*(Annahmen!$B$197+Annahmen!$B$198)+AB102*Annahmen!$D$155*Annahmen!$B$157</f>
        <v>3016</v>
      </c>
      <c r="AE102" s="24" t="n">
        <f aca="false">AB102*(Annahmen!$B$48+Annahmen!$B$182*Annahmen!$B$11+Annahmen!$D$155*Annahmen!$B$154)</f>
        <v>230.717432713765</v>
      </c>
      <c r="AF102" s="24" t="n">
        <f aca="false">AD102-AE102</f>
        <v>2785.28256728623</v>
      </c>
      <c r="AG102" s="24" t="n">
        <f aca="false">Gesamt!J86-TÆLLA!Y86+Z102+AF102</f>
        <v>11568.3843798721</v>
      </c>
      <c r="AH102" s="24" t="n">
        <f aca="false">AH101+AG102</f>
        <v>63088.3098911914</v>
      </c>
      <c r="AI102" s="15" t="n">
        <f aca="false">IF(AG102&gt;0,1,0)</f>
        <v>1</v>
      </c>
      <c r="AJ102" s="15" t="n">
        <f aca="false">IF(AH102&gt;=0,1,0)</f>
        <v>1</v>
      </c>
      <c r="AK102" s="15" t="n">
        <f aca="false">MAX(0,C102-I102)</f>
        <v>10606.5201375676</v>
      </c>
      <c r="AL102" s="24" t="n">
        <f aca="false">IF($A102&gt;=Annahmen!$D$69,AK102*Annahmen!$D$70,0)</f>
        <v>2121.30402751352</v>
      </c>
      <c r="AM102" s="15" t="n">
        <f aca="false">IF($A102&lt;Annahmen!$D$55,0,IF($A102=Annahmen!$D$55,Annahmen!$D$56,AM101*(1+(Annahmen!$D$57+F102)*(1-C101/Annahmen!$D$58))))</f>
        <v>9962.48550362906</v>
      </c>
      <c r="AN102" s="15" t="n">
        <f aca="false">IF($A102&lt;Annahmen!$D$71,0,IF($A102&lt;Annahmen!$D$71+Annahmen!$B$73,Annahmen!$D$72,Annahmen!$D$72*Annahmen!$B$75))</f>
        <v>1500</v>
      </c>
      <c r="AO102" s="7" t="n">
        <f aca="false">IF(Z102&gt;0,1,0)</f>
        <v>1</v>
      </c>
      <c r="AP102" s="7" t="n">
        <f aca="false">IF(AA102&gt;=0,1,0)</f>
        <v>0</v>
      </c>
    </row>
    <row r="103" customFormat="false" ht="15" hidden="false" customHeight="false" outlineLevel="0" collapsed="false">
      <c r="A103" s="7" t="n">
        <v>12</v>
      </c>
      <c r="B103" s="7" t="s">
        <v>401</v>
      </c>
      <c r="C103" s="15" t="n">
        <f aca="false">AM103+AN103</f>
        <v>15064.1009541794</v>
      </c>
      <c r="D103" s="17" t="n">
        <f aca="false">D102+IF($A103&gt;=Annahmen!$D$180,Annahmen!$D$181,0)</f>
        <v>100</v>
      </c>
      <c r="E103" s="17" t="n">
        <f aca="false">E102+Annahmen!$D$67</f>
        <v>159</v>
      </c>
      <c r="F103" s="25" t="n">
        <f aca="false">MIN(Annahmen!$D$185,Annahmen!$D$184*D103/10)</f>
        <v>0.15</v>
      </c>
      <c r="G103" s="42" t="n">
        <f aca="false">MIN(Annahmen!$D$187,Annahmen!$D$186*D103/10)</f>
        <v>0.008</v>
      </c>
      <c r="H103" s="17" t="n">
        <f aca="false">IF($A103&gt;Annahmen!$B$68,INDEX($AM$92:$AM$115,$A103-Annahmen!$B$68),0)*(Annahmen!$D$59+G103)+IF($A103=Annahmen!$D$71+Annahmen!$B$73,Annahmen!$D$72*Annahmen!$D$74,0)</f>
        <v>229.137166583468</v>
      </c>
      <c r="I103" s="17" t="n">
        <f aca="false">I102*(1-Annahmen!$D$60)+H103</f>
        <v>1050.86391800249</v>
      </c>
      <c r="J103" s="17" t="n">
        <f aca="false">I103*(1-Annahmen!$D$61)</f>
        <v>525.431959001243</v>
      </c>
      <c r="K103" s="17" t="n">
        <f aca="false">I103*Annahmen!$D$61</f>
        <v>525.431959001243</v>
      </c>
      <c r="L103" s="24" t="n">
        <f aca="false">J103*Annahmen!$D$87+K103*Annahmen!$D$88</f>
        <v>6737.35129429344</v>
      </c>
      <c r="M103" s="24" t="n">
        <f aca="false">IF($A103&gt;=Annahmen!$D$55,Annahmen!$D$64*((1-Annahmen!$D$65)*Annahmen!$B$80+Annahmen!$D$65*Annahmen!$B$81)+Annahmen!$D$66*Annahmen!$B$82,0)</f>
        <v>486.45</v>
      </c>
      <c r="N103" s="24" t="n">
        <f aca="false">(L103+M103)/(1+Annahmen!$B$9)</f>
        <v>6070.42125570877</v>
      </c>
      <c r="O103" s="24" t="n">
        <f aca="false">L103/(1+Annahmen!$B$9)</f>
        <v>5661.63974310373</v>
      </c>
      <c r="P103" s="24" t="n">
        <f aca="false">N103*(Annahmen!$D$63*Annahmen!$B$83+(1-Annahmen!$D$63)*Annahmen!$B$84)+(I103*Annahmen!$D$62+I103*(1-Annahmen!$D$62)/12+IF($A103&gt;=Annahmen!$D$55,Annahmen!$D$64+Annahmen!$D$66,0))*(1-Annahmen!$D$63)*Annahmen!$B$85</f>
        <v>505.141759981607</v>
      </c>
      <c r="Q103" s="25" t="n">
        <f aca="false">IF(D103=0,0,MIN(Annahmen!$B$189,Annahmen!$D$188*D103/(Annahmen!$D$188*D103+E103)))</f>
        <v>0.7</v>
      </c>
      <c r="R103" s="24" t="n">
        <f aca="false">O103*Q103*Annahmen!$B$196</f>
        <v>2358.0729530027</v>
      </c>
      <c r="S103" s="24" t="n">
        <f aca="false">Annahmen!$D$67*(Annahmen!$B$43+Annahmen!$B$154)</f>
        <v>778.451552687232</v>
      </c>
      <c r="T103" s="24" t="n">
        <f aca="false">IF($A103&gt;=Annahmen!$D$55,Annahmen!$D$64*(1-Annahmen!$D$65)*Annahmen!$B$44+(Annahmen!$D$64*Annahmen!$D$65+Annahmen!$D$66)*Annahmen!$B$45,0)</f>
        <v>190.53822791269</v>
      </c>
      <c r="U103" s="24" t="n">
        <f aca="false">C103*Annahmen!$B$86</f>
        <v>150.641009541794</v>
      </c>
      <c r="V103" s="24" t="n">
        <f aca="false">SUMPRODUCT((((Annahmen!$C$161:$C$174="monatlich")*(Annahmen!$D$161:$D$174&lt;=$A103))+((Annahmen!$C$161:$C$174="einmalig")*(Annahmen!$D$161:$D$174=$A103)))*Annahmen!$B$161:$B$174*Annahmen!$E$161:$E$174)</f>
        <v>69.9850799606897</v>
      </c>
      <c r="W103" s="24" t="n">
        <f aca="false">IF($A103&gt;=Annahmen!$D$55,Annahmen!$D$143,0)</f>
        <v>2000</v>
      </c>
      <c r="X103" s="36" t="n">
        <f aca="false">MAX(0,(I103-Annahmen!$B$147)/Annahmen!$B$148)</f>
        <v>0.0169546393341619</v>
      </c>
      <c r="Y103" s="24" t="n">
        <f aca="false">X103*Annahmen!$B$146</f>
        <v>76.2958770037285</v>
      </c>
      <c r="Z103" s="24" t="n">
        <f aca="false">N103-P103-R103-S103-T103-U103-V103-W103-Y103+AL103</f>
        <v>2743.9422028537</v>
      </c>
      <c r="AA103" s="24" t="n">
        <f aca="false">AA102+Z103</f>
        <v>-11433.7265298042</v>
      </c>
      <c r="AB103" s="17" t="n">
        <f aca="false">IF($A103&gt;=Annahmen!$D$180,Annahmen!$D$181,0)</f>
        <v>10</v>
      </c>
      <c r="AC103" s="17" t="n">
        <f aca="false">AB103*(1-Annahmen!$B$199)</f>
        <v>8</v>
      </c>
      <c r="AD103" s="24" t="n">
        <f aca="false">AC103*(Annahmen!$B$197+Annahmen!$B$198)+AB103*Annahmen!$D$155*Annahmen!$B$157</f>
        <v>3016</v>
      </c>
      <c r="AE103" s="24" t="n">
        <f aca="false">AB103*(Annahmen!$B$48+Annahmen!$B$182*Annahmen!$B$11+Annahmen!$D$155*Annahmen!$B$154)</f>
        <v>230.717432713765</v>
      </c>
      <c r="AF103" s="24" t="n">
        <f aca="false">AD103-AE103</f>
        <v>2785.28256728623</v>
      </c>
      <c r="AG103" s="24" t="n">
        <f aca="false">Gesamt!J87-TÆLLA!Y87+Z103+AF103</f>
        <v>12700.097791181</v>
      </c>
      <c r="AH103" s="24" t="n">
        <f aca="false">AH102+AG103</f>
        <v>75788.4076823725</v>
      </c>
      <c r="AI103" s="15" t="n">
        <f aca="false">IF(AG103&gt;0,1,0)</f>
        <v>1</v>
      </c>
      <c r="AJ103" s="15" t="n">
        <f aca="false">IF(AH103&gt;=0,1,0)</f>
        <v>1</v>
      </c>
      <c r="AK103" s="15" t="n">
        <f aca="false">MAX(0,C103-I103)</f>
        <v>14013.2370361769</v>
      </c>
      <c r="AL103" s="24" t="n">
        <f aca="false">IF($A103&gt;=Annahmen!$D$69,AK103*Annahmen!$D$70,0)</f>
        <v>2802.64740723538</v>
      </c>
      <c r="AM103" s="15" t="n">
        <f aca="false">IF($A103&lt;Annahmen!$D$55,0,IF($A103=Annahmen!$D$55,Annahmen!$D$56,AM102*(1+(Annahmen!$D$57+F103)*(1-C102/Annahmen!$D$58))))</f>
        <v>13564.1009541794</v>
      </c>
      <c r="AN103" s="15" t="n">
        <f aca="false">IF($A103&lt;Annahmen!$D$71,0,IF($A103&lt;Annahmen!$D$71+Annahmen!$B$73,Annahmen!$D$72,Annahmen!$D$72*Annahmen!$B$75))</f>
        <v>1500</v>
      </c>
      <c r="AO103" s="7" t="n">
        <f aca="false">IF(Z103&gt;0,1,0)</f>
        <v>1</v>
      </c>
      <c r="AP103" s="7" t="n">
        <f aca="false">IF(AA103&gt;=0,1,0)</f>
        <v>0</v>
      </c>
    </row>
    <row r="104" customFormat="false" ht="15" hidden="false" customHeight="false" outlineLevel="0" collapsed="false">
      <c r="A104" s="7" t="n">
        <v>13</v>
      </c>
      <c r="B104" s="7" t="s">
        <v>402</v>
      </c>
      <c r="C104" s="15" t="n">
        <f aca="false">AM104+AN104</f>
        <v>19931.6133774922</v>
      </c>
      <c r="D104" s="17" t="n">
        <f aca="false">D103+IF($A104&gt;=Annahmen!$D$180,Annahmen!$D$181,0)</f>
        <v>110</v>
      </c>
      <c r="E104" s="17" t="n">
        <f aca="false">E103+Annahmen!$D$67</f>
        <v>171</v>
      </c>
      <c r="F104" s="25" t="n">
        <f aca="false">MIN(Annahmen!$D$185,Annahmen!$D$184*D104/10)</f>
        <v>0.15</v>
      </c>
      <c r="G104" s="42" t="n">
        <f aca="false">MIN(Annahmen!$D$187,Annahmen!$D$186*D104/10)</f>
        <v>0.008</v>
      </c>
      <c r="H104" s="17" t="n">
        <f aca="false">IF($A104&gt;Annahmen!$B$68,INDEX($AM$92:$AM$115,$A104-Annahmen!$B$68),0)*(Annahmen!$D$59+G104)+IF($A104=Annahmen!$D$71+Annahmen!$B$73,Annahmen!$D$72*Annahmen!$D$74,0)</f>
        <v>311.974321946126</v>
      </c>
      <c r="I104" s="17" t="n">
        <f aca="false">I103*(1-Annahmen!$D$60)+H104</f>
        <v>1320.80368322851</v>
      </c>
      <c r="J104" s="17" t="n">
        <f aca="false">I104*(1-Annahmen!$D$61)</f>
        <v>660.401841614256</v>
      </c>
      <c r="K104" s="17" t="n">
        <f aca="false">I104*Annahmen!$D$61</f>
        <v>660.401841614256</v>
      </c>
      <c r="L104" s="24" t="n">
        <f aca="false">J104*Annahmen!$D$87+K104*Annahmen!$D$88</f>
        <v>8468.0026140988</v>
      </c>
      <c r="M104" s="24" t="n">
        <f aca="false">IF($A104&gt;=Annahmen!$D$55,Annahmen!$D$64*((1-Annahmen!$D$65)*Annahmen!$B$80+Annahmen!$D$65*Annahmen!$B$81)+Annahmen!$D$66*Annahmen!$B$82,0)</f>
        <v>486.45</v>
      </c>
      <c r="N104" s="24" t="n">
        <f aca="false">(L104+M104)/(1+Annahmen!$B$9)</f>
        <v>7524.75009588134</v>
      </c>
      <c r="O104" s="24" t="n">
        <f aca="false">L104/(1+Annahmen!$B$9)</f>
        <v>7115.9685832763</v>
      </c>
      <c r="P104" s="24" t="n">
        <f aca="false">N104*(Annahmen!$D$63*Annahmen!$B$83+(1-Annahmen!$D$63)*Annahmen!$B$84)+(I104*Annahmen!$D$62+I104*(1-Annahmen!$D$62)/12+IF($A104&gt;=Annahmen!$D$55,Annahmen!$D$64+Annahmen!$D$66,0))*(1-Annahmen!$D$63)*Annahmen!$B$85</f>
        <v>627.423055878129</v>
      </c>
      <c r="Q104" s="25" t="n">
        <f aca="false">IF(D104=0,0,MIN(Annahmen!$B$189,Annahmen!$D$188*D104/(Annahmen!$D$188*D104+E104)))</f>
        <v>0.7</v>
      </c>
      <c r="R104" s="24" t="n">
        <f aca="false">O104*Q104*Annahmen!$B$196</f>
        <v>2963.80091493458</v>
      </c>
      <c r="S104" s="24" t="n">
        <f aca="false">Annahmen!$D$67*(Annahmen!$B$43+Annahmen!$B$154)</f>
        <v>778.451552687232</v>
      </c>
      <c r="T104" s="24" t="n">
        <f aca="false">IF($A104&gt;=Annahmen!$D$55,Annahmen!$D$64*(1-Annahmen!$D$65)*Annahmen!$B$44+(Annahmen!$D$64*Annahmen!$D$65+Annahmen!$D$66)*Annahmen!$B$45,0)</f>
        <v>190.53822791269</v>
      </c>
      <c r="U104" s="24" t="n">
        <f aca="false">C104*Annahmen!$B$86</f>
        <v>199.316133774922</v>
      </c>
      <c r="V104" s="24" t="n">
        <f aca="false">SUMPRODUCT((((Annahmen!$C$161:$C$174="monatlich")*(Annahmen!$D$161:$D$174&lt;=$A104))+((Annahmen!$C$161:$C$174="einmalig")*(Annahmen!$D$161:$D$174=$A104)))*Annahmen!$B$161:$B$174*Annahmen!$E$161:$E$174)</f>
        <v>69.9850799606897</v>
      </c>
      <c r="W104" s="24" t="n">
        <f aca="false">IF($A104&gt;=Annahmen!$D$55,Annahmen!$D$143,0)</f>
        <v>2000</v>
      </c>
      <c r="X104" s="36" t="n">
        <f aca="false">MAX(0,(I104-Annahmen!$B$147)/Annahmen!$B$148)</f>
        <v>0.106934561076171</v>
      </c>
      <c r="Y104" s="24" t="n">
        <f aca="false">X104*Annahmen!$B$146</f>
        <v>481.205524842768</v>
      </c>
      <c r="Z104" s="24" t="n">
        <f aca="false">N104-P104-R104-S104-T104-U104-V104-W104-Y104+AL104</f>
        <v>3936.19154474307</v>
      </c>
      <c r="AA104" s="24" t="n">
        <f aca="false">AA103+Z104</f>
        <v>-7497.53498506115</v>
      </c>
      <c r="AB104" s="17" t="n">
        <f aca="false">IF($A104&gt;=Annahmen!$D$180,Annahmen!$D$181,0)</f>
        <v>10</v>
      </c>
      <c r="AC104" s="17" t="n">
        <f aca="false">AB104*(1-Annahmen!$B$199)</f>
        <v>8</v>
      </c>
      <c r="AD104" s="24" t="n">
        <f aca="false">AC104*(Annahmen!$B$197+Annahmen!$B$198)+AB104*Annahmen!$D$155*Annahmen!$B$157</f>
        <v>3016</v>
      </c>
      <c r="AE104" s="24" t="n">
        <f aca="false">AB104*(Annahmen!$B$48+Annahmen!$B$182*Annahmen!$B$11+Annahmen!$D$155*Annahmen!$B$154)</f>
        <v>230.717432713765</v>
      </c>
      <c r="AF104" s="24" t="n">
        <f aca="false">AD104-AE104</f>
        <v>2785.28256728623</v>
      </c>
      <c r="AG104" s="24" t="n">
        <f aca="false">Gesamt!J88-TÆLLA!Y88+Z104+AF104</f>
        <v>13930.6209648461</v>
      </c>
      <c r="AH104" s="24" t="n">
        <f aca="false">AH103+AG104</f>
        <v>89719.0286472186</v>
      </c>
      <c r="AI104" s="15" t="n">
        <f aca="false">IF(AG104&gt;0,1,0)</f>
        <v>1</v>
      </c>
      <c r="AJ104" s="15" t="n">
        <f aca="false">IF(AH104&gt;=0,1,0)</f>
        <v>1</v>
      </c>
      <c r="AK104" s="15" t="n">
        <f aca="false">MAX(0,C104-I104)</f>
        <v>18610.8096942637</v>
      </c>
      <c r="AL104" s="24" t="n">
        <f aca="false">IF($A104&gt;=Annahmen!$D$69,AK104*Annahmen!$D$70,0)</f>
        <v>3722.16193885273</v>
      </c>
      <c r="AM104" s="15" t="n">
        <f aca="false">IF($A104&lt;Annahmen!$D$55,0,IF($A104=Annahmen!$D$55,Annahmen!$D$56,AM103*(1+(Annahmen!$D$57+F104)*(1-C103/Annahmen!$D$58))))</f>
        <v>18431.6133774922</v>
      </c>
      <c r="AN104" s="15" t="n">
        <f aca="false">IF($A104&lt;Annahmen!$D$71,0,IF($A104&lt;Annahmen!$D$71+Annahmen!$B$73,Annahmen!$D$72,Annahmen!$D$72*Annahmen!$B$75))</f>
        <v>1500</v>
      </c>
      <c r="AO104" s="7" t="n">
        <f aca="false">IF(Z104&gt;0,1,0)</f>
        <v>1</v>
      </c>
      <c r="AP104" s="7" t="n">
        <f aca="false">IF(AA104&gt;=0,1,0)</f>
        <v>0</v>
      </c>
    </row>
    <row r="105" customFormat="false" ht="15" hidden="false" customHeight="false" outlineLevel="0" collapsed="false">
      <c r="A105" s="7" t="n">
        <v>14</v>
      </c>
      <c r="B105" s="7" t="s">
        <v>403</v>
      </c>
      <c r="C105" s="15" t="n">
        <f aca="false">AM105+AN105</f>
        <v>26479.4552012592</v>
      </c>
      <c r="D105" s="17" t="n">
        <f aca="false">D104+IF($A105&gt;=Annahmen!$D$180,Annahmen!$D$181,0)</f>
        <v>120</v>
      </c>
      <c r="E105" s="17" t="n">
        <f aca="false">E104+Annahmen!$D$67</f>
        <v>183</v>
      </c>
      <c r="F105" s="25" t="n">
        <f aca="false">MIN(Annahmen!$D$185,Annahmen!$D$184*D105/10)</f>
        <v>0.15</v>
      </c>
      <c r="G105" s="42" t="n">
        <f aca="false">MIN(Annahmen!$D$187,Annahmen!$D$186*D105/10)</f>
        <v>0.008</v>
      </c>
      <c r="H105" s="17" t="n">
        <f aca="false">IF($A105&gt;Annahmen!$B$68,INDEX($AM$92:$AM$115,$A105-Annahmen!$B$68),0)*(Annahmen!$D$59+G105)+IF($A105=Annahmen!$D$71+Annahmen!$B$73,Annahmen!$D$72*Annahmen!$D$74,0)</f>
        <v>423.92710768232</v>
      </c>
      <c r="I105" s="17" t="n">
        <f aca="false">I104*(1-Annahmen!$D$60)+H105</f>
        <v>1691.89864358169</v>
      </c>
      <c r="J105" s="17" t="n">
        <f aca="false">I105*(1-Annahmen!$D$61)</f>
        <v>845.949321790846</v>
      </c>
      <c r="K105" s="17" t="n">
        <f aca="false">I105*Annahmen!$D$61</f>
        <v>845.949321790846</v>
      </c>
      <c r="L105" s="24" t="n">
        <f aca="false">J105*Annahmen!$D$87+K105*Annahmen!$D$88</f>
        <v>10847.1851786631</v>
      </c>
      <c r="M105" s="24" t="n">
        <f aca="false">IF($A105&gt;=Annahmen!$D$55,Annahmen!$D$64*((1-Annahmen!$D$65)*Annahmen!$B$80+Annahmen!$D$65*Annahmen!$B$81)+Annahmen!$D$66*Annahmen!$B$82,0)</f>
        <v>486.45</v>
      </c>
      <c r="N105" s="24" t="n">
        <f aca="false">(L105+M105)/(1+Annahmen!$B$9)</f>
        <v>9524.06317534716</v>
      </c>
      <c r="O105" s="24" t="n">
        <f aca="false">L105/(1+Annahmen!$B$9)</f>
        <v>9115.28166274212</v>
      </c>
      <c r="P105" s="24" t="n">
        <f aca="false">N105*(Annahmen!$D$63*Annahmen!$B$83+(1-Annahmen!$D$63)*Annahmen!$B$84)+(I105*Annahmen!$D$62+I105*(1-Annahmen!$D$62)/12+IF($A105&gt;=Annahmen!$D$55,Annahmen!$D$64+Annahmen!$D$66,0))*(1-Annahmen!$D$63)*Annahmen!$B$85</f>
        <v>795.527123889966</v>
      </c>
      <c r="Q105" s="25" t="n">
        <f aca="false">IF(D105=0,0,MIN(Annahmen!$B$189,Annahmen!$D$188*D105/(Annahmen!$D$188*D105+E105)))</f>
        <v>0.7</v>
      </c>
      <c r="R105" s="24" t="n">
        <f aca="false">O105*Q105*Annahmen!$B$196</f>
        <v>3796.51481253209</v>
      </c>
      <c r="S105" s="24" t="n">
        <f aca="false">Annahmen!$D$67*(Annahmen!$B$43+Annahmen!$B$154)</f>
        <v>778.451552687232</v>
      </c>
      <c r="T105" s="24" t="n">
        <f aca="false">IF($A105&gt;=Annahmen!$D$55,Annahmen!$D$64*(1-Annahmen!$D$65)*Annahmen!$B$44+(Annahmen!$D$64*Annahmen!$D$65+Annahmen!$D$66)*Annahmen!$B$45,0)</f>
        <v>190.53822791269</v>
      </c>
      <c r="U105" s="24" t="n">
        <f aca="false">C105*Annahmen!$B$86</f>
        <v>264.794552012592</v>
      </c>
      <c r="V105" s="24" t="n">
        <f aca="false">SUMPRODUCT((((Annahmen!$C$161:$C$174="monatlich")*(Annahmen!$D$161:$D$174&lt;=$A105))+((Annahmen!$C$161:$C$174="einmalig")*(Annahmen!$D$161:$D$174=$A105)))*Annahmen!$B$161:$B$174*Annahmen!$E$161:$E$174)</f>
        <v>69.9850799606897</v>
      </c>
      <c r="W105" s="24" t="n">
        <f aca="false">IF($A105&gt;=Annahmen!$D$55,Annahmen!$D$143,0)</f>
        <v>2000</v>
      </c>
      <c r="X105" s="36" t="n">
        <f aca="false">MAX(0,(I105-Annahmen!$B$147)/Annahmen!$B$148)</f>
        <v>0.230632881193897</v>
      </c>
      <c r="Y105" s="24" t="n">
        <f aca="false">X105*Annahmen!$B$146</f>
        <v>1037.84796537254</v>
      </c>
      <c r="Z105" s="24" t="n">
        <f aca="false">N105-P105-R105-S105-T105-U105-V105-W105-Y105+AL105</f>
        <v>5547.91517251487</v>
      </c>
      <c r="AA105" s="24" t="n">
        <f aca="false">AA104+Z105</f>
        <v>-1949.61981254628</v>
      </c>
      <c r="AB105" s="17" t="n">
        <f aca="false">IF($A105&gt;=Annahmen!$D$180,Annahmen!$D$181,0)</f>
        <v>10</v>
      </c>
      <c r="AC105" s="17" t="n">
        <f aca="false">AB105*(1-Annahmen!$B$199)</f>
        <v>8</v>
      </c>
      <c r="AD105" s="24" t="n">
        <f aca="false">AC105*(Annahmen!$B$197+Annahmen!$B$198)+AB105*Annahmen!$D$155*Annahmen!$B$157</f>
        <v>3016</v>
      </c>
      <c r="AE105" s="24" t="n">
        <f aca="false">AB105*(Annahmen!$B$48+Annahmen!$B$182*Annahmen!$B$11+Annahmen!$D$155*Annahmen!$B$154)</f>
        <v>230.717432713765</v>
      </c>
      <c r="AF105" s="24" t="n">
        <f aca="false">AD105-AE105</f>
        <v>2785.28256728623</v>
      </c>
      <c r="AG105" s="24" t="n">
        <f aca="false">Gesamt!J89-TÆLLA!Y89+Z105+AF105</f>
        <v>15580.6184243936</v>
      </c>
      <c r="AH105" s="24" t="n">
        <f aca="false">AH104+AG105</f>
        <v>105299.647071612</v>
      </c>
      <c r="AI105" s="15" t="n">
        <f aca="false">IF(AG105&gt;0,1,0)</f>
        <v>1</v>
      </c>
      <c r="AJ105" s="15" t="n">
        <f aca="false">IF(AH105&gt;=0,1,0)</f>
        <v>1</v>
      </c>
      <c r="AK105" s="15" t="n">
        <f aca="false">MAX(0,C105-I105)</f>
        <v>24787.5565576775</v>
      </c>
      <c r="AL105" s="24" t="n">
        <f aca="false">IF($A105&gt;=Annahmen!$D$69,AK105*Annahmen!$D$70,0)</f>
        <v>4957.51131153551</v>
      </c>
      <c r="AM105" s="15" t="n">
        <f aca="false">IF($A105&lt;Annahmen!$D$55,0,IF($A105=Annahmen!$D$55,Annahmen!$D$56,AM104*(1+(Annahmen!$D$57+F105)*(1-C104/Annahmen!$D$58))))</f>
        <v>24979.4552012592</v>
      </c>
      <c r="AN105" s="15" t="n">
        <f aca="false">IF($A105&lt;Annahmen!$D$71,0,IF($A105&lt;Annahmen!$D$71+Annahmen!$B$73,Annahmen!$D$72,Annahmen!$D$72*Annahmen!$B$75))</f>
        <v>1500</v>
      </c>
      <c r="AO105" s="7" t="n">
        <f aca="false">IF(Z105&gt;0,1,0)</f>
        <v>1</v>
      </c>
      <c r="AP105" s="7" t="n">
        <f aca="false">IF(AA105&gt;=0,1,0)</f>
        <v>0</v>
      </c>
    </row>
    <row r="106" customFormat="false" ht="15" hidden="false" customHeight="false" outlineLevel="0" collapsed="false">
      <c r="A106" s="7" t="n">
        <v>15</v>
      </c>
      <c r="B106" s="7" t="s">
        <v>404</v>
      </c>
      <c r="C106" s="15" t="n">
        <f aca="false">AM106+AN106</f>
        <v>35232.3862756595</v>
      </c>
      <c r="D106" s="17" t="n">
        <f aca="false">D105+IF($A106&gt;=Annahmen!$D$180,Annahmen!$D$181,0)</f>
        <v>130</v>
      </c>
      <c r="E106" s="17" t="n">
        <f aca="false">E105+Annahmen!$D$67</f>
        <v>195</v>
      </c>
      <c r="F106" s="25" t="n">
        <f aca="false">MIN(Annahmen!$D$185,Annahmen!$D$184*D106/10)</f>
        <v>0.15</v>
      </c>
      <c r="G106" s="42" t="n">
        <f aca="false">MIN(Annahmen!$D$187,Annahmen!$D$186*D106/10)</f>
        <v>0.008</v>
      </c>
      <c r="H106" s="17" t="n">
        <f aca="false">IF($A106&gt;Annahmen!$B$68,INDEX($AM$92:$AM$115,$A106-Annahmen!$B$68),0)*(Annahmen!$D$59+G106)+IF($A106=Annahmen!$D$71+Annahmen!$B$73,Annahmen!$D$72*Annahmen!$D$74,0)</f>
        <v>574.527469628962</v>
      </c>
      <c r="I106" s="17" t="n">
        <f aca="false">I105*(1-Annahmen!$D$60)+H106</f>
        <v>2198.75016746739</v>
      </c>
      <c r="J106" s="17" t="n">
        <f aca="false">I106*(1-Annahmen!$D$61)</f>
        <v>1099.37508373369</v>
      </c>
      <c r="K106" s="17" t="n">
        <f aca="false">I106*Annahmen!$D$61</f>
        <v>1099.37508373369</v>
      </c>
      <c r="L106" s="24" t="n">
        <f aca="false">J106*Annahmen!$D$87+K106*Annahmen!$D$88</f>
        <v>14096.7370111753</v>
      </c>
      <c r="M106" s="24" t="n">
        <f aca="false">IF($A106&gt;=Annahmen!$D$55,Annahmen!$D$64*((1-Annahmen!$D$65)*Annahmen!$B$80+Annahmen!$D$65*Annahmen!$B$81)+Annahmen!$D$66*Annahmen!$B$82,0)</f>
        <v>486.45</v>
      </c>
      <c r="N106" s="24" t="n">
        <f aca="false">(L106+M106)/(1+Annahmen!$B$9)</f>
        <v>12254.7790009876</v>
      </c>
      <c r="O106" s="24" t="n">
        <f aca="false">L106/(1+Annahmen!$B$9)</f>
        <v>11845.9974883826</v>
      </c>
      <c r="P106" s="24" t="n">
        <f aca="false">N106*(Annahmen!$D$63*Annahmen!$B$83+(1-Annahmen!$D$63)*Annahmen!$B$84)+(I106*Annahmen!$D$62+I106*(1-Annahmen!$D$62)/12+IF($A106&gt;=Annahmen!$D$55,Annahmen!$D$64+Annahmen!$D$66,0))*(1-Annahmen!$D$63)*Annahmen!$B$85</f>
        <v>1025.12820217487</v>
      </c>
      <c r="Q106" s="25" t="n">
        <f aca="false">IF(D106=0,0,MIN(Annahmen!$B$189,Annahmen!$D$188*D106/(Annahmen!$D$188*D106+E106)))</f>
        <v>0.7</v>
      </c>
      <c r="R106" s="24" t="n">
        <f aca="false">O106*Q106*Annahmen!$B$196</f>
        <v>4933.85795391135</v>
      </c>
      <c r="S106" s="24" t="n">
        <f aca="false">Annahmen!$D$67*(Annahmen!$B$43+Annahmen!$B$154)</f>
        <v>778.451552687232</v>
      </c>
      <c r="T106" s="24" t="n">
        <f aca="false">IF($A106&gt;=Annahmen!$D$55,Annahmen!$D$64*(1-Annahmen!$D$65)*Annahmen!$B$44+(Annahmen!$D$64*Annahmen!$D$65+Annahmen!$D$66)*Annahmen!$B$45,0)</f>
        <v>190.53822791269</v>
      </c>
      <c r="U106" s="24" t="n">
        <f aca="false">C106*Annahmen!$B$86</f>
        <v>352.323862756595</v>
      </c>
      <c r="V106" s="24" t="n">
        <f aca="false">SUMPRODUCT((((Annahmen!$C$161:$C$174="monatlich")*(Annahmen!$D$161:$D$174&lt;=$A106))+((Annahmen!$C$161:$C$174="einmalig")*(Annahmen!$D$161:$D$174=$A106)))*Annahmen!$B$161:$B$174*Annahmen!$E$161:$E$174)</f>
        <v>69.9850799606897</v>
      </c>
      <c r="W106" s="24" t="n">
        <f aca="false">IF($A106&gt;=Annahmen!$D$55,Annahmen!$D$143,0)</f>
        <v>2000</v>
      </c>
      <c r="X106" s="36" t="n">
        <f aca="false">MAX(0,(I106-Annahmen!$B$147)/Annahmen!$B$148)</f>
        <v>0.399583389155795</v>
      </c>
      <c r="Y106" s="24" t="n">
        <f aca="false">X106*Annahmen!$B$146</f>
        <v>1798.12525120108</v>
      </c>
      <c r="Z106" s="24" t="n">
        <f aca="false">N106-P106-R106-S106-T106-U106-V106-W106-Y106+AL106</f>
        <v>7713.09609202154</v>
      </c>
      <c r="AA106" s="24" t="n">
        <f aca="false">AA105+Z106</f>
        <v>5763.47627947527</v>
      </c>
      <c r="AB106" s="17" t="n">
        <f aca="false">IF($A106&gt;=Annahmen!$D$180,Annahmen!$D$181,0)</f>
        <v>10</v>
      </c>
      <c r="AC106" s="17" t="n">
        <f aca="false">AB106*(1-Annahmen!$B$199)</f>
        <v>8</v>
      </c>
      <c r="AD106" s="24" t="n">
        <f aca="false">AC106*(Annahmen!$B$197+Annahmen!$B$198)+AB106*Annahmen!$D$155*Annahmen!$B$157</f>
        <v>3016</v>
      </c>
      <c r="AE106" s="24" t="n">
        <f aca="false">AB106*(Annahmen!$B$48+Annahmen!$B$182*Annahmen!$B$11+Annahmen!$D$155*Annahmen!$B$154)</f>
        <v>230.717432713765</v>
      </c>
      <c r="AF106" s="24" t="n">
        <f aca="false">AD106-AE106</f>
        <v>2785.28256728623</v>
      </c>
      <c r="AG106" s="24" t="n">
        <f aca="false">Gesamt!J90-TÆLLA!Y90+Z106+AF106</f>
        <v>17784.073175676</v>
      </c>
      <c r="AH106" s="24" t="n">
        <f aca="false">AH105+AG106</f>
        <v>123083.720247288</v>
      </c>
      <c r="AI106" s="15" t="n">
        <f aca="false">IF(AG106&gt;0,1,0)</f>
        <v>1</v>
      </c>
      <c r="AJ106" s="15" t="n">
        <f aca="false">IF(AH106&gt;=0,1,0)</f>
        <v>1</v>
      </c>
      <c r="AK106" s="15" t="n">
        <f aca="false">MAX(0,C106-I106)</f>
        <v>33033.6361081921</v>
      </c>
      <c r="AL106" s="24" t="n">
        <f aca="false">IF($A106&gt;=Annahmen!$D$69,AK106*Annahmen!$D$70,0)</f>
        <v>6606.72722163842</v>
      </c>
      <c r="AM106" s="15" t="n">
        <f aca="false">IF($A106&lt;Annahmen!$D$55,0,IF($A106=Annahmen!$D$55,Annahmen!$D$56,AM105*(1+(Annahmen!$D$57+F106)*(1-C105/Annahmen!$D$58))))</f>
        <v>33732.3862756595</v>
      </c>
      <c r="AN106" s="15" t="n">
        <f aca="false">IF($A106&lt;Annahmen!$D$71,0,IF($A106&lt;Annahmen!$D$71+Annahmen!$B$73,Annahmen!$D$72,Annahmen!$D$72*Annahmen!$B$75))</f>
        <v>1500</v>
      </c>
      <c r="AO106" s="7" t="n">
        <f aca="false">IF(Z106&gt;0,1,0)</f>
        <v>1</v>
      </c>
      <c r="AP106" s="7" t="n">
        <f aca="false">IF(AA106&gt;=0,1,0)</f>
        <v>1</v>
      </c>
    </row>
    <row r="107" customFormat="false" ht="15" hidden="false" customHeight="false" outlineLevel="0" collapsed="false">
      <c r="A107" s="7" t="n">
        <v>16</v>
      </c>
      <c r="B107" s="7" t="s">
        <v>405</v>
      </c>
      <c r="C107" s="15" t="n">
        <f aca="false">AM107+AN107</f>
        <v>46833.8995748383</v>
      </c>
      <c r="D107" s="17" t="n">
        <f aca="false">D106+IF($A107&gt;=Annahmen!$D$180,Annahmen!$D$181,0)</f>
        <v>140</v>
      </c>
      <c r="E107" s="17" t="n">
        <f aca="false">E106+Annahmen!$D$67</f>
        <v>207</v>
      </c>
      <c r="F107" s="25" t="n">
        <f aca="false">MIN(Annahmen!$D$185,Annahmen!$D$184*D107/10)</f>
        <v>0.15</v>
      </c>
      <c r="G107" s="42" t="n">
        <f aca="false">MIN(Annahmen!$D$187,Annahmen!$D$186*D107/10)</f>
        <v>0.008</v>
      </c>
      <c r="H107" s="17" t="n">
        <f aca="false">IF($A107&gt;Annahmen!$B$68,INDEX($AM$92:$AM$115,$A107-Annahmen!$B$68),0)*(Annahmen!$D$59+G107)+IF($A107=Annahmen!$D$71+Annahmen!$B$73,Annahmen!$D$72*Annahmen!$D$74,0)</f>
        <v>775.844884340168</v>
      </c>
      <c r="I107" s="17" t="n">
        <f aca="false">I106*(1-Annahmen!$D$60)+H107</f>
        <v>2886.64504510886</v>
      </c>
      <c r="J107" s="17" t="n">
        <f aca="false">I107*(1-Annahmen!$D$61)</f>
        <v>1443.32252255443</v>
      </c>
      <c r="K107" s="17" t="n">
        <f aca="false">I107*Annahmen!$D$61</f>
        <v>1443.32252255443</v>
      </c>
      <c r="L107" s="24" t="n">
        <f aca="false">J107*Annahmen!$D$87+K107*Annahmen!$D$88</f>
        <v>18507.0030454542</v>
      </c>
      <c r="M107" s="24" t="n">
        <f aca="false">IF($A107&gt;=Annahmen!$D$55,Annahmen!$D$64*((1-Annahmen!$D$65)*Annahmen!$B$80+Annahmen!$D$65*Annahmen!$B$81)+Annahmen!$D$66*Annahmen!$B$82,0)</f>
        <v>486.45</v>
      </c>
      <c r="N107" s="24" t="n">
        <f aca="false">(L107+M107)/(1+Annahmen!$B$9)</f>
        <v>15960.8849121464</v>
      </c>
      <c r="O107" s="24" t="n">
        <f aca="false">L107/(1+Annahmen!$B$9)</f>
        <v>15552.1033995413</v>
      </c>
      <c r="P107" s="24" t="n">
        <f aca="false">N107*(Annahmen!$D$63*Annahmen!$B$83+(1-Annahmen!$D$63)*Annahmen!$B$84)+(I107*Annahmen!$D$62+I107*(1-Annahmen!$D$62)/12+IF($A107&gt;=Annahmen!$D$55,Annahmen!$D$64+Annahmen!$D$66,0))*(1-Annahmen!$D$63)*Annahmen!$B$85</f>
        <v>1336.74096885319</v>
      </c>
      <c r="Q107" s="25" t="n">
        <f aca="false">IF(D107=0,0,MIN(Annahmen!$B$189,Annahmen!$D$188*D107/(Annahmen!$D$188*D107+E107)))</f>
        <v>0.7</v>
      </c>
      <c r="R107" s="24" t="n">
        <f aca="false">O107*Q107*Annahmen!$B$196</f>
        <v>6477.45106590896</v>
      </c>
      <c r="S107" s="24" t="n">
        <f aca="false">Annahmen!$D$67*(Annahmen!$B$43+Annahmen!$B$154)</f>
        <v>778.451552687232</v>
      </c>
      <c r="T107" s="24" t="n">
        <f aca="false">IF($A107&gt;=Annahmen!$D$55,Annahmen!$D$64*(1-Annahmen!$D$65)*Annahmen!$B$44+(Annahmen!$D$64*Annahmen!$D$65+Annahmen!$D$66)*Annahmen!$B$45,0)</f>
        <v>190.53822791269</v>
      </c>
      <c r="U107" s="24" t="n">
        <f aca="false">C107*Annahmen!$B$86</f>
        <v>468.338995748383</v>
      </c>
      <c r="V107" s="24" t="n">
        <f aca="false">SUMPRODUCT((((Annahmen!$C$161:$C$174="monatlich")*(Annahmen!$D$161:$D$174&lt;=$A107))+((Annahmen!$C$161:$C$174="einmalig")*(Annahmen!$D$161:$D$174=$A107)))*Annahmen!$B$161:$B$174*Annahmen!$E$161:$E$174)</f>
        <v>69.9850799606897</v>
      </c>
      <c r="W107" s="24" t="n">
        <f aca="false">IF($A107&gt;=Annahmen!$D$55,Annahmen!$D$143,0)</f>
        <v>2000</v>
      </c>
      <c r="X107" s="36" t="n">
        <f aca="false">MAX(0,(I107-Annahmen!$B$147)/Annahmen!$B$148)</f>
        <v>0.628881681702953</v>
      </c>
      <c r="Y107" s="24" t="n">
        <f aca="false">X107*Annahmen!$B$146</f>
        <v>2829.96756766329</v>
      </c>
      <c r="Z107" s="24" t="n">
        <f aca="false">N107-P107-R107-S107-T107-U107-V107-W107-Y107+AL107</f>
        <v>10598.8623593578</v>
      </c>
      <c r="AA107" s="24" t="n">
        <f aca="false">AA106+Z107</f>
        <v>16362.3386388331</v>
      </c>
      <c r="AB107" s="17" t="n">
        <f aca="false">IF($A107&gt;=Annahmen!$D$180,Annahmen!$D$181,0)</f>
        <v>10</v>
      </c>
      <c r="AC107" s="17" t="n">
        <f aca="false">AB107*(1-Annahmen!$B$199)</f>
        <v>8</v>
      </c>
      <c r="AD107" s="24" t="n">
        <f aca="false">AC107*(Annahmen!$B$197+Annahmen!$B$198)+AB107*Annahmen!$D$155*Annahmen!$B$157</f>
        <v>3016</v>
      </c>
      <c r="AE107" s="24" t="n">
        <f aca="false">AB107*(Annahmen!$B$48+Annahmen!$B$182*Annahmen!$B$11+Annahmen!$D$155*Annahmen!$B$154)</f>
        <v>230.717432713765</v>
      </c>
      <c r="AF107" s="24" t="n">
        <f aca="false">AD107-AE107</f>
        <v>2785.28256728623</v>
      </c>
      <c r="AG107" s="24" t="n">
        <f aca="false">Gesamt!J91-TÆLLA!Y91+Z107+AF107</f>
        <v>20708.113274788</v>
      </c>
      <c r="AH107" s="24" t="n">
        <f aca="false">AH106+AG107</f>
        <v>143791.833522076</v>
      </c>
      <c r="AI107" s="15" t="n">
        <f aca="false">IF(AG107&gt;0,1,0)</f>
        <v>1</v>
      </c>
      <c r="AJ107" s="15" t="n">
        <f aca="false">IF(AH107&gt;=0,1,0)</f>
        <v>1</v>
      </c>
      <c r="AK107" s="15" t="n">
        <f aca="false">MAX(0,C107-I107)</f>
        <v>43947.2545297294</v>
      </c>
      <c r="AL107" s="24" t="n">
        <f aca="false">IF($A107&gt;=Annahmen!$D$69,AK107*Annahmen!$D$70,0)</f>
        <v>8789.45090594588</v>
      </c>
      <c r="AM107" s="15" t="n">
        <f aca="false">IF($A107&lt;Annahmen!$D$55,0,IF($A107=Annahmen!$D$55,Annahmen!$D$56,AM106*(1+(Annahmen!$D$57+F107)*(1-C106/Annahmen!$D$58))))</f>
        <v>45333.8995748383</v>
      </c>
      <c r="AN107" s="15" t="n">
        <f aca="false">IF($A107&lt;Annahmen!$D$71,0,IF($A107&lt;Annahmen!$D$71+Annahmen!$B$73,Annahmen!$D$72,Annahmen!$D$72*Annahmen!$B$75))</f>
        <v>1500</v>
      </c>
      <c r="AO107" s="7" t="n">
        <f aca="false">IF(Z107&gt;0,1,0)</f>
        <v>1</v>
      </c>
      <c r="AP107" s="7" t="n">
        <f aca="false">IF(AA107&gt;=0,1,0)</f>
        <v>1</v>
      </c>
    </row>
    <row r="108" customFormat="false" ht="15" hidden="false" customHeight="false" outlineLevel="0" collapsed="false">
      <c r="A108" s="7" t="n">
        <v>17</v>
      </c>
      <c r="B108" s="7" t="s">
        <v>406</v>
      </c>
      <c r="C108" s="15" t="n">
        <f aca="false">AM108+AN108</f>
        <v>62036.3015755108</v>
      </c>
      <c r="D108" s="17" t="n">
        <f aca="false">D107+IF($A108&gt;=Annahmen!$D$180,Annahmen!$D$181,0)</f>
        <v>150</v>
      </c>
      <c r="E108" s="17" t="n">
        <f aca="false">E107+Annahmen!$D$67</f>
        <v>219</v>
      </c>
      <c r="F108" s="25" t="n">
        <f aca="false">MIN(Annahmen!$D$185,Annahmen!$D$184*D108/10)</f>
        <v>0.15</v>
      </c>
      <c r="G108" s="42" t="n">
        <f aca="false">MIN(Annahmen!$D$187,Annahmen!$D$186*D108/10)</f>
        <v>0.008</v>
      </c>
      <c r="H108" s="17" t="n">
        <f aca="false">IF($A108&gt;Annahmen!$B$68,INDEX($AM$92:$AM$115,$A108-Annahmen!$B$68),0)*(Annahmen!$D$59+G108)+IF($A108=Annahmen!$D$71+Annahmen!$B$73,Annahmen!$D$72*Annahmen!$D$74,0)</f>
        <v>1042.67969022128</v>
      </c>
      <c r="I108" s="17" t="n">
        <f aca="false">I107*(1-Annahmen!$D$60)+H108</f>
        <v>3813.85893352578</v>
      </c>
      <c r="J108" s="17" t="n">
        <f aca="false">I108*(1-Annahmen!$D$61)</f>
        <v>1906.92946676289</v>
      </c>
      <c r="K108" s="17" t="n">
        <f aca="false">I108*Annahmen!$D$61</f>
        <v>1906.92946676289</v>
      </c>
      <c r="L108" s="24" t="n">
        <f aca="false">J108*Annahmen!$D$87+K108*Annahmen!$D$88</f>
        <v>24451.6030875672</v>
      </c>
      <c r="M108" s="24" t="n">
        <f aca="false">IF($A108&gt;=Annahmen!$D$55,Annahmen!$D$64*((1-Annahmen!$D$65)*Annahmen!$B$80+Annahmen!$D$65*Annahmen!$B$81)+Annahmen!$D$66*Annahmen!$B$82,0)</f>
        <v>486.45</v>
      </c>
      <c r="N108" s="24" t="n">
        <f aca="false">(L108+M108)/(1+Annahmen!$B$9)</f>
        <v>20956.3471324094</v>
      </c>
      <c r="O108" s="24" t="n">
        <f aca="false">L108/(1+Annahmen!$B$9)</f>
        <v>20547.5656198044</v>
      </c>
      <c r="P108" s="24" t="n">
        <f aca="false">N108*(Annahmen!$D$63*Annahmen!$B$83+(1-Annahmen!$D$63)*Annahmen!$B$84)+(I108*Annahmen!$D$62+I108*(1-Annahmen!$D$62)/12+IF($A108&gt;=Annahmen!$D$55,Annahmen!$D$64+Annahmen!$D$66,0))*(1-Annahmen!$D$63)*Annahmen!$B$85</f>
        <v>1756.76399048522</v>
      </c>
      <c r="Q108" s="25" t="n">
        <f aca="false">IF(D108=0,0,MIN(Annahmen!$B$189,Annahmen!$D$188*D108/(Annahmen!$D$188*D108+E108)))</f>
        <v>0.7</v>
      </c>
      <c r="R108" s="24" t="n">
        <f aca="false">O108*Q108*Annahmen!$B$196</f>
        <v>8558.06108064851</v>
      </c>
      <c r="S108" s="24" t="n">
        <f aca="false">Annahmen!$D$67*(Annahmen!$B$43+Annahmen!$B$154)</f>
        <v>778.451552687232</v>
      </c>
      <c r="T108" s="24" t="n">
        <f aca="false">IF($A108&gt;=Annahmen!$D$55,Annahmen!$D$64*(1-Annahmen!$D$65)*Annahmen!$B$44+(Annahmen!$D$64*Annahmen!$D$65+Annahmen!$D$66)*Annahmen!$B$45,0)</f>
        <v>190.53822791269</v>
      </c>
      <c r="U108" s="24" t="n">
        <f aca="false">C108*Annahmen!$B$86</f>
        <v>620.363015755108</v>
      </c>
      <c r="V108" s="24" t="n">
        <f aca="false">SUMPRODUCT((((Annahmen!$C$161:$C$174="monatlich")*(Annahmen!$D$161:$D$174&lt;=$A108))+((Annahmen!$C$161:$C$174="einmalig")*(Annahmen!$D$161:$D$174=$A108)))*Annahmen!$B$161:$B$174*Annahmen!$E$161:$E$174)</f>
        <v>69.9850799606897</v>
      </c>
      <c r="W108" s="24" t="n">
        <f aca="false">IF($A108&gt;=Annahmen!$D$55,Annahmen!$D$143,0)</f>
        <v>2000</v>
      </c>
      <c r="X108" s="36" t="n">
        <f aca="false">MAX(0,(I108-Annahmen!$B$147)/Annahmen!$B$148)</f>
        <v>0.937952977841928</v>
      </c>
      <c r="Y108" s="24" t="n">
        <f aca="false">X108*Annahmen!$B$146</f>
        <v>4220.78840028868</v>
      </c>
      <c r="Z108" s="24" t="n">
        <f aca="false">N108-P108-R108-S108-T108-U108-V108-W108-Y108+AL108</f>
        <v>14405.8843130683</v>
      </c>
      <c r="AA108" s="24" t="n">
        <f aca="false">AA107+Z108</f>
        <v>30768.2229519014</v>
      </c>
      <c r="AB108" s="17" t="n">
        <f aca="false">IF($A108&gt;=Annahmen!$D$180,Annahmen!$D$181,0)</f>
        <v>10</v>
      </c>
      <c r="AC108" s="17" t="n">
        <f aca="false">AB108*(1-Annahmen!$B$199)</f>
        <v>8</v>
      </c>
      <c r="AD108" s="24" t="n">
        <f aca="false">AC108*(Annahmen!$B$197+Annahmen!$B$198)+AB108*Annahmen!$D$155*Annahmen!$B$157</f>
        <v>3016</v>
      </c>
      <c r="AE108" s="24" t="n">
        <f aca="false">AB108*(Annahmen!$B$48+Annahmen!$B$182*Annahmen!$B$11+Annahmen!$D$155*Annahmen!$B$154)</f>
        <v>230.717432713765</v>
      </c>
      <c r="AF108" s="24" t="n">
        <f aca="false">AD108-AE108</f>
        <v>2785.28256728623</v>
      </c>
      <c r="AG108" s="24" t="n">
        <f aca="false">Gesamt!J92-TÆLLA!Y92+Z108+AF108</f>
        <v>24553.4090602741</v>
      </c>
      <c r="AH108" s="24" t="n">
        <f aca="false">AH107+AG108</f>
        <v>168345.24258235</v>
      </c>
      <c r="AI108" s="15" t="n">
        <f aca="false">IF(AG108&gt;0,1,0)</f>
        <v>1</v>
      </c>
      <c r="AJ108" s="15" t="n">
        <f aca="false">IF(AH108&gt;=0,1,0)</f>
        <v>1</v>
      </c>
      <c r="AK108" s="15" t="n">
        <f aca="false">MAX(0,C108-I108)</f>
        <v>58222.4426419851</v>
      </c>
      <c r="AL108" s="24" t="n">
        <f aca="false">IF($A108&gt;=Annahmen!$D$69,AK108*Annahmen!$D$70,0)</f>
        <v>11644.488528397</v>
      </c>
      <c r="AM108" s="15" t="n">
        <f aca="false">IF($A108&lt;Annahmen!$D$55,0,IF($A108=Annahmen!$D$55,Annahmen!$D$56,AM107*(1+(Annahmen!$D$57+F108)*(1-C107/Annahmen!$D$58))))</f>
        <v>60536.3015755108</v>
      </c>
      <c r="AN108" s="15" t="n">
        <f aca="false">IF($A108&lt;Annahmen!$D$71,0,IF($A108&lt;Annahmen!$D$71+Annahmen!$B$73,Annahmen!$D$72,Annahmen!$D$72*Annahmen!$B$75))</f>
        <v>1500</v>
      </c>
      <c r="AO108" s="7" t="n">
        <f aca="false">IF(Z108&gt;0,1,0)</f>
        <v>1</v>
      </c>
      <c r="AP108" s="7" t="n">
        <f aca="false">IF(AA108&gt;=0,1,0)</f>
        <v>1</v>
      </c>
    </row>
    <row r="109" customFormat="false" ht="15" hidden="false" customHeight="false" outlineLevel="0" collapsed="false">
      <c r="A109" s="7" t="n">
        <v>18</v>
      </c>
      <c r="B109" s="7" t="s">
        <v>407</v>
      </c>
      <c r="C109" s="15" t="n">
        <f aca="false">AM109+AN109</f>
        <v>81655.7014454545</v>
      </c>
      <c r="D109" s="17" t="n">
        <f aca="false">D108+IF($A109&gt;=Annahmen!$D$180,Annahmen!$D$181,0)</f>
        <v>160</v>
      </c>
      <c r="E109" s="17" t="n">
        <f aca="false">E108+Annahmen!$D$67</f>
        <v>231</v>
      </c>
      <c r="F109" s="25" t="n">
        <f aca="false">MIN(Annahmen!$D$185,Annahmen!$D$184*D109/10)</f>
        <v>0.15</v>
      </c>
      <c r="G109" s="42" t="n">
        <f aca="false">MIN(Annahmen!$D$187,Annahmen!$D$186*D109/10)</f>
        <v>0.008</v>
      </c>
      <c r="H109" s="17" t="n">
        <f aca="false">IF($A109&gt;Annahmen!$B$68,INDEX($AM$92:$AM$115,$A109-Annahmen!$B$68),0)*(Annahmen!$D$59+G109)+IF($A109=Annahmen!$D$71+Annahmen!$B$73,Annahmen!$D$72*Annahmen!$D$74,0)</f>
        <v>1392.33493623675</v>
      </c>
      <c r="I109" s="17" t="n">
        <f aca="false">I108*(1-Annahmen!$D$60)+H109</f>
        <v>5053.6395124215</v>
      </c>
      <c r="J109" s="17" t="n">
        <f aca="false">I109*(1-Annahmen!$D$61)</f>
        <v>2526.81975621075</v>
      </c>
      <c r="K109" s="17" t="n">
        <f aca="false">I109*Annahmen!$D$61</f>
        <v>2526.81975621075</v>
      </c>
      <c r="L109" s="24" t="n">
        <f aca="false">J109*Annahmen!$D$87+K109*Annahmen!$D$88</f>
        <v>32400.1463240124</v>
      </c>
      <c r="M109" s="24" t="n">
        <f aca="false">IF($A109&gt;=Annahmen!$D$55,Annahmen!$D$64*((1-Annahmen!$D$65)*Annahmen!$B$80+Annahmen!$D$65*Annahmen!$B$81)+Annahmen!$D$66*Annahmen!$B$82,0)</f>
        <v>486.45</v>
      </c>
      <c r="N109" s="24" t="n">
        <f aca="false">(L109+M109)/(1+Annahmen!$B$9)</f>
        <v>27635.7952302625</v>
      </c>
      <c r="O109" s="24" t="n">
        <f aca="false">L109/(1+Annahmen!$B$9)</f>
        <v>27227.0137176574</v>
      </c>
      <c r="P109" s="24" t="n">
        <f aca="false">N109*(Annahmen!$D$63*Annahmen!$B$83+(1-Annahmen!$D$63)*Annahmen!$B$84)+(I109*Annahmen!$D$62+I109*(1-Annahmen!$D$62)/12+IF($A109&gt;=Annahmen!$D$55,Annahmen!$D$64+Annahmen!$D$66,0))*(1-Annahmen!$D$63)*Annahmen!$B$85</f>
        <v>2318.37808127236</v>
      </c>
      <c r="Q109" s="25" t="n">
        <f aca="false">IF(D109=0,0,MIN(Annahmen!$B$189,Annahmen!$D$188*D109/(Annahmen!$D$188*D109+E109)))</f>
        <v>0.7</v>
      </c>
      <c r="R109" s="24" t="n">
        <f aca="false">O109*Q109*Annahmen!$B$196</f>
        <v>11340.0512134043</v>
      </c>
      <c r="S109" s="24" t="n">
        <f aca="false">Annahmen!$D$67*(Annahmen!$B$43+Annahmen!$B$154)</f>
        <v>778.451552687232</v>
      </c>
      <c r="T109" s="24" t="n">
        <f aca="false">IF($A109&gt;=Annahmen!$D$55,Annahmen!$D$64*(1-Annahmen!$D$65)*Annahmen!$B$44+(Annahmen!$D$64*Annahmen!$D$65+Annahmen!$D$66)*Annahmen!$B$45,0)</f>
        <v>190.53822791269</v>
      </c>
      <c r="U109" s="24" t="n">
        <f aca="false">C109*Annahmen!$B$86</f>
        <v>816.557014454545</v>
      </c>
      <c r="V109" s="24" t="n">
        <f aca="false">SUMPRODUCT((((Annahmen!$C$161:$C$174="monatlich")*(Annahmen!$D$161:$D$174&lt;=$A109))+((Annahmen!$C$161:$C$174="einmalig")*(Annahmen!$D$161:$D$174=$A109)))*Annahmen!$B$161:$B$174*Annahmen!$E$161:$E$174)</f>
        <v>69.9850799606897</v>
      </c>
      <c r="W109" s="24" t="n">
        <f aca="false">IF($A109&gt;=Annahmen!$D$55,Annahmen!$D$143,0)</f>
        <v>2000</v>
      </c>
      <c r="X109" s="36" t="n">
        <f aca="false">MAX(0,(I109-Annahmen!$B$147)/Annahmen!$B$148)</f>
        <v>1.35121317080717</v>
      </c>
      <c r="Y109" s="24" t="n">
        <f aca="false">X109*Annahmen!$B$146</f>
        <v>6080.45926863225</v>
      </c>
      <c r="Z109" s="24" t="n">
        <f aca="false">N109-P109-R109-S109-T109-U109-V109-W109-Y109+AL109</f>
        <v>19361.787178545</v>
      </c>
      <c r="AA109" s="24" t="n">
        <f aca="false">AA108+Z109</f>
        <v>50130.0101304464</v>
      </c>
      <c r="AB109" s="17" t="n">
        <f aca="false">IF($A109&gt;=Annahmen!$D$180,Annahmen!$D$181,0)</f>
        <v>10</v>
      </c>
      <c r="AC109" s="17" t="n">
        <f aca="false">AB109*(1-Annahmen!$B$199)</f>
        <v>8</v>
      </c>
      <c r="AD109" s="24" t="n">
        <f aca="false">AC109*(Annahmen!$B$197+Annahmen!$B$198)+AB109*Annahmen!$D$155*Annahmen!$B$157</f>
        <v>3016</v>
      </c>
      <c r="AE109" s="24" t="n">
        <f aca="false">AB109*(Annahmen!$B$48+Annahmen!$B$182*Annahmen!$B$11+Annahmen!$D$155*Annahmen!$B$154)</f>
        <v>230.717432713765</v>
      </c>
      <c r="AF109" s="24" t="n">
        <f aca="false">AD109-AE109</f>
        <v>2785.28256728623</v>
      </c>
      <c r="AG109" s="24" t="n">
        <f aca="false">Gesamt!J93-TÆLLA!Y93+Z109+AF109</f>
        <v>29547.5857575265</v>
      </c>
      <c r="AH109" s="24" t="n">
        <f aca="false">AH108+AG109</f>
        <v>197892.828339877</v>
      </c>
      <c r="AI109" s="15" t="n">
        <f aca="false">IF(AG109&gt;0,1,0)</f>
        <v>1</v>
      </c>
      <c r="AJ109" s="15" t="n">
        <f aca="false">IF(AH109&gt;=0,1,0)</f>
        <v>1</v>
      </c>
      <c r="AK109" s="15" t="n">
        <f aca="false">MAX(0,C109-I109)</f>
        <v>76602.061933033</v>
      </c>
      <c r="AL109" s="24" t="n">
        <f aca="false">IF($A109&gt;=Annahmen!$D$69,AK109*Annahmen!$D$70,0)</f>
        <v>15320.4123866066</v>
      </c>
      <c r="AM109" s="15" t="n">
        <f aca="false">IF($A109&lt;Annahmen!$D$55,0,IF($A109=Annahmen!$D$55,Annahmen!$D$56,AM108*(1+(Annahmen!$D$57+F109)*(1-C108/Annahmen!$D$58))))</f>
        <v>80155.7014454545</v>
      </c>
      <c r="AN109" s="15" t="n">
        <f aca="false">IF($A109&lt;Annahmen!$D$71,0,IF($A109&lt;Annahmen!$D$71+Annahmen!$B$73,Annahmen!$D$72,Annahmen!$D$72*Annahmen!$B$75))</f>
        <v>1500</v>
      </c>
      <c r="AO109" s="7" t="n">
        <f aca="false">IF(Z109&gt;0,1,0)</f>
        <v>1</v>
      </c>
      <c r="AP109" s="7" t="n">
        <f aca="false">IF(AA109&gt;=0,1,0)</f>
        <v>1</v>
      </c>
    </row>
    <row r="110" customFormat="false" ht="15" hidden="false" customHeight="false" outlineLevel="0" collapsed="false">
      <c r="A110" s="7" t="n">
        <v>19</v>
      </c>
      <c r="B110" s="7" t="s">
        <v>408</v>
      </c>
      <c r="C110" s="15" t="n">
        <f aca="false">AM110+AN110</f>
        <v>106469.885160751</v>
      </c>
      <c r="D110" s="17" t="n">
        <f aca="false">D109+IF($A110&gt;=Annahmen!$D$180,Annahmen!$D$181,0)</f>
        <v>170</v>
      </c>
      <c r="E110" s="17" t="n">
        <f aca="false">E109+Annahmen!$D$67</f>
        <v>243</v>
      </c>
      <c r="F110" s="25" t="n">
        <f aca="false">MIN(Annahmen!$D$185,Annahmen!$D$184*D110/10)</f>
        <v>0.15</v>
      </c>
      <c r="G110" s="42" t="n">
        <f aca="false">MIN(Annahmen!$D$187,Annahmen!$D$186*D110/10)</f>
        <v>0.008</v>
      </c>
      <c r="H110" s="17" t="n">
        <f aca="false">IF($A110&gt;Annahmen!$B$68,INDEX($AM$92:$AM$115,$A110-Annahmen!$B$68),0)*(Annahmen!$D$59+G110)+IF($A110=Annahmen!$D$71+Annahmen!$B$73,Annahmen!$D$72*Annahmen!$D$74,0)</f>
        <v>1843.58113324545</v>
      </c>
      <c r="I110" s="17" t="n">
        <f aca="false">I109*(1-Annahmen!$D$60)+H110</f>
        <v>6695.0750651701</v>
      </c>
      <c r="J110" s="17" t="n">
        <f aca="false">I110*(1-Annahmen!$D$61)</f>
        <v>3347.53753258505</v>
      </c>
      <c r="K110" s="17" t="n">
        <f aca="false">I110*Annahmen!$D$61</f>
        <v>3347.53753258505</v>
      </c>
      <c r="L110" s="24" t="n">
        <f aca="false">J110*Annahmen!$D$87+K110*Annahmen!$D$88</f>
        <v>42923.8000115718</v>
      </c>
      <c r="M110" s="24" t="n">
        <f aca="false">IF($A110&gt;=Annahmen!$D$55,Annahmen!$D$64*((1-Annahmen!$D$65)*Annahmen!$B$80+Annahmen!$D$65*Annahmen!$B$81)+Annahmen!$D$66*Annahmen!$B$82,0)</f>
        <v>486.45</v>
      </c>
      <c r="N110" s="24" t="n">
        <f aca="false">(L110+M110)/(1+Annahmen!$B$9)</f>
        <v>36479.2016903965</v>
      </c>
      <c r="O110" s="24" t="n">
        <f aca="false">L110/(1+Annahmen!$B$9)</f>
        <v>36070.4201777914</v>
      </c>
      <c r="P110" s="24" t="n">
        <f aca="false">N110*(Annahmen!$D$63*Annahmen!$B$83+(1-Annahmen!$D$63)*Annahmen!$B$84)+(I110*Annahmen!$D$62+I110*(1-Annahmen!$D$62)/12+IF($A110&gt;=Annahmen!$D$55,Annahmen!$D$64+Annahmen!$D$66,0))*(1-Annahmen!$D$63)*Annahmen!$B$85</f>
        <v>3061.93976568243</v>
      </c>
      <c r="Q110" s="25" t="n">
        <f aca="false">IF(D110=0,0,MIN(Annahmen!$B$189,Annahmen!$D$188*D110/(Annahmen!$D$188*D110+E110)))</f>
        <v>0.7</v>
      </c>
      <c r="R110" s="24" t="n">
        <f aca="false">O110*Q110*Annahmen!$B$196</f>
        <v>15023.3300040501</v>
      </c>
      <c r="S110" s="24" t="n">
        <f aca="false">Annahmen!$D$67*(Annahmen!$B$43+Annahmen!$B$154)</f>
        <v>778.451552687232</v>
      </c>
      <c r="T110" s="24" t="n">
        <f aca="false">IF($A110&gt;=Annahmen!$D$55,Annahmen!$D$64*(1-Annahmen!$D$65)*Annahmen!$B$44+(Annahmen!$D$64*Annahmen!$D$65+Annahmen!$D$66)*Annahmen!$B$45,0)</f>
        <v>190.53822791269</v>
      </c>
      <c r="U110" s="24" t="n">
        <f aca="false">C110*Annahmen!$B$86</f>
        <v>1064.69885160751</v>
      </c>
      <c r="V110" s="24" t="n">
        <f aca="false">SUMPRODUCT((((Annahmen!$C$161:$C$174="monatlich")*(Annahmen!$D$161:$D$174&lt;=$A110))+((Annahmen!$C$161:$C$174="einmalig")*(Annahmen!$D$161:$D$174=$A110)))*Annahmen!$B$161:$B$174*Annahmen!$E$161:$E$174)</f>
        <v>69.9850799606897</v>
      </c>
      <c r="W110" s="24" t="n">
        <f aca="false">IF($A110&gt;=Annahmen!$D$55,Annahmen!$D$143,0)</f>
        <v>2000</v>
      </c>
      <c r="X110" s="36" t="n">
        <f aca="false">MAX(0,(I110-Annahmen!$B$147)/Annahmen!$B$148)</f>
        <v>1.8983583550567</v>
      </c>
      <c r="Y110" s="24" t="n">
        <f aca="false">X110*Annahmen!$B$146</f>
        <v>8542.61259775514</v>
      </c>
      <c r="Z110" s="24" t="n">
        <f aca="false">N110-P110-R110-S110-T110-U110-V110-W110-Y110+AL110</f>
        <v>25702.6076298568</v>
      </c>
      <c r="AA110" s="24" t="n">
        <f aca="false">AA109+Z110</f>
        <v>75832.6177603031</v>
      </c>
      <c r="AB110" s="17" t="n">
        <f aca="false">IF($A110&gt;=Annahmen!$D$180,Annahmen!$D$181,0)</f>
        <v>10</v>
      </c>
      <c r="AC110" s="17" t="n">
        <f aca="false">AB110*(1-Annahmen!$B$199)</f>
        <v>8</v>
      </c>
      <c r="AD110" s="24" t="n">
        <f aca="false">AC110*(Annahmen!$B$197+Annahmen!$B$198)+AB110*Annahmen!$D$155*Annahmen!$B$157</f>
        <v>3016</v>
      </c>
      <c r="AE110" s="24" t="n">
        <f aca="false">AB110*(Annahmen!$B$48+Annahmen!$B$182*Annahmen!$B$11+Annahmen!$D$155*Annahmen!$B$154)</f>
        <v>230.717432713765</v>
      </c>
      <c r="AF110" s="24" t="n">
        <f aca="false">AD110-AE110</f>
        <v>2785.28256728623</v>
      </c>
      <c r="AG110" s="24" t="n">
        <f aca="false">Gesamt!J94-TÆLLA!Y94+Z110+AF110</f>
        <v>35926.680040614</v>
      </c>
      <c r="AH110" s="24" t="n">
        <f aca="false">AH109+AG110</f>
        <v>233819.508380491</v>
      </c>
      <c r="AI110" s="15" t="n">
        <f aca="false">IF(AG110&gt;0,1,0)</f>
        <v>1</v>
      </c>
      <c r="AJ110" s="15" t="n">
        <f aca="false">IF(AH110&gt;=0,1,0)</f>
        <v>1</v>
      </c>
      <c r="AK110" s="15" t="n">
        <f aca="false">MAX(0,C110-I110)</f>
        <v>99774.8100955807</v>
      </c>
      <c r="AL110" s="24" t="n">
        <f aca="false">IF($A110&gt;=Annahmen!$D$69,AK110*Annahmen!$D$70,0)</f>
        <v>19954.9620191161</v>
      </c>
      <c r="AM110" s="15" t="n">
        <f aca="false">IF($A110&lt;Annahmen!$D$55,0,IF($A110=Annahmen!$D$55,Annahmen!$D$56,AM109*(1+(Annahmen!$D$57+F110)*(1-C109/Annahmen!$D$58))))</f>
        <v>104969.885160751</v>
      </c>
      <c r="AN110" s="15" t="n">
        <f aca="false">IF($A110&lt;Annahmen!$D$71,0,IF($A110&lt;Annahmen!$D$71+Annahmen!$B$73,Annahmen!$D$72,Annahmen!$D$72*Annahmen!$B$75))</f>
        <v>1500</v>
      </c>
      <c r="AO110" s="7" t="n">
        <f aca="false">IF(Z110&gt;0,1,0)</f>
        <v>1</v>
      </c>
      <c r="AP110" s="7" t="n">
        <f aca="false">IF(AA110&gt;=0,1,0)</f>
        <v>1</v>
      </c>
    </row>
    <row r="111" customFormat="false" ht="15" hidden="false" customHeight="false" outlineLevel="0" collapsed="false">
      <c r="A111" s="7" t="n">
        <v>20</v>
      </c>
      <c r="B111" s="7" t="s">
        <v>409</v>
      </c>
      <c r="C111" s="15" t="n">
        <f aca="false">AM111+AN111</f>
        <v>137038.405272611</v>
      </c>
      <c r="D111" s="17" t="n">
        <f aca="false">D110+IF($A111&gt;=Annahmen!$D$180,Annahmen!$D$181,0)</f>
        <v>180</v>
      </c>
      <c r="E111" s="17" t="n">
        <f aca="false">E110+Annahmen!$D$67</f>
        <v>255</v>
      </c>
      <c r="F111" s="25" t="n">
        <f aca="false">MIN(Annahmen!$D$185,Annahmen!$D$184*D111/10)</f>
        <v>0.15</v>
      </c>
      <c r="G111" s="42" t="n">
        <f aca="false">MIN(Annahmen!$D$187,Annahmen!$D$186*D111/10)</f>
        <v>0.008</v>
      </c>
      <c r="H111" s="17" t="n">
        <f aca="false">IF($A111&gt;Annahmen!$B$68,INDEX($AM$92:$AM$115,$A111-Annahmen!$B$68),0)*(Annahmen!$D$59+G111)+IF($A111=Annahmen!$D$71+Annahmen!$B$73,Annahmen!$D$72*Annahmen!$D$74,0)</f>
        <v>2414.30735869727</v>
      </c>
      <c r="I111" s="17" t="n">
        <f aca="false">I110*(1-Annahmen!$D$60)+H111</f>
        <v>8841.57942126056</v>
      </c>
      <c r="J111" s="17" t="n">
        <f aca="false">I111*(1-Annahmen!$D$61)</f>
        <v>4420.78971063028</v>
      </c>
      <c r="K111" s="17" t="n">
        <f aca="false">I111*Annahmen!$D$61</f>
        <v>4420.78971063028</v>
      </c>
      <c r="L111" s="24" t="n">
        <f aca="false">J111*Annahmen!$D$87+K111*Annahmen!$D$88</f>
        <v>56685.5760645568</v>
      </c>
      <c r="M111" s="24" t="n">
        <f aca="false">IF($A111&gt;=Annahmen!$D$55,Annahmen!$D$64*((1-Annahmen!$D$65)*Annahmen!$B$80+Annahmen!$D$65*Annahmen!$B$81)+Annahmen!$D$66*Annahmen!$B$82,0)</f>
        <v>486.45</v>
      </c>
      <c r="N111" s="24" t="n">
        <f aca="false">(L111+M111)/(1+Annahmen!$B$9)</f>
        <v>48043.7193819805</v>
      </c>
      <c r="O111" s="24" t="n">
        <f aca="false">L111/(1+Annahmen!$B$9)</f>
        <v>47634.9378693754</v>
      </c>
      <c r="P111" s="24" t="n">
        <f aca="false">N111*(Annahmen!$D$63*Annahmen!$B$83+(1-Annahmen!$D$63)*Annahmen!$B$84)+(I111*Annahmen!$D$62+I111*(1-Annahmen!$D$62)/12+IF($A111&gt;=Annahmen!$D$55,Annahmen!$D$64+Annahmen!$D$66,0))*(1-Annahmen!$D$63)*Annahmen!$B$85</f>
        <v>4034.29496533407</v>
      </c>
      <c r="Q111" s="25" t="n">
        <f aca="false">IF(D111=0,0,MIN(Annahmen!$B$189,Annahmen!$D$188*D111/(Annahmen!$D$188*D111+E111)))</f>
        <v>0.7</v>
      </c>
      <c r="R111" s="24" t="n">
        <f aca="false">O111*Q111*Annahmen!$B$196</f>
        <v>19839.9516225949</v>
      </c>
      <c r="S111" s="24" t="n">
        <f aca="false">Annahmen!$D$67*(Annahmen!$B$43+Annahmen!$B$154)</f>
        <v>778.451552687232</v>
      </c>
      <c r="T111" s="24" t="n">
        <f aca="false">IF($A111&gt;=Annahmen!$D$55,Annahmen!$D$64*(1-Annahmen!$D$65)*Annahmen!$B$44+(Annahmen!$D$64*Annahmen!$D$65+Annahmen!$D$66)*Annahmen!$B$45,0)</f>
        <v>190.53822791269</v>
      </c>
      <c r="U111" s="24" t="n">
        <f aca="false">C111*Annahmen!$B$86</f>
        <v>1370.38405272611</v>
      </c>
      <c r="V111" s="24" t="n">
        <f aca="false">SUMPRODUCT((((Annahmen!$C$161:$C$174="monatlich")*(Annahmen!$D$161:$D$174&lt;=$A111))+((Annahmen!$C$161:$C$174="einmalig")*(Annahmen!$D$161:$D$174=$A111)))*Annahmen!$B$161:$B$174*Annahmen!$E$161:$E$174)</f>
        <v>69.9850799606897</v>
      </c>
      <c r="W111" s="24" t="n">
        <f aca="false">IF($A111&gt;=Annahmen!$D$55,Annahmen!$D$143,0)</f>
        <v>2000</v>
      </c>
      <c r="X111" s="36" t="n">
        <f aca="false">MAX(0,(I111-Annahmen!$B$147)/Annahmen!$B$148)</f>
        <v>2.61385980708685</v>
      </c>
      <c r="Y111" s="24" t="n">
        <f aca="false">X111*Annahmen!$B$146</f>
        <v>11762.3691318908</v>
      </c>
      <c r="Z111" s="24" t="n">
        <f aca="false">N111-P111-R111-S111-T111-U111-V111-W111-Y111+AL111</f>
        <v>33637.109919144</v>
      </c>
      <c r="AA111" s="24" t="n">
        <f aca="false">AA110+Z111</f>
        <v>109469.727679447</v>
      </c>
      <c r="AB111" s="17" t="n">
        <f aca="false">IF($A111&gt;=Annahmen!$D$180,Annahmen!$D$181,0)</f>
        <v>10</v>
      </c>
      <c r="AC111" s="17" t="n">
        <f aca="false">AB111*(1-Annahmen!$B$199)</f>
        <v>8</v>
      </c>
      <c r="AD111" s="24" t="n">
        <f aca="false">AC111*(Annahmen!$B$197+Annahmen!$B$198)+AB111*Annahmen!$D$155*Annahmen!$B$157</f>
        <v>3016</v>
      </c>
      <c r="AE111" s="24" t="n">
        <f aca="false">AB111*(Annahmen!$B$48+Annahmen!$B$182*Annahmen!$B$11+Annahmen!$D$155*Annahmen!$B$154)</f>
        <v>230.717432713765</v>
      </c>
      <c r="AF111" s="24" t="n">
        <f aca="false">AD111-AE111</f>
        <v>2785.28256728623</v>
      </c>
      <c r="AG111" s="24" t="n">
        <f aca="false">Gesamt!J95-TÆLLA!Y95+Z111+AF111</f>
        <v>43899.456161677</v>
      </c>
      <c r="AH111" s="24" t="n">
        <f aca="false">AH110+AG111</f>
        <v>277718.964542168</v>
      </c>
      <c r="AI111" s="15" t="n">
        <f aca="false">IF(AG111&gt;0,1,0)</f>
        <v>1</v>
      </c>
      <c r="AJ111" s="15" t="n">
        <f aca="false">IF(AH111&gt;=0,1,0)</f>
        <v>1</v>
      </c>
      <c r="AK111" s="15" t="n">
        <f aca="false">MAX(0,C111-I111)</f>
        <v>128196.82585135</v>
      </c>
      <c r="AL111" s="24" t="n">
        <f aca="false">IF($A111&gt;=Annahmen!$D$69,AK111*Annahmen!$D$70,0)</f>
        <v>25639.3651702701</v>
      </c>
      <c r="AM111" s="15" t="n">
        <f aca="false">IF($A111&lt;Annahmen!$D$55,0,IF($A111=Annahmen!$D$55,Annahmen!$D$56,AM110*(1+(Annahmen!$D$57+F111)*(1-C110/Annahmen!$D$58))))</f>
        <v>135538.405272611</v>
      </c>
      <c r="AN111" s="15" t="n">
        <f aca="false">IF($A111&lt;Annahmen!$D$71,0,IF($A111&lt;Annahmen!$D$71+Annahmen!$B$73,Annahmen!$D$72,Annahmen!$D$72*Annahmen!$B$75))</f>
        <v>1500</v>
      </c>
      <c r="AO111" s="7" t="n">
        <f aca="false">IF(Z111&gt;0,1,0)</f>
        <v>1</v>
      </c>
      <c r="AP111" s="7" t="n">
        <f aca="false">IF(AA111&gt;=0,1,0)</f>
        <v>1</v>
      </c>
    </row>
    <row r="112" customFormat="false" ht="15" hidden="false" customHeight="false" outlineLevel="0" collapsed="false">
      <c r="A112" s="7" t="n">
        <v>21</v>
      </c>
      <c r="B112" s="7" t="s">
        <v>410</v>
      </c>
      <c r="C112" s="15" t="n">
        <f aca="false">AM112+AN112</f>
        <v>173442.879708781</v>
      </c>
      <c r="D112" s="17" t="n">
        <f aca="false">D111+IF($A112&gt;=Annahmen!$D$180,Annahmen!$D$181,0)</f>
        <v>190</v>
      </c>
      <c r="E112" s="17" t="n">
        <f aca="false">E111+Annahmen!$D$67</f>
        <v>267</v>
      </c>
      <c r="F112" s="25" t="n">
        <f aca="false">MIN(Annahmen!$D$185,Annahmen!$D$184*D112/10)</f>
        <v>0.15</v>
      </c>
      <c r="G112" s="42" t="n">
        <f aca="false">MIN(Annahmen!$D$187,Annahmen!$D$186*D112/10)</f>
        <v>0.008</v>
      </c>
      <c r="H112" s="17" t="n">
        <f aca="false">IF($A112&gt;Annahmen!$B$68,INDEX($AM$92:$AM$115,$A112-Annahmen!$B$68),0)*(Annahmen!$D$59+G112)+IF($A112=Annahmen!$D$71+Annahmen!$B$73,Annahmen!$D$72*Annahmen!$D$74,0)</f>
        <v>3117.38332127005</v>
      </c>
      <c r="I112" s="17" t="n">
        <f aca="false">I111*(1-Annahmen!$D$60)+H112</f>
        <v>11605.2995656802</v>
      </c>
      <c r="J112" s="17" t="n">
        <f aca="false">I112*(1-Annahmen!$D$61)</f>
        <v>5802.64978284009</v>
      </c>
      <c r="K112" s="17" t="n">
        <f aca="false">I112*Annahmen!$D$61</f>
        <v>5802.64978284009</v>
      </c>
      <c r="L112" s="24" t="n">
        <f aca="false">J112*Annahmen!$D$87+K112*Annahmen!$D$88</f>
        <v>74404.4768404671</v>
      </c>
      <c r="M112" s="24" t="n">
        <f aca="false">IF($A112&gt;=Annahmen!$D$55,Annahmen!$D$64*((1-Annahmen!$D$65)*Annahmen!$B$80+Annahmen!$D$65*Annahmen!$B$81)+Annahmen!$D$66*Annahmen!$B$82,0)</f>
        <v>486.45</v>
      </c>
      <c r="N112" s="24" t="n">
        <f aca="false">(L112+M112)/(1+Annahmen!$B$9)</f>
        <v>62933.5519667791</v>
      </c>
      <c r="O112" s="24" t="n">
        <f aca="false">L112/(1+Annahmen!$B$9)</f>
        <v>62524.770454174</v>
      </c>
      <c r="P112" s="24" t="n">
        <f aca="false">N112*(Annahmen!$D$63*Annahmen!$B$83+(1-Annahmen!$D$63)*Annahmen!$B$84)+(I112*Annahmen!$D$62+I112*(1-Annahmen!$D$62)/12+IF($A112&gt;=Annahmen!$D$55,Annahmen!$D$64+Annahmen!$D$66,0))*(1-Annahmen!$D$63)*Annahmen!$B$85</f>
        <v>5286.24567541927</v>
      </c>
      <c r="Q112" s="25" t="n">
        <f aca="false">IF(D112=0,0,MIN(Annahmen!$B$189,Annahmen!$D$188*D112/(Annahmen!$D$188*D112+E112)))</f>
        <v>0.7</v>
      </c>
      <c r="R112" s="24" t="n">
        <f aca="false">O112*Q112*Annahmen!$B$196</f>
        <v>26041.5668941635</v>
      </c>
      <c r="S112" s="24" t="n">
        <f aca="false">Annahmen!$D$67*(Annahmen!$B$43+Annahmen!$B$154)</f>
        <v>778.451552687232</v>
      </c>
      <c r="T112" s="24" t="n">
        <f aca="false">IF($A112&gt;=Annahmen!$D$55,Annahmen!$D$64*(1-Annahmen!$D$65)*Annahmen!$B$44+(Annahmen!$D$64*Annahmen!$D$65+Annahmen!$D$66)*Annahmen!$B$45,0)</f>
        <v>190.53822791269</v>
      </c>
      <c r="U112" s="24" t="n">
        <f aca="false">C112*Annahmen!$B$86</f>
        <v>1734.42879708781</v>
      </c>
      <c r="V112" s="24" t="n">
        <f aca="false">SUMPRODUCT((((Annahmen!$C$161:$C$174="monatlich")*(Annahmen!$D$161:$D$174&lt;=$A112))+((Annahmen!$C$161:$C$174="einmalig")*(Annahmen!$D$161:$D$174=$A112)))*Annahmen!$B$161:$B$174*Annahmen!$E$161:$E$174)</f>
        <v>69.9850799606897</v>
      </c>
      <c r="W112" s="24" t="n">
        <f aca="false">IF($A112&gt;=Annahmen!$D$55,Annahmen!$D$143,0)</f>
        <v>2000</v>
      </c>
      <c r="X112" s="36" t="n">
        <f aca="false">MAX(0,(I112-Annahmen!$B$147)/Annahmen!$B$148)</f>
        <v>3.53509985522673</v>
      </c>
      <c r="Y112" s="24" t="n">
        <f aca="false">X112*Annahmen!$B$146</f>
        <v>15907.9493485203</v>
      </c>
      <c r="Z112" s="24" t="n">
        <f aca="false">N112-P112-R112-S112-T112-U112-V112-W112-Y112+AL112</f>
        <v>43291.9024196477</v>
      </c>
      <c r="AA112" s="24" t="n">
        <f aca="false">AA111+Z112</f>
        <v>152761.630099095</v>
      </c>
      <c r="AB112" s="17" t="n">
        <f aca="false">IF($A112&gt;=Annahmen!$D$180,Annahmen!$D$181,0)</f>
        <v>10</v>
      </c>
      <c r="AC112" s="17" t="n">
        <f aca="false">AB112*(1-Annahmen!$B$199)</f>
        <v>8</v>
      </c>
      <c r="AD112" s="24" t="n">
        <f aca="false">AC112*(Annahmen!$B$197+Annahmen!$B$198)+AB112*Annahmen!$D$155*Annahmen!$B$157</f>
        <v>3016</v>
      </c>
      <c r="AE112" s="24" t="n">
        <f aca="false">AB112*(Annahmen!$B$48+Annahmen!$B$182*Annahmen!$B$11+Annahmen!$D$155*Annahmen!$B$154)</f>
        <v>230.717432713765</v>
      </c>
      <c r="AF112" s="24" t="n">
        <f aca="false">AD112-AE112</f>
        <v>2785.28256728623</v>
      </c>
      <c r="AG112" s="24" t="n">
        <f aca="false">Gesamt!J96-TÆLLA!Y96+Z112+AF112</f>
        <v>53592.5224939564</v>
      </c>
      <c r="AH112" s="24" t="n">
        <f aca="false">AH111+AG112</f>
        <v>331311.487036124</v>
      </c>
      <c r="AI112" s="15" t="n">
        <f aca="false">IF(AG112&gt;0,1,0)</f>
        <v>1</v>
      </c>
      <c r="AJ112" s="15" t="n">
        <f aca="false">IF(AH112&gt;=0,1,0)</f>
        <v>1</v>
      </c>
      <c r="AK112" s="15" t="n">
        <f aca="false">MAX(0,C112-I112)</f>
        <v>161837.580143101</v>
      </c>
      <c r="AL112" s="24" t="n">
        <f aca="false">IF($A112&gt;=Annahmen!$D$69,AK112*Annahmen!$D$70,0)</f>
        <v>32367.5160286201</v>
      </c>
      <c r="AM112" s="15" t="n">
        <f aca="false">IF($A112&lt;Annahmen!$D$55,0,IF($A112=Annahmen!$D$55,Annahmen!$D$56,AM111*(1+(Annahmen!$D$57+F112)*(1-C111/Annahmen!$D$58))))</f>
        <v>171942.879708781</v>
      </c>
      <c r="AN112" s="15" t="n">
        <f aca="false">IF($A112&lt;Annahmen!$D$71,0,IF($A112&lt;Annahmen!$D$71+Annahmen!$B$73,Annahmen!$D$72,Annahmen!$D$72*Annahmen!$B$75))</f>
        <v>1500</v>
      </c>
      <c r="AO112" s="7" t="n">
        <f aca="false">IF(Z112&gt;0,1,0)</f>
        <v>1</v>
      </c>
      <c r="AP112" s="7" t="n">
        <f aca="false">IF(AA112&gt;=0,1,0)</f>
        <v>1</v>
      </c>
    </row>
    <row r="113" customFormat="false" ht="15" hidden="false" customHeight="false" outlineLevel="0" collapsed="false">
      <c r="A113" s="7" t="n">
        <v>22</v>
      </c>
      <c r="B113" s="7" t="s">
        <v>411</v>
      </c>
      <c r="C113" s="15" t="n">
        <f aca="false">AM113+AN113</f>
        <v>214993.266731467</v>
      </c>
      <c r="D113" s="17" t="n">
        <f aca="false">D112+IF($A113&gt;=Annahmen!$D$180,Annahmen!$D$181,0)</f>
        <v>200</v>
      </c>
      <c r="E113" s="17" t="n">
        <f aca="false">E112+Annahmen!$D$67</f>
        <v>279</v>
      </c>
      <c r="F113" s="25" t="n">
        <f aca="false">MIN(Annahmen!$D$185,Annahmen!$D$184*D113/10)</f>
        <v>0.15</v>
      </c>
      <c r="G113" s="42" t="n">
        <f aca="false">MIN(Annahmen!$D$187,Annahmen!$D$186*D113/10)</f>
        <v>0.008</v>
      </c>
      <c r="H113" s="17" t="n">
        <f aca="false">IF($A113&gt;Annahmen!$B$68,INDEX($AM$92:$AM$115,$A113-Annahmen!$B$68),0)*(Annahmen!$D$59+G113)+IF($A113=Annahmen!$D$71+Annahmen!$B$73,Annahmen!$D$72*Annahmen!$D$74,0)</f>
        <v>3954.68623330196</v>
      </c>
      <c r="I113" s="17" t="n">
        <f aca="false">I112*(1-Annahmen!$D$60)+H113</f>
        <v>15095.7738163549</v>
      </c>
      <c r="J113" s="17" t="n">
        <f aca="false">I113*(1-Annahmen!$D$61)</f>
        <v>7547.88690817747</v>
      </c>
      <c r="K113" s="17" t="n">
        <f aca="false">I113*Annahmen!$D$61</f>
        <v>7547.88690817747</v>
      </c>
      <c r="L113" s="24" t="n">
        <f aca="false">J113*Annahmen!$D$87+K113*Annahmen!$D$88</f>
        <v>96782.7798801056</v>
      </c>
      <c r="M113" s="24" t="n">
        <f aca="false">IF($A113&gt;=Annahmen!$D$55,Annahmen!$D$64*((1-Annahmen!$D$65)*Annahmen!$B$80+Annahmen!$D$65*Annahmen!$B$81)+Annahmen!$D$66*Annahmen!$B$82,0)</f>
        <v>486.45</v>
      </c>
      <c r="N113" s="24" t="n">
        <f aca="false">(L113+M113)/(1+Annahmen!$B$9)</f>
        <v>81738.8486387442</v>
      </c>
      <c r="O113" s="24" t="n">
        <f aca="false">L113/(1+Annahmen!$B$9)</f>
        <v>81330.0671261391</v>
      </c>
      <c r="P113" s="24" t="n">
        <f aca="false">N113*(Annahmen!$D$63*Annahmen!$B$83+(1-Annahmen!$D$63)*Annahmen!$B$84)+(I113*Annahmen!$D$62+I113*(1-Annahmen!$D$62)/12+IF($A113&gt;=Annahmen!$D$55,Annahmen!$D$64+Annahmen!$D$66,0))*(1-Annahmen!$D$63)*Annahmen!$B$85</f>
        <v>6867.41217865218</v>
      </c>
      <c r="Q113" s="25" t="n">
        <f aca="false">IF(D113=0,0,MIN(Annahmen!$B$189,Annahmen!$D$188*D113/(Annahmen!$D$188*D113+E113)))</f>
        <v>0.7</v>
      </c>
      <c r="R113" s="24" t="n">
        <f aca="false">O113*Q113*Annahmen!$B$196</f>
        <v>33873.9729580369</v>
      </c>
      <c r="S113" s="24" t="n">
        <f aca="false">Annahmen!$D$67*(Annahmen!$B$43+Annahmen!$B$154)</f>
        <v>778.451552687232</v>
      </c>
      <c r="T113" s="24" t="n">
        <f aca="false">IF($A113&gt;=Annahmen!$D$55,Annahmen!$D$64*(1-Annahmen!$D$65)*Annahmen!$B$44+(Annahmen!$D$64*Annahmen!$D$65+Annahmen!$D$66)*Annahmen!$B$45,0)</f>
        <v>190.53822791269</v>
      </c>
      <c r="U113" s="24" t="n">
        <f aca="false">C113*Annahmen!$B$86</f>
        <v>2149.93266731467</v>
      </c>
      <c r="V113" s="24" t="n">
        <f aca="false">SUMPRODUCT((((Annahmen!$C$161:$C$174="monatlich")*(Annahmen!$D$161:$D$174&lt;=$A113))+((Annahmen!$C$161:$C$174="einmalig")*(Annahmen!$D$161:$D$174=$A113)))*Annahmen!$B$161:$B$174*Annahmen!$E$161:$E$174)</f>
        <v>69.9850799606897</v>
      </c>
      <c r="W113" s="24" t="n">
        <f aca="false">IF($A113&gt;=Annahmen!$D$55,Annahmen!$D$143,0)</f>
        <v>2000</v>
      </c>
      <c r="X113" s="36" t="n">
        <f aca="false">MAX(0,(I113-Annahmen!$B$147)/Annahmen!$B$148)</f>
        <v>4.69859127211831</v>
      </c>
      <c r="Y113" s="24" t="n">
        <f aca="false">X113*Annahmen!$B$146</f>
        <v>21143.6607245324</v>
      </c>
      <c r="Z113" s="24" t="n">
        <f aca="false">N113-P113-R113-S113-T113-U113-V113-W113-Y113+AL113</f>
        <v>54644.3938326698</v>
      </c>
      <c r="AA113" s="24" t="n">
        <f aca="false">AA112+Z113</f>
        <v>207406.023931765</v>
      </c>
      <c r="AB113" s="17" t="n">
        <f aca="false">IF($A113&gt;=Annahmen!$D$180,Annahmen!$D$181,0)</f>
        <v>10</v>
      </c>
      <c r="AC113" s="17" t="n">
        <f aca="false">AB113*(1-Annahmen!$B$199)</f>
        <v>8</v>
      </c>
      <c r="AD113" s="24" t="n">
        <f aca="false">AC113*(Annahmen!$B$197+Annahmen!$B$198)+AB113*Annahmen!$D$155*Annahmen!$B$157</f>
        <v>3016</v>
      </c>
      <c r="AE113" s="24" t="n">
        <f aca="false">AB113*(Annahmen!$B$48+Annahmen!$B$182*Annahmen!$B$11+Annahmen!$D$155*Annahmen!$B$154)</f>
        <v>230.717432713765</v>
      </c>
      <c r="AF113" s="24" t="n">
        <f aca="false">AD113-AE113</f>
        <v>2785.28256728623</v>
      </c>
      <c r="AG113" s="24" t="n">
        <f aca="false">Gesamt!J97-TÆLLA!Y97+Z113+AF113</f>
        <v>64983.2877387541</v>
      </c>
      <c r="AH113" s="24" t="n">
        <f aca="false">AH112+AG113</f>
        <v>396294.774774878</v>
      </c>
      <c r="AI113" s="15" t="n">
        <f aca="false">IF(AG113&gt;0,1,0)</f>
        <v>1</v>
      </c>
      <c r="AJ113" s="15" t="n">
        <f aca="false">IF(AH113&gt;=0,1,0)</f>
        <v>1</v>
      </c>
      <c r="AK113" s="15" t="n">
        <f aca="false">MAX(0,C113-I113)</f>
        <v>199897.492915112</v>
      </c>
      <c r="AL113" s="24" t="n">
        <f aca="false">IF($A113&gt;=Annahmen!$D$69,AK113*Annahmen!$D$70,0)</f>
        <v>39979.4985830225</v>
      </c>
      <c r="AM113" s="15" t="n">
        <f aca="false">IF($A113&lt;Annahmen!$D$55,0,IF($A113=Annahmen!$D$55,Annahmen!$D$56,AM112*(1+(Annahmen!$D$57+F113)*(1-C112/Annahmen!$D$58))))</f>
        <v>213493.266731467</v>
      </c>
      <c r="AN113" s="15" t="n">
        <f aca="false">IF($A113&lt;Annahmen!$D$71,0,IF($A113&lt;Annahmen!$D$71+Annahmen!$B$73,Annahmen!$D$72,Annahmen!$D$72*Annahmen!$B$75))</f>
        <v>1500</v>
      </c>
      <c r="AO113" s="7" t="n">
        <f aca="false">IF(Z113&gt;0,1,0)</f>
        <v>1</v>
      </c>
      <c r="AP113" s="7" t="n">
        <f aca="false">IF(AA113&gt;=0,1,0)</f>
        <v>1</v>
      </c>
    </row>
    <row r="114" customFormat="false" ht="15" hidden="false" customHeight="false" outlineLevel="0" collapsed="false">
      <c r="A114" s="7" t="n">
        <v>23</v>
      </c>
      <c r="B114" s="7" t="s">
        <v>412</v>
      </c>
      <c r="C114" s="15" t="n">
        <f aca="false">AM114+AN114</f>
        <v>260020.06044068</v>
      </c>
      <c r="D114" s="17" t="n">
        <f aca="false">D113+IF($A114&gt;=Annahmen!$D$180,Annahmen!$D$181,0)</f>
        <v>210</v>
      </c>
      <c r="E114" s="17" t="n">
        <f aca="false">E113+Annahmen!$D$67</f>
        <v>291</v>
      </c>
      <c r="F114" s="25" t="n">
        <f aca="false">MIN(Annahmen!$D$185,Annahmen!$D$184*D114/10)</f>
        <v>0.15</v>
      </c>
      <c r="G114" s="42" t="n">
        <f aca="false">MIN(Annahmen!$D$187,Annahmen!$D$186*D114/10)</f>
        <v>0.008</v>
      </c>
      <c r="H114" s="17" t="n">
        <f aca="false">IF($A114&gt;Annahmen!$B$68,INDEX($AM$92:$AM$115,$A114-Annahmen!$B$68),0)*(Annahmen!$D$59+G114)+IF($A114=Annahmen!$D$71+Annahmen!$B$73,Annahmen!$D$72*Annahmen!$D$74,0)</f>
        <v>4910.34513482375</v>
      </c>
      <c r="I114" s="17" t="n">
        <f aca="false">I113*(1-Annahmen!$D$60)+H114</f>
        <v>19402.2879985245</v>
      </c>
      <c r="J114" s="17" t="n">
        <f aca="false">I114*(1-Annahmen!$D$61)</f>
        <v>9701.14399926224</v>
      </c>
      <c r="K114" s="17" t="n">
        <f aca="false">I114*Annahmen!$D$61</f>
        <v>9701.14399926224</v>
      </c>
      <c r="L114" s="24" t="n">
        <f aca="false">J114*Annahmen!$D$87+K114*Annahmen!$D$88</f>
        <v>124392.91893054</v>
      </c>
      <c r="M114" s="24" t="n">
        <f aca="false">IF($A114&gt;=Annahmen!$D$55,Annahmen!$D$64*((1-Annahmen!$D$65)*Annahmen!$B$80+Annahmen!$D$65*Annahmen!$B$81)+Annahmen!$D$66*Annahmen!$B$82,0)</f>
        <v>486.45</v>
      </c>
      <c r="N114" s="24" t="n">
        <f aca="false">(L114+M114)/(1+Annahmen!$B$9)</f>
        <v>104940.646160118</v>
      </c>
      <c r="O114" s="24" t="n">
        <f aca="false">L114/(1+Annahmen!$B$9)</f>
        <v>104531.864647513</v>
      </c>
      <c r="P114" s="24" t="n">
        <f aca="false">N114*(Annahmen!$D$63*Annahmen!$B$83+(1-Annahmen!$D$63)*Annahmen!$B$84)+(I114*Annahmen!$D$62+I114*(1-Annahmen!$D$62)/12+IF($A114&gt;=Annahmen!$D$55,Annahmen!$D$64+Annahmen!$D$66,0))*(1-Annahmen!$D$63)*Annahmen!$B$85</f>
        <v>8818.24048492823</v>
      </c>
      <c r="Q114" s="25" t="n">
        <f aca="false">IF(D114=0,0,MIN(Annahmen!$B$189,Annahmen!$D$188*D114/(Annahmen!$D$188*D114+E114)))</f>
        <v>0.7</v>
      </c>
      <c r="R114" s="24" t="n">
        <f aca="false">O114*Q114*Annahmen!$B$196</f>
        <v>43537.521625689</v>
      </c>
      <c r="S114" s="24" t="n">
        <f aca="false">Annahmen!$D$67*(Annahmen!$B$43+Annahmen!$B$154)</f>
        <v>778.451552687232</v>
      </c>
      <c r="T114" s="24" t="n">
        <f aca="false">IF($A114&gt;=Annahmen!$D$55,Annahmen!$D$64*(1-Annahmen!$D$65)*Annahmen!$B$44+(Annahmen!$D$64*Annahmen!$D$65+Annahmen!$D$66)*Annahmen!$B$45,0)</f>
        <v>190.53822791269</v>
      </c>
      <c r="U114" s="24" t="n">
        <f aca="false">C114*Annahmen!$B$86</f>
        <v>2600.2006044068</v>
      </c>
      <c r="V114" s="24" t="n">
        <f aca="false">SUMPRODUCT((((Annahmen!$C$161:$C$174="monatlich")*(Annahmen!$D$161:$D$174&lt;=$A114))+((Annahmen!$C$161:$C$174="einmalig")*(Annahmen!$D$161:$D$174=$A114)))*Annahmen!$B$161:$B$174*Annahmen!$E$161:$E$174)</f>
        <v>69.9850799606897</v>
      </c>
      <c r="W114" s="24" t="n">
        <f aca="false">IF($A114&gt;=Annahmen!$D$55,Annahmen!$D$143,0)</f>
        <v>2000</v>
      </c>
      <c r="X114" s="36" t="n">
        <f aca="false">MAX(0,(I114-Annahmen!$B$147)/Annahmen!$B$148)</f>
        <v>6.13409599950816</v>
      </c>
      <c r="Y114" s="24" t="n">
        <f aca="false">X114*Annahmen!$B$146</f>
        <v>27603.4319977867</v>
      </c>
      <c r="Z114" s="24" t="n">
        <f aca="false">N114-P114-R114-S114-T114-U114-V114-W114-Y114+AL114</f>
        <v>67465.8310751774</v>
      </c>
      <c r="AA114" s="24" t="n">
        <f aca="false">AA113+Z114</f>
        <v>274871.855006942</v>
      </c>
      <c r="AB114" s="17" t="n">
        <f aca="false">IF($A114&gt;=Annahmen!$D$180,Annahmen!$D$181,0)</f>
        <v>10</v>
      </c>
      <c r="AC114" s="17" t="n">
        <f aca="false">AB114*(1-Annahmen!$B$199)</f>
        <v>8</v>
      </c>
      <c r="AD114" s="24" t="n">
        <f aca="false">AC114*(Annahmen!$B$197+Annahmen!$B$198)+AB114*Annahmen!$D$155*Annahmen!$B$157</f>
        <v>3016</v>
      </c>
      <c r="AE114" s="24" t="n">
        <f aca="false">AB114*(Annahmen!$B$48+Annahmen!$B$182*Annahmen!$B$11+Annahmen!$D$155*Annahmen!$B$154)</f>
        <v>230.717432713765</v>
      </c>
      <c r="AF114" s="24" t="n">
        <f aca="false">AD114-AE114</f>
        <v>2785.28256728623</v>
      </c>
      <c r="AG114" s="24" t="n">
        <f aca="false">Gesamt!J98-TÆLLA!Y98+Z114+AF114</f>
        <v>77842.9988130374</v>
      </c>
      <c r="AH114" s="24" t="n">
        <f aca="false">AH113+AG114</f>
        <v>474137.773587916</v>
      </c>
      <c r="AI114" s="15" t="n">
        <f aca="false">IF(AG114&gt;0,1,0)</f>
        <v>1</v>
      </c>
      <c r="AJ114" s="15" t="n">
        <f aca="false">IF(AH114&gt;=0,1,0)</f>
        <v>1</v>
      </c>
      <c r="AK114" s="15" t="n">
        <f aca="false">MAX(0,C114-I114)</f>
        <v>240617.772442155</v>
      </c>
      <c r="AL114" s="24" t="n">
        <f aca="false">IF($A114&gt;=Annahmen!$D$69,AK114*Annahmen!$D$70,0)</f>
        <v>48123.5544884311</v>
      </c>
      <c r="AM114" s="15" t="n">
        <f aca="false">IF($A114&lt;Annahmen!$D$55,0,IF($A114=Annahmen!$D$55,Annahmen!$D$56,AM113*(1+(Annahmen!$D$57+F114)*(1-C113/Annahmen!$D$58))))</f>
        <v>258520.06044068</v>
      </c>
      <c r="AN114" s="15" t="n">
        <f aca="false">IF($A114&lt;Annahmen!$D$71,0,IF($A114&lt;Annahmen!$D$71+Annahmen!$B$73,Annahmen!$D$72,Annahmen!$D$72*Annahmen!$B$75))</f>
        <v>1500</v>
      </c>
      <c r="AO114" s="7" t="n">
        <f aca="false">IF(Z114&gt;0,1,0)</f>
        <v>1</v>
      </c>
      <c r="AP114" s="7" t="n">
        <f aca="false">IF(AA114&gt;=0,1,0)</f>
        <v>1</v>
      </c>
    </row>
    <row r="115" customFormat="false" ht="15" hidden="false" customHeight="false" outlineLevel="0" collapsed="false">
      <c r="A115" s="7" t="n">
        <v>24</v>
      </c>
      <c r="B115" s="7" t="s">
        <v>413</v>
      </c>
      <c r="C115" s="15" t="n">
        <f aca="false">AM115+AN115</f>
        <v>305929.385515455</v>
      </c>
      <c r="D115" s="17" t="n">
        <f aca="false">D114+IF($A115&gt;=Annahmen!$D$180,Annahmen!$D$181,0)</f>
        <v>220</v>
      </c>
      <c r="E115" s="17" t="n">
        <f aca="false">E114+Annahmen!$D$67</f>
        <v>303</v>
      </c>
      <c r="F115" s="25" t="n">
        <f aca="false">MIN(Annahmen!$D$185,Annahmen!$D$184*D115/10)</f>
        <v>0.15</v>
      </c>
      <c r="G115" s="42" t="n">
        <f aca="false">MIN(Annahmen!$D$187,Annahmen!$D$186*D115/10)</f>
        <v>0.008</v>
      </c>
      <c r="H115" s="17" t="n">
        <f aca="false">IF($A115&gt;Annahmen!$B$68,INDEX($AM$92:$AM$115,$A115-Annahmen!$B$68),0)*(Annahmen!$D$59+G115)+IF($A115=Annahmen!$D$71+Annahmen!$B$73,Annahmen!$D$72*Annahmen!$D$74,0)</f>
        <v>5945.96139013564</v>
      </c>
      <c r="I115" s="17" t="n">
        <f aca="false">I114*(1-Annahmen!$D$60)+H115</f>
        <v>24572.1578687191</v>
      </c>
      <c r="J115" s="17" t="n">
        <f aca="false">I115*(1-Annahmen!$D$61)</f>
        <v>12286.0789343596</v>
      </c>
      <c r="K115" s="17" t="n">
        <f aca="false">I115*Annahmen!$D$61</f>
        <v>12286.0789343596</v>
      </c>
      <c r="L115" s="24" t="n">
        <f aca="false">J115*Annahmen!$D$87+K115*Annahmen!$D$88</f>
        <v>157538.247135826</v>
      </c>
      <c r="M115" s="24" t="n">
        <f aca="false">IF($A115&gt;=Annahmen!$D$55,Annahmen!$D$64*((1-Annahmen!$D$65)*Annahmen!$B$80+Annahmen!$D$65*Annahmen!$B$81)+Annahmen!$D$66*Annahmen!$B$82,0)</f>
        <v>486.45</v>
      </c>
      <c r="N115" s="24" t="n">
        <f aca="false">(L115+M115)/(1+Annahmen!$B$9)</f>
        <v>132793.863139349</v>
      </c>
      <c r="O115" s="24" t="n">
        <f aca="false">L115/(1+Annahmen!$B$9)</f>
        <v>132385.081626744</v>
      </c>
      <c r="P115" s="24" t="n">
        <f aca="false">N115*(Annahmen!$D$63*Annahmen!$B$83+(1-Annahmen!$D$63)*Annahmen!$B$84)+(I115*Annahmen!$D$62+I115*(1-Annahmen!$D$62)/12+IF($A115&gt;=Annahmen!$D$55,Annahmen!$D$64+Annahmen!$D$66,0))*(1-Annahmen!$D$63)*Annahmen!$B$85</f>
        <v>11160.1643834485</v>
      </c>
      <c r="Q115" s="25" t="n">
        <f aca="false">IF(D115=0,0,MIN(Annahmen!$B$189,Annahmen!$D$188*D115/(Annahmen!$D$188*D115+E115)))</f>
        <v>0.7</v>
      </c>
      <c r="R115" s="24" t="n">
        <f aca="false">O115*Q115*Annahmen!$B$196</f>
        <v>55138.3864975389</v>
      </c>
      <c r="S115" s="24" t="n">
        <f aca="false">Annahmen!$D$67*(Annahmen!$B$43+Annahmen!$B$154)</f>
        <v>778.451552687232</v>
      </c>
      <c r="T115" s="24" t="n">
        <f aca="false">IF($A115&gt;=Annahmen!$D$55,Annahmen!$D$64*(1-Annahmen!$D$65)*Annahmen!$B$44+(Annahmen!$D$64*Annahmen!$D$65+Annahmen!$D$66)*Annahmen!$B$45,0)</f>
        <v>190.53822791269</v>
      </c>
      <c r="U115" s="24" t="n">
        <f aca="false">C115*Annahmen!$B$86</f>
        <v>3059.29385515455</v>
      </c>
      <c r="V115" s="24" t="n">
        <f aca="false">SUMPRODUCT((((Annahmen!$C$161:$C$174="monatlich")*(Annahmen!$D$161:$D$174&lt;=$A115))+((Annahmen!$C$161:$C$174="einmalig")*(Annahmen!$D$161:$D$174=$A115)))*Annahmen!$B$161:$B$174*Annahmen!$E$161:$E$174)</f>
        <v>69.9850799606897</v>
      </c>
      <c r="W115" s="24" t="n">
        <f aca="false">IF($A115&gt;=Annahmen!$D$55,Annahmen!$D$143,0)</f>
        <v>2000</v>
      </c>
      <c r="X115" s="36" t="n">
        <f aca="false">MAX(0,(I115-Annahmen!$B$147)/Annahmen!$B$148)</f>
        <v>7.85738595623971</v>
      </c>
      <c r="Y115" s="24" t="n">
        <f aca="false">X115*Annahmen!$B$146</f>
        <v>35358.2368030787</v>
      </c>
      <c r="Z115" s="24" t="n">
        <f aca="false">N115-P115-R115-S115-T115-U115-V115-W115-Y115+AL115</f>
        <v>81310.2522689151</v>
      </c>
      <c r="AA115" s="24" t="n">
        <f aca="false">AA114+Z115</f>
        <v>356182.107275857</v>
      </c>
      <c r="AB115" s="17" t="n">
        <f aca="false">IF($A115&gt;=Annahmen!$D$180,Annahmen!$D$181,0)</f>
        <v>10</v>
      </c>
      <c r="AC115" s="17" t="n">
        <f aca="false">AB115*(1-Annahmen!$B$199)</f>
        <v>8</v>
      </c>
      <c r="AD115" s="24" t="n">
        <f aca="false">AC115*(Annahmen!$B$197+Annahmen!$B$198)+AB115*Annahmen!$D$155*Annahmen!$B$157</f>
        <v>3016</v>
      </c>
      <c r="AE115" s="24" t="n">
        <f aca="false">AB115*(Annahmen!$B$48+Annahmen!$B$182*Annahmen!$B$11+Annahmen!$D$155*Annahmen!$B$154)</f>
        <v>230.717432713765</v>
      </c>
      <c r="AF115" s="24" t="n">
        <f aca="false">AD115-AE115</f>
        <v>2785.28256728623</v>
      </c>
      <c r="AG115" s="24" t="n">
        <f aca="false">Gesamt!J99-TÆLLA!Y99+Z115+AF115</f>
        <v>91725.6938385508</v>
      </c>
      <c r="AH115" s="24" t="n">
        <f aca="false">AH114+AG115</f>
        <v>565863.467426467</v>
      </c>
      <c r="AI115" s="15" t="n">
        <f aca="false">IF(AG115&gt;0,1,0)</f>
        <v>1</v>
      </c>
      <c r="AJ115" s="15" t="n">
        <f aca="false">IF(AH115&gt;=0,1,0)</f>
        <v>1</v>
      </c>
      <c r="AK115" s="15" t="n">
        <f aca="false">MAX(0,C115-I115)</f>
        <v>281357.227646736</v>
      </c>
      <c r="AL115" s="24" t="n">
        <f aca="false">IF($A115&gt;=Annahmen!$D$69,AK115*Annahmen!$D$70,0)</f>
        <v>56271.4455293472</v>
      </c>
      <c r="AM115" s="15" t="n">
        <f aca="false">IF($A115&lt;Annahmen!$D$55,0,IF($A115=Annahmen!$D$55,Annahmen!$D$56,AM114*(1+(Annahmen!$D$57+F115)*(1-C114/Annahmen!$D$58))))</f>
        <v>304429.385515455</v>
      </c>
      <c r="AN115" s="15" t="n">
        <f aca="false">IF($A115&lt;Annahmen!$D$71,0,IF($A115&lt;Annahmen!$D$71+Annahmen!$B$73,Annahmen!$D$72,Annahmen!$D$72*Annahmen!$B$75))</f>
        <v>1500</v>
      </c>
      <c r="AO115" s="7" t="n">
        <f aca="false">IF(Z115&gt;0,1,0)</f>
        <v>1</v>
      </c>
      <c r="AP115" s="7" t="n">
        <f aca="false">IF(AA115&gt;=0,1,0)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2026-10-25T09:53:26Z</dcterms:created>
  <dc:creator>openpyxl</dc:creator>
  <dc:description/>
  <dc:language>en-US</dc:language>
  <cp:lastModifiedBy/>
  <dcterms:modified xsi:type="dcterms:W3CDTF">2026-10-25T09:53:27Z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