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ahmen" sheetId="1" state="visible" r:id="rId3"/>
    <sheet name="TÆLLA" sheetId="2" state="visible" r:id="rId4"/>
    <sheet name="Read Layer" sheetId="3" state="visible" r:id="rId5"/>
    <sheet name="SOMNIO" sheetId="4" state="visible" r:id="rId6"/>
    <sheet name="Gesamt" sheetId="5" state="visible" r:id="rId7"/>
    <sheet name="Neue Felder" sheetId="6" state="visible" r:id="rId8"/>
    <sheet name="TÆLLA Verlagstite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<sst xmlns="http://schemas.openxmlformats.org/spreadsheetml/2006/main" count="1400" uniqueCount="555">
  <si>
    <t xml:space="preserve">TÆLLA · Read Layer · SOMNIO — Ertragsmodell (Stand 24.10.2026, CFO)</t>
  </si>
  <si>
    <t xml:space="preserve">Blau = änderbare Eingabe, gelb hinterlegt = Szenario-Treiber, schwarz = Formel. Monat 1 = 01/2027, 24 Monate. Alle Beträge in EUR netto, sofern nicht anders angegeben. Szenarien: B = vorsichtig, C = mittel, D = stark.</t>
  </si>
  <si>
    <t xml:space="preserve">Treiber</t>
  </si>
  <si>
    <t xml:space="preserve">vorsichtig</t>
  </si>
  <si>
    <t xml:space="preserve">mittel</t>
  </si>
  <si>
    <t xml:space="preserve">stark</t>
  </si>
  <si>
    <t xml:space="preserve">Einheit</t>
  </si>
  <si>
    <t xml:space="preserve">Quelle / Begründung</t>
  </si>
  <si>
    <t xml:space="preserve">ALLGEMEIN</t>
  </si>
  <si>
    <t xml:space="preserve">Wechselkurs EUR/USD</t>
  </si>
  <si>
    <t xml:space="preserve">USD je EUR</t>
  </si>
  <si>
    <t xml:space="preserve">EZB-Referenzkurs 23.10.2026, ecb.europa.eu</t>
  </si>
  <si>
    <t xml:space="preserve">MwSt App-Abo/Patenschaft (B2C)</t>
  </si>
  <si>
    <t xml:space="preserve">Anteil</t>
  </si>
  <si>
    <t xml:space="preserve">Annahme Regelsatz – Steuerberater prüfen</t>
  </si>
  <si>
    <t xml:space="preserve">MwSt E-Book/Hörbuch (SOMNIO)</t>
  </si>
  <si>
    <t xml:space="preserve">Annahme ermäßigter Satz elektronische Publikationen – Steuerberater prüfen</t>
  </si>
  <si>
    <t xml:space="preserve">Kalk. Stundensatz manuelle Prüfung</t>
  </si>
  <si>
    <t xml:space="preserve">€/h</t>
  </si>
  <si>
    <t xml:space="preserve">Vorschlag CFO (Grundlage Schnitt-Aufschlag)</t>
  </si>
  <si>
    <t xml:space="preserve">KOSTENBASIS (aus Projektdokumenten, USD)</t>
  </si>
  <si>
    <t xml:space="preserve">Text EN+DE (DeepSeek, Stages 200–420)</t>
  </si>
  <si>
    <t xml:space="preserve">$/1.000 Wörter</t>
  </si>
  <si>
    <t xml:space="preserve">TECHNIK.md Abschn. 2; PROJEKTSTAND 11.10.</t>
  </si>
  <si>
    <t xml:space="preserve">Basis-Audio Chatterbox (Modal L4)</t>
  </si>
  <si>
    <t xml:space="preserve">$/Audio-h</t>
  </si>
  <si>
    <t xml:space="preserve">TECHNIK.md; PROJEKTSTAND 15.10. (2,48 $ / 2,65 h)</t>
  </si>
  <si>
    <t xml:space="preserve">Premium-Audio Gemini ab 01.01.2027</t>
  </si>
  <si>
    <t xml:space="preserve">TECHNIK.md (0,81 $ × 2 ab 2027)</t>
  </si>
  <si>
    <t xml:space="preserve">Wortzeiten MMS_FA (Modal)</t>
  </si>
  <si>
    <t xml:space="preserve">PIPELINE.md Smoke Lauf 5: Stage 520 0,0340 $ für 13,4 Audio-min</t>
  </si>
  <si>
    <t xml:space="preserve">Hörspiel-VC Chatterbox</t>
  </si>
  <si>
    <t xml:space="preserve">$/Werk</t>
  </si>
  <si>
    <t xml:space="preserve">TECHNIK.md; PROJEKTSTAND 14.10.</t>
  </si>
  <si>
    <t xml:space="preserve">Hörspiel Sprecherzuordnung 57b (DeepSeek Pro)</t>
  </si>
  <si>
    <t xml:space="preserve">PROJEKTSTAND 12.10. (~1 $/Roman)</t>
  </si>
  <si>
    <t xml:space="preserve">Hörspiel Trennungsmessung (Modal T4)</t>
  </si>
  <si>
    <t xml:space="preserve">PROJEKTSTAND 16.10.</t>
  </si>
  <si>
    <t xml:space="preserve">Text einsprachig (Import/Tagging 200+210)</t>
  </si>
  <si>
    <t xml:space="preserve">PIPELINE.md Smoke Lauf 5 (1.339 Wörter)</t>
  </si>
  <si>
    <t xml:space="preserve">Wörter je Audio-Stunde</t>
  </si>
  <si>
    <t xml:space="preserve">Wörter/h</t>
  </si>
  <si>
    <t xml:space="preserve">ACX: ~9.300 Wörter je fertiger Stunde (acx.com); Smoke-Kalibrierung unten</t>
  </si>
  <si>
    <t xml:space="preserve">Ø Wörter je Katalogwerk (PD)</t>
  </si>
  <si>
    <t xml:space="preserve">Wörter</t>
  </si>
  <si>
    <t xml:space="preserve">PROJEKTSTAND: 187 Werke / 18,6 Mio. Wörter</t>
  </si>
  <si>
    <t xml:space="preserve">Ø Wörter je Verlagstitel</t>
  </si>
  <si>
    <t xml:space="preserve">Pilot-Obergrenze AP_cockpit_v2</t>
  </si>
  <si>
    <t xml:space="preserve">Wörter je Normseite (1.800 Zeichen)</t>
  </si>
  <si>
    <t xml:space="preserve">Annahme CFO</t>
  </si>
  <si>
    <t xml:space="preserve">SMOKE-TEST-KALIBRIERUNG (Lauf 5, 24.10.2026)</t>
  </si>
  <si>
    <t xml:space="preserve">Wörter Smoke-Werk (EN)</t>
  </si>
  <si>
    <t xml:space="preserve">PIPELINE.md</t>
  </si>
  <si>
    <t xml:space="preserve">Textkosten gesamt</t>
  </si>
  <si>
    <t xml:space="preserve">$</t>
  </si>
  <si>
    <t xml:space="preserve">Modal gesamt (500+520)</t>
  </si>
  <si>
    <t xml:space="preserve">Audio-Minuten EN+DE</t>
  </si>
  <si>
    <t xml:space="preserve">min</t>
  </si>
  <si>
    <t xml:space="preserve">PIPELINE.md (2 × 6,7 min)</t>
  </si>
  <si>
    <t xml:space="preserve">→ Text je 1.000 Wörter (gemessen)</t>
  </si>
  <si>
    <t xml:space="preserve">$/1.000 W</t>
  </si>
  <si>
    <t xml:space="preserve">liegt unter Ansatz 0,09 $ (Ansatz bleibt, konservativ)</t>
  </si>
  <si>
    <t xml:space="preserve">→ Modal je Audio-h (gemessen, roh)</t>
  </si>
  <si>
    <t xml:space="preserve">vgl. Ansatz 0,94 + Wortzeiten</t>
  </si>
  <si>
    <t xml:space="preserve">→ Wörter je Audio-h Chatterbox roh / nach Tempo 0,73</t>
  </si>
  <si>
    <t xml:space="preserve">PROJEKTSTAND 15.10. atempo 0,73</t>
  </si>
  <si>
    <t xml:space="preserve">KOSTEN JE WERK (Ø Katalogwerk, EN+DE, in EUR)</t>
  </si>
  <si>
    <t xml:space="preserve">Audio-Stunden je Sprache</t>
  </si>
  <si>
    <t xml:space="preserve">h</t>
  </si>
  <si>
    <t xml:space="preserve">Formel</t>
  </si>
  <si>
    <t xml:space="preserve">Text EN+DE</t>
  </si>
  <si>
    <t xml:space="preserve">€/Werk</t>
  </si>
  <si>
    <t xml:space="preserve">Basis-Audio EN+DE (Chatterbox)</t>
  </si>
  <si>
    <t xml:space="preserve">Wortzeiten EN+DE</t>
  </si>
  <si>
    <t xml:space="preserve">Premium-Audio EN+DE (Gemini 2027)</t>
  </si>
  <si>
    <t xml:space="preserve">Hörspiel-Schicht (VC + 57b + Messung)</t>
  </si>
  <si>
    <t xml:space="preserve">→ Katalogwerk Basis (Text + Basis-Audio + Wortzeiten)</t>
  </si>
  <si>
    <t xml:space="preserve">TÆLLA-Katalog / SOMNIO</t>
  </si>
  <si>
    <t xml:space="preserve">→ Zusatz Premium-Hörbuch (Gemini statt Chatterbox)</t>
  </si>
  <si>
    <t xml:space="preserve">Patenschaft Hörbuch</t>
  </si>
  <si>
    <t xml:space="preserve">→ Zusatz Hörspiel (Premium + Schicht)</t>
  </si>
  <si>
    <t xml:space="preserve">Patenschaft Hörspiel / Auftrag</t>
  </si>
  <si>
    <t xml:space="preserve">Verlagstitel: BFSG-EPUB ohne Audio</t>
  </si>
  <si>
    <t xml:space="preserve">€/Titel</t>
  </si>
  <si>
    <t xml:space="preserve">Verlagstitel: Audio-Stunden (1 Sprache)</t>
  </si>
  <si>
    <t xml:space="preserve">Verlagstitel: Media Overlays mit Basis-Vertonung (1 Sprache)</t>
  </si>
  <si>
    <t xml:space="preserve">Verlagstitel: Alignment Verlagsaudio</t>
  </si>
  <si>
    <t xml:space="preserve">Wortzeiten-Satz; STT-Kosten 58_3rd_prty nicht gemessen</t>
  </si>
  <si>
    <t xml:space="preserve">Vertonung Premium je Audio-h</t>
  </si>
  <si>
    <t xml:space="preserve">€/Audio-h</t>
  </si>
  <si>
    <t xml:space="preserve">Übersetzung/Modernisierung je Normseite</t>
  </si>
  <si>
    <t xml:space="preserve">€/NS</t>
  </si>
  <si>
    <t xml:space="preserve">Pilot (Text EN+DE, Audio DE, Wortzeiten, Hörspiel-Kapitel)</t>
  </si>
  <si>
    <t xml:space="preserve">€/Pilot</t>
  </si>
  <si>
    <t xml:space="preserve">TÆLLA APP (B2C)</t>
  </si>
  <si>
    <t xml:space="preserve">Launch (Monat)</t>
  </si>
  <si>
    <t xml:space="preserve">Monat</t>
  </si>
  <si>
    <t xml:space="preserve">Annahme – CK entscheidet</t>
  </si>
  <si>
    <t xml:space="preserve">MAU bei Launch</t>
  </si>
  <si>
    <t xml:space="preserve">Nutzer</t>
  </si>
  <si>
    <t xml:space="preserve">Annahme</t>
  </si>
  <si>
    <t xml:space="preserve">MAU-Wachstum je Monat</t>
  </si>
  <si>
    <t xml:space="preserve">Marktpotenzial MAU (S-Kurve: Wachstum flacht zum Potenzial hin ab)</t>
  </si>
  <si>
    <t xml:space="preserve">Anker: 4,2 Mio. digitale Hörbuch-Nutzer·innen DE 2025 inkl. Abo (Börsenverein, Buchmarkt kompakt 2025/26) → ca. 1 / 5 / 12 %; BookBeat knapp 1,2 Mio. Zahlende in 8 Märkten (PM 02/2026)</t>
  </si>
  <si>
    <t xml:space="preserve">Neu zahlend je Monat (Anteil MAU)</t>
  </si>
  <si>
    <t xml:space="preserve">Churn je Monat (Zahlende)</t>
  </si>
  <si>
    <t xml:space="preserve">Anteil Vollzugang unter Zahlenden</t>
  </si>
  <si>
    <t xml:space="preserve">Anteil Monatszahler (Rest Jahr)</t>
  </si>
  <si>
    <t xml:space="preserve">Anteil Zahlung über App-Store (Rest Stripe/taella.io)</t>
  </si>
  <si>
    <t xml:space="preserve">Annahme – Weg offen (PROJEKTSTAND 12.10.)</t>
  </si>
  <si>
    <t xml:space="preserve">Patenschaften je Monat (ab Launch)</t>
  </si>
  <si>
    <t xml:space="preserve">Stück</t>
  </si>
  <si>
    <t xml:space="preserve">Anteil Patenschaft Hörspiel</t>
  </si>
  <si>
    <t xml:space="preserve">Auftrags-Hörspiele je Monat (ab Launch)</t>
  </si>
  <si>
    <t xml:space="preserve">Katalog-Neuwerke je Monat (Basis EN+DE)</t>
  </si>
  <si>
    <t xml:space="preserve">Werke</t>
  </si>
  <si>
    <t xml:space="preserve">Annahme; 237 Werke offen (PROJEKTSTAND 11.10.)</t>
  </si>
  <si>
    <t xml:space="preserve">Preis Hörbuch-Zugang Monat (brutto)</t>
  </si>
  <si>
    <t xml:space="preserve">€</t>
  </si>
  <si>
    <t xml:space="preserve">PROJEKTSTAND 12.10. Preisstruktur</t>
  </si>
  <si>
    <t xml:space="preserve">Preis Hörbuch-Zugang Jahr (brutto)</t>
  </si>
  <si>
    <t xml:space="preserve">PROJEKTSTAND 12.10.</t>
  </si>
  <si>
    <t xml:space="preserve">Preis Vollzugang Monat (brutto)</t>
  </si>
  <si>
    <t xml:space="preserve">Preis Vollzugang Jahr (brutto)</t>
  </si>
  <si>
    <t xml:space="preserve">Patenschaft Hörbuch (brutto, ohne Auto-Verlängerung)</t>
  </si>
  <si>
    <t xml:space="preserve">Patenschaft Hörspiel (brutto)</t>
  </si>
  <si>
    <t xml:space="preserve">Auftrags-Hörspiel (brutto)</t>
  </si>
  <si>
    <t xml:space="preserve">Vorschlag CFO – Preis offen (CK)</t>
  </si>
  <si>
    <t xml:space="preserve">App-Store-Provision (Small Business)</t>
  </si>
  <si>
    <t xml:space="preserve">Apple Small Business Program 15 % (developer.apple.com); Google Abos 15 %</t>
  </si>
  <si>
    <t xml:space="preserve">Stripe EWR-Karten Prozent</t>
  </si>
  <si>
    <t xml:space="preserve">stripe.com/de/pricing: 1,5 % + 0,25 €</t>
  </si>
  <si>
    <t xml:space="preserve">Stripe fix je Zahlung</t>
  </si>
  <si>
    <t xml:space="preserve">stripe.com/de/pricing</t>
  </si>
  <si>
    <t xml:space="preserve">Hosting/CDN variabel je MAU</t>
  </si>
  <si>
    <t xml:space="preserve">€/MAU/Monat</t>
  </si>
  <si>
    <t xml:space="preserve">→ Ø Erlös je Hörbuch-Zahler/Monat (brutto)</t>
  </si>
  <si>
    <t xml:space="preserve">→ Ø Erlös je Vollzugang-Zahler/Monat (brutto)</t>
  </si>
  <si>
    <t xml:space="preserve">READ LAYER VERLAGSDIENSTLEISTUNGEN (B2B, Preise netto)</t>
  </si>
  <si>
    <t xml:space="preserve">Erster Auftrag (Monat)</t>
  </si>
  <si>
    <t xml:space="preserve">Annahme; Leipzig 18.–21.03.2027 = Monat 3</t>
  </si>
  <si>
    <t xml:space="preserve">Pilot-Aufträge je Monat</t>
  </si>
  <si>
    <t xml:space="preserve">Anteil Barter (Pilot gegen TÆLLA-Präsenz)</t>
  </si>
  <si>
    <t xml:space="preserve">AP_cockpit_v2</t>
  </si>
  <si>
    <t xml:space="preserve">Folgeauftrag je Pilot</t>
  </si>
  <si>
    <t xml:space="preserve">Verzug Pilot → Folgeauftrag</t>
  </si>
  <si>
    <t xml:space="preserve">Monate</t>
  </si>
  <si>
    <t xml:space="preserve">Anrechnung innerhalb 3 Monaten (AP_cockpit_v2)</t>
  </si>
  <si>
    <t xml:space="preserve">Titel je Folgeauftrag (BFSG-EPUB + MO)</t>
  </si>
  <si>
    <t xml:space="preserve">Titel</t>
  </si>
  <si>
    <t xml:space="preserve">BFSG-EPUB Direktaufträge je Monat</t>
  </si>
  <si>
    <t xml:space="preserve">Anteil mit Media Overlays (Basis-Vertonung)</t>
  </si>
  <si>
    <t xml:space="preserve">Alignment Verlagsaudio je Monat</t>
  </si>
  <si>
    <t xml:space="preserve">Anteil Alignment mit Schnitt-Aufschlag</t>
  </si>
  <si>
    <t xml:space="preserve">Vertonung Premium je Monat</t>
  </si>
  <si>
    <t xml:space="preserve">Audio-h</t>
  </si>
  <si>
    <t xml:space="preserve">Übersetzung je Monat</t>
  </si>
  <si>
    <t xml:space="preserve">Normseiten</t>
  </si>
  <si>
    <t xml:space="preserve">Modernisierung je Monat</t>
  </si>
  <si>
    <t xml:space="preserve">Zusatzformate Kundenpaket je Monat (A-003)</t>
  </si>
  <si>
    <t xml:space="preserve">Formate</t>
  </si>
  <si>
    <t xml:space="preserve">Preis Pilot</t>
  </si>
  <si>
    <t xml:space="preserve">AP_cockpit_v2 (anrechenbar)</t>
  </si>
  <si>
    <t xml:space="preserve">Preis BFSG-EPUB 3 je Titel (ohne Audio)</t>
  </si>
  <si>
    <t xml:space="preserve">Markt: EPUB-Konvertierung 119–350 €/Titel, Bsp. 200 € (ki-syndikat.de/usecases/verlag/23-buchproduktion-epub-generierung); barrierefrei nicht veröffentlicht</t>
  </si>
  <si>
    <t xml:space="preserve">Aufpreis Media Overlays mit Basis-Vertonung je Titel</t>
  </si>
  <si>
    <t xml:space="preserve">Markt: KI-Vertonung Bookwire ca. 500–1.200 €/Titel (ki-syndikat.de/tools/bookwire, Redaktionsschätzung)</t>
  </si>
  <si>
    <t xml:space="preserve">Alignment Verlagsaudio je Titel (Audio kapitelweise)</t>
  </si>
  <si>
    <t xml:space="preserve">Markt: kein Dienstleisterpreis gefunden – Vorschlag CFO</t>
  </si>
  <si>
    <t xml:space="preserve">Schnitt: manuelle Prüfzeit je Audio-h</t>
  </si>
  <si>
    <t xml:space="preserve">Vorschlag CFO: Stichprobe + Korrektur Abweichungen Text–Audio</t>
  </si>
  <si>
    <t xml:space="preserve">Schnitt: Mindestaufschlag je Titel</t>
  </si>
  <si>
    <t xml:space="preserve">Vorschlag CFO</t>
  </si>
  <si>
    <t xml:space="preserve">→ Schnitt-Aufschlag je Titel (Ø Verlagstitel)</t>
  </si>
  <si>
    <t xml:space="preserve">Formel: Audio-h × Prüfzeit × Stundensatz</t>
  </si>
  <si>
    <t xml:space="preserve">Vertonung Premium je fertiger Audio-h</t>
  </si>
  <si>
    <t xml:space="preserve">Markt: Sprecher·in ca. 200–500 €/PFH (bookfoundry.ai Leitfaden 2026); ACX 300–400 $/PFH (acx.com)</t>
  </si>
  <si>
    <t xml:space="preserve">Übersetzung je Normseite (KI + Prüfung)</t>
  </si>
  <si>
    <t xml:space="preserve">Markt: Literaturübersetzung Ø 18,72 €/NS 2018 (VdÜ, literaturuebersetzer.de)</t>
  </si>
  <si>
    <t xml:space="preserve">Modernisierung je Normseite</t>
  </si>
  <si>
    <t xml:space="preserve">Vorschlag CFO (unter Übersetzung)</t>
  </si>
  <si>
    <t xml:space="preserve">Zusatzformat je Titel (DAISY, VTT, SRT, …)</t>
  </si>
  <si>
    <t xml:space="preserve">Vorschlag CFO; EPUB 3 MO im Titelpreis enthalten</t>
  </si>
  <si>
    <t xml:space="preserve">SOMNIO PUBLISHING</t>
  </si>
  <si>
    <t xml:space="preserve">Verkaufsstart (Monat)</t>
  </si>
  <si>
    <t xml:space="preserve">Annahme; setzt UG + Shop-Konten voraus</t>
  </si>
  <si>
    <t xml:space="preserve">Neue E-Book-Titel je Monat</t>
  </si>
  <si>
    <t xml:space="preserve">Neue Hörbuch-Ausgaben je Monat</t>
  </si>
  <si>
    <t xml:space="preserve">Ausgaben</t>
  </si>
  <si>
    <t xml:space="preserve">Neue zweisprachige Ausgaben je Monat</t>
  </si>
  <si>
    <t xml:space="preserve">Verkäufe je E-Book-Titel/Monat</t>
  </si>
  <si>
    <t xml:space="preserve">Annahme (Juli-Modell 0,4)</t>
  </si>
  <si>
    <t xml:space="preserve">Verkäufe je Hörbuch/Monat</t>
  </si>
  <si>
    <t xml:space="preserve">Verkäufe je zweisprachige Ausgabe/Monat</t>
  </si>
  <si>
    <t xml:space="preserve">Preis E-Book (brutto)</t>
  </si>
  <si>
    <t xml:space="preserve">Preis Hörbuch (brutto)</t>
  </si>
  <si>
    <t xml:space="preserve">Preis zweisprachige Ausgabe (brutto)</t>
  </si>
  <si>
    <t xml:space="preserve">Anteil Verkäufe über KDP</t>
  </si>
  <si>
    <t xml:space="preserve">Tantieme KDP für PD-Inhalte</t>
  </si>
  <si>
    <t xml:space="preserve">KDP: überwiegend gemeinfreie Inhalte nur 35 % (kdp.amazon.com/help/topic/G200634500)</t>
  </si>
  <si>
    <t xml:space="preserve">Tantieme übrige E-Book-Shops</t>
  </si>
  <si>
    <t xml:space="preserve">Apple/Google/Kobo je 70 % (scribecount.com/tools/platform-comparison, Sekundärquelle)</t>
  </si>
  <si>
    <t xml:space="preserve">Anteil Hörbuch über tolino media</t>
  </si>
  <si>
    <t xml:space="preserve">Annahme; Audible/ACX lässt KI-Stimmen nur über Virtual Voice zu</t>
  </si>
  <si>
    <t xml:space="preserve">Tantieme tolino media Hörbuch</t>
  </si>
  <si>
    <t xml:space="preserve">tolino media PM 03/2026: 70 % Netto-Erlös, keine Vertriebsgebühr</t>
  </si>
  <si>
    <t xml:space="preserve">Effektive Tantieme Findaway/Spotify (80 % des Partner-Netto)</t>
  </si>
  <si>
    <t xml:space="preserve">80 % (scribecount.com Findaway-Guide); Partner-Netto 50 % = Annahme</t>
  </si>
  <si>
    <t xml:space="preserve">Self-Publishing-Plattform Start (Monat)</t>
  </si>
  <si>
    <t xml:space="preserve">Annahme – Option, CK entscheidet</t>
  </si>
  <si>
    <t xml:space="preserve">Autor·innen-Aufträge je Monat</t>
  </si>
  <si>
    <t xml:space="preserve">Produktionsgebühr je Autor·innen-Titel</t>
  </si>
  <si>
    <t xml:space="preserve">Vorschlag CFO (Text + Hörbuch 1 Sprache + EPUB 3 MO)</t>
  </si>
  <si>
    <t xml:space="preserve">Zusatzkosten je SOMNIO-Ausgabe (ISBN, Metadaten)</t>
  </si>
  <si>
    <t xml:space="preserve">offen – Katalogproduktion trägt TÆLLA</t>
  </si>
  <si>
    <t xml:space="preserve">→ effektive Tantieme E-Book</t>
  </si>
  <si>
    <t xml:space="preserve">→ effektive Tantieme Hörbuch</t>
  </si>
  <si>
    <t xml:space="preserve">MARKETING &amp; PERSONAL (Annahmen CFO – CK entscheidet)</t>
  </si>
  <si>
    <t xml:space="preserve">Szenario-Label</t>
  </si>
  <si>
    <t xml:space="preserve">teures Hobby</t>
  </si>
  <si>
    <t xml:space="preserve">profitabler Nebenerwerb</t>
  </si>
  <si>
    <t xml:space="preserve">skalierbares Business</t>
  </si>
  <si>
    <t xml:space="preserve">CK 24.10.2026</t>
  </si>
  <si>
    <t xml:space="preserve">Marketing TÆLLA je Monat (ab Launch)</t>
  </si>
  <si>
    <t xml:space="preserve">Annahme: Social Ads, Influencer, Aktionen</t>
  </si>
  <si>
    <t xml:space="preserve">Marketing Read Layer je Monat (ab Monat 1)</t>
  </si>
  <si>
    <t xml:space="preserve">Annahme: LinkedIn, Demo-Material, Mailings</t>
  </si>
  <si>
    <t xml:space="preserve">Marketing SOMNIO je Monat (ab Verkaufsstart)</t>
  </si>
  <si>
    <t xml:space="preserve">Annahme: Shop-Werbung (z. B. Amazon Ads)</t>
  </si>
  <si>
    <t xml:space="preserve">Vollkosten je Personalstelle (FTE) je Monat</t>
  </si>
  <si>
    <t xml:space="preserve">Annahme: ca. 3.700 € brutto + AG-Anteil; Freelancer anteilig möglich</t>
  </si>
  <si>
    <t xml:space="preserve">TÆLLA: Zahlende, die CK selbst betreut</t>
  </si>
  <si>
    <t xml:space="preserve">Zahlende</t>
  </si>
  <si>
    <t xml:space="preserve">TÆLLA: Zahlende je FTE (Support, Community, Katalog)</t>
  </si>
  <si>
    <t xml:space="preserve">Zahlende/FTE</t>
  </si>
  <si>
    <t xml:space="preserve">Read Layer: Titel-Äquivalente je Monat, die CK selbst betreut</t>
  </si>
  <si>
    <t xml:space="preserve">Titel/Monat</t>
  </si>
  <si>
    <t xml:space="preserve">Read Layer: Titel-Äquivalente je FTE und Monat</t>
  </si>
  <si>
    <t xml:space="preserve">Titel/FTE</t>
  </si>
  <si>
    <t xml:space="preserve">Annahme; 1 Titel-Äquiv. = 1 Titel bzw. 8,6 Audio-h bzw. 320 Normseiten</t>
  </si>
  <si>
    <t xml:space="preserve">FIXKOSTEN-PLAN (für alle Szenarien gleich; Anteile je Bereich)</t>
  </si>
  <si>
    <t xml:space="preserve">Posten</t>
  </si>
  <si>
    <t xml:space="preserve">Betrag €</t>
  </si>
  <si>
    <t xml:space="preserve">Art</t>
  </si>
  <si>
    <t xml:space="preserve">Monat (ab/im)</t>
  </si>
  <si>
    <t xml:space="preserve">Anteil TÆLLA</t>
  </si>
  <si>
    <t xml:space="preserve">Anteil Read Layer</t>
  </si>
  <si>
    <t xml:space="preserve">Anteil SOMNIO</t>
  </si>
  <si>
    <t xml:space="preserve">Kennzeichnung</t>
  </si>
  <si>
    <t xml:space="preserve">Prüfung</t>
  </si>
  <si>
    <t xml:space="preserve">Modal Grundlast (Smoke-Tests, Experimente)</t>
  </si>
  <si>
    <t xml:space="preserve">monatlich</t>
  </si>
  <si>
    <t xml:space="preserve">Annahme: 20 $/Monat; Smoke ~0,23 $/Lauf (PIPELINE.md)</t>
  </si>
  <si>
    <t xml:space="preserve">APIs Grundlast (Gemini Cover/Teaser, DeepSeek Tests)</t>
  </si>
  <si>
    <t xml:space="preserve">Annahme: 10 $/Monat</t>
  </si>
  <si>
    <t xml:space="preserve">Hosting GCS-Bucket, Domain, Website taella.io</t>
  </si>
  <si>
    <t xml:space="preserve">Apple Developer Program (99 $/Jahr)</t>
  </si>
  <si>
    <t xml:space="preserve">developer.apple.com: 99 $/Jahr</t>
  </si>
  <si>
    <t xml:space="preserve">Steuerberatung/Buchhaltung UG</t>
  </si>
  <si>
    <t xml:space="preserve">Geschäftskonto</t>
  </si>
  <si>
    <t xml:space="preserve">Gründung UG (Notar, Register, Gewerbe)</t>
  </si>
  <si>
    <t xml:space="preserve">einmalig</t>
  </si>
  <si>
    <t xml:space="preserve">firma.de: 495,89 € (Musterprotokoll, 1 Gesellschafter); Monat offen (K4)</t>
  </si>
  <si>
    <t xml:space="preserve">Google Play Entwicklerkonto (25 $)</t>
  </si>
  <si>
    <t xml:space="preserve">einmalig 25 $</t>
  </si>
  <si>
    <t xml:space="preserve">Leipziger Buchmesse 18.–21.03.2027 (Ticket, Reise, 2 Nächte)</t>
  </si>
  <si>
    <t xml:space="preserve">Annahme; Ticketpreis nicht veröffentlicht (Vorverkauf ab 12/2026, leipziger-buchmesse.de)</t>
  </si>
  <si>
    <t xml:space="preserve">Rechtsprüfung IT-Recht Stimmen (N-9)</t>
  </si>
  <si>
    <t xml:space="preserve">Annahme; Angebote offen; bei erster Verlagsanfrage</t>
  </si>
  <si>
    <t xml:space="preserve">Eigene GPU 24 GB (nur bei Katalog-Serienlauf)</t>
  </si>
  <si>
    <t xml:space="preserve">nicht geplant</t>
  </si>
  <si>
    <t xml:space="preserve">TECHNIK.md Abschn. 3 – CFO prüfen</t>
  </si>
  <si>
    <t xml:space="preserve">Art: monatlich (ab Monat) · einmalig (im Monat) · nicht geplant (fließt nicht ein). Fixkosten ohne Unternehmerlohn; Betreuungszeit CK nicht bewertet.</t>
  </si>
  <si>
    <t xml:space="preserve">VARIANTE VERLAGSTITEL IN TÆLLA (Barter-Katalog, Wirkung auf MAU und Conversion)</t>
  </si>
  <si>
    <t xml:space="preserve">Erster Verlagstitel (Monat)</t>
  </si>
  <si>
    <t xml:space="preserve">Neue Verlagstitel je Monat</t>
  </si>
  <si>
    <t xml:space="preserve">Annahme; Onboarding über Verlags-Cockpit, Kuratierung beim Verlag</t>
  </si>
  <si>
    <t xml:space="preserve">Betreuungsstunden je Verlagstitel (uns)</t>
  </si>
  <si>
    <t xml:space="preserve">CK 24.10.: Onboarding beim Verlag (Selbstbedienung)</t>
  </si>
  <si>
    <t xml:space="preserve">PD-Werke im Katalog bei Start</t>
  </si>
  <si>
    <t xml:space="preserve">Mock-up-Katalog 15 Werke (PROJEKTSTAND 16.10.)</t>
  </si>
  <si>
    <t xml:space="preserve">Zuschlag MAU-Wachstum je 10 Verlagstitel</t>
  </si>
  <si>
    <t xml:space="preserve">Prozentpunkte</t>
  </si>
  <si>
    <t xml:space="preserve">Annahme – nicht belegt; messen nach ersten Verlagstiteln</t>
  </si>
  <si>
    <t xml:space="preserve">Obergrenze Zuschlag MAU-Wachstum</t>
  </si>
  <si>
    <t xml:space="preserve">Zuschlag Conversion je 10 Verlagstitel</t>
  </si>
  <si>
    <t xml:space="preserve">Annahme – nicht belegt</t>
  </si>
  <si>
    <t xml:space="preserve">Obergrenze Zuschlag Conversion</t>
  </si>
  <si>
    <t xml:space="preserve">Nutzung je Verlagstitel relativ zu PD-Titel</t>
  </si>
  <si>
    <t xml:space="preserve">Faktor</t>
  </si>
  <si>
    <t xml:space="preserve">Annahme: aktuelle Titel werden häufiger gehört</t>
  </si>
  <si>
    <t xml:space="preserve">Obergrenze Nutzungsanteil Verlagstitel</t>
  </si>
  <si>
    <t xml:space="preserve">Verlagsanteil Longtail</t>
  </si>
  <si>
    <t xml:space="preserve">CK 24.10.: Staffel 35–75 %</t>
  </si>
  <si>
    <t xml:space="preserve">Verlagsanteil Mitte</t>
  </si>
  <si>
    <t xml:space="preserve">CK 24.10.</t>
  </si>
  <si>
    <t xml:space="preserve">Verlagsanteil Top-Titel</t>
  </si>
  <si>
    <t xml:space="preserve">Nutzungsgewicht Longtail</t>
  </si>
  <si>
    <t xml:space="preserve">Annahme; Summe der drei Gewichte = 100 %</t>
  </si>
  <si>
    <t xml:space="preserve">Nutzungsgewicht Mitte</t>
  </si>
  <si>
    <t xml:space="preserve">Nutzungsgewicht Top-Titel</t>
  </si>
  <si>
    <t xml:space="preserve">Annahme: Nutzung konzentriert sich auf wenige Titel</t>
  </si>
  <si>
    <t xml:space="preserve">→ effektiver Verlagsanteil (gewichtet)</t>
  </si>
  <si>
    <t xml:space="preserve">Vergleich: Storytel ca. 51–63 % an Rechteinhaber (Bruttomarge 37–49 %, Geschäftsbericht 2025); Spotify ca. 2/3</t>
  </si>
  <si>
    <t xml:space="preserve">TÆLLA-Preis BFSG-EPUB 3 je Titel (≤ 50 % Wettbewerb)</t>
  </si>
  <si>
    <t xml:space="preserve">CK 24.10.: max. 50 % des Wettbewerbs; Markt Bsp. 200 €/Titel (ki-syndikat.de)</t>
  </si>
  <si>
    <t xml:space="preserve">TÆLLA-Preis Media Overlays mit Basis-Vertonung je Titel</t>
  </si>
  <si>
    <t xml:space="preserve">50 % von 500 € (Untergrenze KI-Vertonung Bookwire, ki-syndikat.de)</t>
  </si>
  <si>
    <t xml:space="preserve">Anteil Verlagstitel gratis (Barter-Pilot)</t>
  </si>
  <si>
    <t xml:space="preserve">CK 25.10.: z. B. 20 %</t>
  </si>
  <si>
    <t xml:space="preserve">→ Prüfung Nutzungsgewichte</t>
  </si>
  <si>
    <t xml:space="preserve">TÆLLA App (B2C) — 24 Monate ab 01/2027</t>
  </si>
  <si>
    <t xml:space="preserve">Kennzahl</t>
  </si>
  <si>
    <t xml:space="preserve">Break-even monatlich (erster Monat Ergebnis &gt; 0)</t>
  </si>
  <si>
    <t xml:space="preserve">Break-even kumuliert (erster Monat kum. ≥ 0)</t>
  </si>
  <si>
    <t xml:space="preserve">Deckungsbeitrag (netto, nach Gebühren)</t>
  </si>
  <si>
    <t xml:space="preserve">DB je Hörbuch-Zahler/Monat – Stripe</t>
  </si>
  <si>
    <t xml:space="preserve">DB je Hörbuch-Zahler/Monat – App-Store</t>
  </si>
  <si>
    <t xml:space="preserve">DB je Vollzugang-Zahler/Monat – Stripe</t>
  </si>
  <si>
    <t xml:space="preserve">DB je Vollzugang-Zahler/Monat – App-Store</t>
  </si>
  <si>
    <t xml:space="preserve">DB je Patenschaft Hörbuch (Stripe)</t>
  </si>
  <si>
    <t xml:space="preserve">DB je Patenschaft Hörspiel (Stripe)</t>
  </si>
  <si>
    <t xml:space="preserve">Katalogkosten je Werk (Basis EN+DE)</t>
  </si>
  <si>
    <t xml:space="preserve">Datum</t>
  </si>
  <si>
    <t xml:space="preserve">MAU</t>
  </si>
  <si>
    <t xml:space="preserve">Neu zahlend</t>
  </si>
  <si>
    <t xml:space="preserve">Zahlende gesamt</t>
  </si>
  <si>
    <t xml:space="preserve">davon Hörbuch</t>
  </si>
  <si>
    <t xml:space="preserve">davon Voll</t>
  </si>
  <si>
    <t xml:space="preserve">Abo-Umsatz brutto</t>
  </si>
  <si>
    <t xml:space="preserve">Paten Hörbuch</t>
  </si>
  <si>
    <t xml:space="preserve">Paten Hörspiel</t>
  </si>
  <si>
    <t xml:space="preserve">Paten-Umsatz brutto</t>
  </si>
  <si>
    <t xml:space="preserve">Auftrags-Hörspiele</t>
  </si>
  <si>
    <t xml:space="preserve">Auftrag brutto</t>
  </si>
  <si>
    <t xml:space="preserve">Umsatz brutto</t>
  </si>
  <si>
    <t xml:space="preserve">Umsatz netto</t>
  </si>
  <si>
    <t xml:space="preserve">Zahlungs-gebühren</t>
  </si>
  <si>
    <t xml:space="preserve">Katalog-Neuwerke</t>
  </si>
  <si>
    <t xml:space="preserve">Katalog-kosten</t>
  </si>
  <si>
    <t xml:space="preserve">Produktion Paten/Auftrag</t>
  </si>
  <si>
    <t xml:space="preserve">Hosting variabel</t>
  </si>
  <si>
    <t xml:space="preserve">Fixkosten anteilig</t>
  </si>
  <si>
    <t xml:space="preserve">Marketing</t>
  </si>
  <si>
    <t xml:space="preserve">Personal-bedarf FTE</t>
  </si>
  <si>
    <t xml:space="preserve">Personal-kosten</t>
  </si>
  <si>
    <t xml:space="preserve">Ergebnis</t>
  </si>
  <si>
    <t xml:space="preserve">Ergebnis kumuliert</t>
  </si>
  <si>
    <t xml:space="preserve">BE monatl.</t>
  </si>
  <si>
    <t xml:space="preserve">BE kum.</t>
  </si>
  <si>
    <t xml:space="preserve">01/2027</t>
  </si>
  <si>
    <t xml:space="preserve">02/2027</t>
  </si>
  <si>
    <t xml:space="preserve">03/2027</t>
  </si>
  <si>
    <t xml:space="preserve">04/2027</t>
  </si>
  <si>
    <t xml:space="preserve">05/2027</t>
  </si>
  <si>
    <t xml:space="preserve">06/2027</t>
  </si>
  <si>
    <t xml:space="preserve">07/2027</t>
  </si>
  <si>
    <t xml:space="preserve">08/2027</t>
  </si>
  <si>
    <t xml:space="preserve">09/2027</t>
  </si>
  <si>
    <t xml:space="preserve">10/2027</t>
  </si>
  <si>
    <t xml:space="preserve">11/2027</t>
  </si>
  <si>
    <t xml:space="preserve">12/2027</t>
  </si>
  <si>
    <t xml:space="preserve">01/2028</t>
  </si>
  <si>
    <t xml:space="preserve">02/2028</t>
  </si>
  <si>
    <t xml:space="preserve">03/2028</t>
  </si>
  <si>
    <t xml:space="preserve">04/2028</t>
  </si>
  <si>
    <t xml:space="preserve">05/2028</t>
  </si>
  <si>
    <t xml:space="preserve">06/2028</t>
  </si>
  <si>
    <t xml:space="preserve">07/2028</t>
  </si>
  <si>
    <t xml:space="preserve">08/2028</t>
  </si>
  <si>
    <t xml:space="preserve">09/2028</t>
  </si>
  <si>
    <t xml:space="preserve">10/2028</t>
  </si>
  <si>
    <t xml:space="preserve">11/2028</t>
  </si>
  <si>
    <t xml:space="preserve">12/2028</t>
  </si>
  <si>
    <t xml:space="preserve">Read Layer Verlagsdienstleistungen (B2B) — 24 Monate ab 01/2027</t>
  </si>
  <si>
    <t xml:space="preserve">Deckungsbeitrag je Auftrag (Preis – Rechenkosten)</t>
  </si>
  <si>
    <t xml:space="preserve">Pilot (bezahlt)</t>
  </si>
  <si>
    <t xml:space="preserve">BFSG-EPUB ohne Audio</t>
  </si>
  <si>
    <t xml:space="preserve">BFSG-EPUB + Media Overlays</t>
  </si>
  <si>
    <t xml:space="preserve">Alignment Verlagsaudio (ohne / mit Schnitt)</t>
  </si>
  <si>
    <t xml:space="preserve">Schnitt-Aufschlag je Titel (Vorschlag)</t>
  </si>
  <si>
    <t xml:space="preserve">Vertonung je Audio-h</t>
  </si>
  <si>
    <t xml:space="preserve">Übersetzung je Normseite</t>
  </si>
  <si>
    <t xml:space="preserve">Barter-Piloten erzeugen Kosten ohne Umsatz. B2B-Zahlung per Rechnung/SEPA – keine Zahlungsgebühren angesetzt. Preise netto zzgl. MwSt.</t>
  </si>
  <si>
    <t xml:space="preserve">Piloten</t>
  </si>
  <si>
    <t xml:space="preserve">davon Barter</t>
  </si>
  <si>
    <t xml:space="preserve">Pilot-Umsatz</t>
  </si>
  <si>
    <t xml:space="preserve">Folge-aufträge</t>
  </si>
  <si>
    <t xml:space="preserve">Folge-Umsatz (nach Anrechnung)</t>
  </si>
  <si>
    <t xml:space="preserve">BFSG-EPUB Titel</t>
  </si>
  <si>
    <t xml:space="preserve">Umsatz BFSG/MO</t>
  </si>
  <si>
    <t xml:space="preserve">Alignment Titel</t>
  </si>
  <si>
    <t xml:space="preserve">Umsatz Alignment</t>
  </si>
  <si>
    <t xml:space="preserve">Vertonung Audio-h</t>
  </si>
  <si>
    <t xml:space="preserve">Umsatz Vertonung</t>
  </si>
  <si>
    <t xml:space="preserve">Übersetzung NS</t>
  </si>
  <si>
    <t xml:space="preserve">Umsatz Übersetzung</t>
  </si>
  <si>
    <t xml:space="preserve">Modernisierung NS</t>
  </si>
  <si>
    <t xml:space="preserve">Umsatz Moderni-sierung</t>
  </si>
  <si>
    <t xml:space="preserve">Zusatz-formate</t>
  </si>
  <si>
    <t xml:space="preserve">Umsatz Formate</t>
  </si>
  <si>
    <t xml:space="preserve">Umsatz gesamt</t>
  </si>
  <si>
    <t xml:space="preserve">Rechen-kosten</t>
  </si>
  <si>
    <t xml:space="preserve">Titel-Äquiv.</t>
  </si>
  <si>
    <t xml:space="preserve">SOMNIO Publishing — 24 Monate ab 01/2027</t>
  </si>
  <si>
    <t xml:space="preserve">Deckungsbeitrag je Verkauf / Titel</t>
  </si>
  <si>
    <t xml:space="preserve">Ertrag je E-Book-Verkauf</t>
  </si>
  <si>
    <t xml:space="preserve">Ertrag je Hörbuch-Verkauf</t>
  </si>
  <si>
    <t xml:space="preserve">Ertrag je zweisprachigem Verkauf</t>
  </si>
  <si>
    <t xml:space="preserve">DB je Autor·innen-Titel (Self-Publishing)</t>
  </si>
  <si>
    <t xml:space="preserve">Katalogproduktion (Text, Basis-Audio) trägt TÆLLA; SOMNIO verwertet dieselben Werke ohne Zusatzkosten. KI-Stimme kennzeichnen (TECHNIK §9, AI Act Art. 50).</t>
  </si>
  <si>
    <t xml:space="preserve">Neue E-Books</t>
  </si>
  <si>
    <t xml:space="preserve">E-Books kum.</t>
  </si>
  <si>
    <t xml:space="preserve">Verkäufe E-Book</t>
  </si>
  <si>
    <t xml:space="preserve">Ertrag E-Book</t>
  </si>
  <si>
    <t xml:space="preserve">Neue Hörbücher</t>
  </si>
  <si>
    <t xml:space="preserve">Hörbücher kum.</t>
  </si>
  <si>
    <t xml:space="preserve">Verkäufe Hörbuch</t>
  </si>
  <si>
    <t xml:space="preserve">Ertrag Hörbuch</t>
  </si>
  <si>
    <t xml:space="preserve">Neue zweispr.</t>
  </si>
  <si>
    <t xml:space="preserve">Zweispr. kum.</t>
  </si>
  <si>
    <t xml:space="preserve">Verkäufe zweispr.</t>
  </si>
  <si>
    <t xml:space="preserve">Ertrag zweispr.</t>
  </si>
  <si>
    <t xml:space="preserve">Self-Pub Aufträge</t>
  </si>
  <si>
    <t xml:space="preserve">Self-Pub Umsatz</t>
  </si>
  <si>
    <t xml:space="preserve">Variable Kosten</t>
  </si>
  <si>
    <t xml:space="preserve">Gesamt — Summe der drei Bereiche (24 Monate ab 01/2027)</t>
  </si>
  <si>
    <t xml:space="preserve">Summen 24 Monate</t>
  </si>
  <si>
    <t xml:space="preserve">Ergebnis gesamt</t>
  </si>
  <si>
    <t xml:space="preserve">Tiefster kumulierter Stand (Finanzbedarf)</t>
  </si>
  <si>
    <t xml:space="preserve">Ergebnis Monat 24 (Run-Rate)</t>
  </si>
  <si>
    <t xml:space="preserve">Prüfung: Fixkosten verteilt = Fixkosten-Plan</t>
  </si>
  <si>
    <t xml:space="preserve">Fixkosten 24 Monate gesamt</t>
  </si>
  <si>
    <t xml:space="preserve">Umsatz TÆLLA (netto)</t>
  </si>
  <si>
    <t xml:space="preserve">Umsatz Read Layer</t>
  </si>
  <si>
    <t xml:space="preserve">Umsatz SOMNIO</t>
  </si>
  <si>
    <t xml:space="preserve">Ergebnis TÆLLA</t>
  </si>
  <si>
    <t xml:space="preserve">Ergebnis Read Layer</t>
  </si>
  <si>
    <t xml:space="preserve">Ergebnis SOMNIO</t>
  </si>
  <si>
    <t xml:space="preserve">Weitere Erlösfelder, die die Pipeline berührt</t>
  </si>
  <si>
    <t xml:space="preserve">Erlöshöhe = grobe CFO-Schätzung je Jahr (Jahr 2 nach Marktreife), nicht belegt. Aufwand bis Marktreife: S &lt; 1 Monat, M 1–3 Monate, L &gt; 3 Monate (Nebenzeit CK).</t>
  </si>
  <si>
    <t xml:space="preserve">Feld</t>
  </si>
  <si>
    <t xml:space="preserve">Kunde</t>
  </si>
  <si>
    <t xml:space="preserve">Leistung</t>
  </si>
  <si>
    <t xml:space="preserve">Pipeline-Bausteine vorhanden</t>
  </si>
  <si>
    <t xml:space="preserve">Erlös/Jahr von €</t>
  </si>
  <si>
    <t xml:space="preserve">Erlös/Jahr bis €</t>
  </si>
  <si>
    <t xml:space="preserve">Aufwand</t>
  </si>
  <si>
    <t xml:space="preserve">Rechtliche Grenze</t>
  </si>
  <si>
    <t xml:space="preserve">Bezug</t>
  </si>
  <si>
    <t xml:space="preserve">Rang</t>
  </si>
  <si>
    <t xml:space="preserve">Barrierefreiheits-Prüfdienst</t>
  </si>
  <si>
    <t xml:space="preserve">Kleine/mittlere Verlage, Herstellung</t>
  </si>
  <si>
    <t xml:space="preserve">Ace-/epubcheck-Prüfung bestehender E-Books, Prüfbericht, Nachbesserung als Upsell</t>
  </si>
  <si>
    <t xml:space="preserve">ja: epubcheck in Smoke, Ace geplant (N-2), EPUB-Bau 600–630</t>
  </si>
  <si>
    <t xml:space="preserve">S</t>
  </si>
  <si>
    <t xml:space="preserve">Technischer Prüfbericht, keine Rechtsberatung/Konformitätsbescheinigung</t>
  </si>
  <si>
    <t xml:space="preserve">VERTRIEB.md (BFSG = Türöffner)</t>
  </si>
  <si>
    <t xml:space="preserve">Bildungsverlage / Schullektüren</t>
  </si>
  <si>
    <t xml:space="preserve">Klett Sprachen, Hueber, Reclam, Hamburger Lesehefte</t>
  </si>
  <si>
    <t xml:space="preserve">Zweisprachige Lektüren mit Audio, Wort-Mitlesen, Vokabelschicht je Titel</t>
  </si>
  <si>
    <t xml:space="preserve">ja: Übersetzung, 54a-Wortanker, Wortzeiten, EPUB 3 MO; Glossar-Stage nein</t>
  </si>
  <si>
    <t xml:space="preserve">M</t>
  </si>
  <si>
    <t xml:space="preserve">Rechte beim Verlag; keine KI-Bilder für Fremdverlage</t>
  </si>
  <si>
    <t xml:space="preserve">Zielverlagsliste #15–19</t>
  </si>
  <si>
    <t xml:space="preserve">Lizenzierung von Übersetzungen (PD)</t>
  </si>
  <si>
    <t xml:space="preserve">Public Domain Library, Plattformen, Verlage</t>
  </si>
  <si>
    <t xml:space="preserve">Übersetzte PD-Texte als Lizenz (Text) – Audio/Zweisprachigkeit bleibt TÆLLA/SOMNIO</t>
  </si>
  <si>
    <t xml:space="preserve">ja: Textkette 200–420</t>
  </si>
  <si>
    <t xml:space="preserve">Übersetzer-Urheberrecht der Quelle (Tod + 70); Schutz von KI-Übersetzungen fraglich → vertragliche Lizenz</t>
  </si>
  <si>
    <t xml:space="preserve">IDEE_kooperation_publicdomainlibrary</t>
  </si>
  <si>
    <t xml:space="preserve">Hörspiel-Auftragsproduktion B2B</t>
  </si>
  <si>
    <t xml:space="preserve">Hörbuch-Labels, Podcasts, Verlage</t>
  </si>
  <si>
    <t xml:space="preserve">Mehrstimmige Fassung aus vorhandenem Text, Figurenstimmen per VC</t>
  </si>
  <si>
    <t xml:space="preserve">ja: Casting 410, 57b, VC-Overlay 510, Trennungsmessung</t>
  </si>
  <si>
    <t xml:space="preserve">Stimmen-Regel TECHNIK §9; keine realen Personen; KI-Kennzeichnung</t>
  </si>
  <si>
    <t xml:space="preserve">PROZESS_hoerspiel-schicht</t>
  </si>
  <si>
    <t xml:space="preserve">Kundenpaket als API</t>
  </si>
  <si>
    <t xml:space="preserve">Verlage, Hörbuch-Plattformen, Aggregatoren</t>
  </si>
  <si>
    <t xml:space="preserve">Zeitstempel-Formate (EPUB 3 MO, DAISY, VTT, SRT, LRC, JSON) je Aufruf</t>
  </si>
  <si>
    <t xml:space="preserve">teilweise: Spezifikation da, tools/kundenpaket.py neu bauen</t>
  </si>
  <si>
    <t xml:space="preserve">L</t>
  </si>
  <si>
    <t xml:space="preserve">Nur für Inhalte mit Rechten des Kunden</t>
  </si>
  <si>
    <t xml:space="preserve">A-003, SPEZ_zeitstempel_formate</t>
  </si>
  <si>
    <t xml:space="preserve">Lern-/Vokabelschicht</t>
  </si>
  <si>
    <t xml:space="preserve">TÆLLA-Nutzer (Upgrade), Sprachschulen</t>
  </si>
  <si>
    <t xml:space="preserve">Vokabular aus Lernspur, Buchkontext, Trainer mit Satz-Audio</t>
  </si>
  <si>
    <t xml:space="preserve">teilweise: Lernspur + Statistik gebaut; Glossar-Stage, Trainer nein</t>
  </si>
  <si>
    <t xml:space="preserve">Wiktionary CC BY-SA nur mit Namensnennung</t>
  </si>
  <si>
    <t xml:space="preserve">IDEE_lernschicht-vokabular</t>
  </si>
  <si>
    <t xml:space="preserve">Bibliotheken / Onleihe</t>
  </si>
  <si>
    <t xml:space="preserve">divibib/Onleihe, OverDrive, Schulbibliotheken</t>
  </si>
  <si>
    <t xml:space="preserve">Zweisprachiger PD-Katalog (EPUB + Audio) als Bibliothekslizenz</t>
  </si>
  <si>
    <t xml:space="preserve">ja: EPUB, Audio; Aggregator-Anbindung nein</t>
  </si>
  <si>
    <t xml:space="preserve">KI-Kennzeichnung; DRM-Vorgaben der Plattform (LCP)</t>
  </si>
  <si>
    <t xml:space="preserve">TECHNIK.md Abschn. 5 (DRM)</t>
  </si>
  <si>
    <t xml:space="preserve">Weitere Sprachen (FR/ES/IT/NL)</t>
  </si>
  <si>
    <t xml:space="preserve">TÆLLA, SOMNIO, PDL-Sprachseiten</t>
  </si>
  <si>
    <t xml:space="preserve">Katalog in weiteren Sprachpaaren</t>
  </si>
  <si>
    <t xml:space="preserve">ja: Textkette; Chatterbox multilingual; LoRA nur DE</t>
  </si>
  <si>
    <t xml:space="preserve">Übersetzer-Urheberrecht; Geo-Sperren (z. B. Peter Pan GB)</t>
  </si>
  <si>
    <t xml:space="preserve">Stimmen-Samenbank</t>
  </si>
  <si>
    <t xml:space="preserve">Games, E-Learning, Verlage (Hausstimme)</t>
  </si>
  <si>
    <t xml:space="preserve">Lizenz designter Stimmen mit Herkunftsvermerk</t>
  </si>
  <si>
    <t xml:space="preserve">ja: Stimmen-Archiv, Steckbriefe, Klaviatur</t>
  </si>
  <si>
    <t xml:space="preserve">Weitergabe Gemini-Voice-Design an Dritte ungeklärt; nie Training auf Gemini; keine LibriVox-/Realstimmen (TECHNIK §9)</t>
  </si>
  <si>
    <t xml:space="preserve">IDEE_stimmen-samenbank</t>
  </si>
  <si>
    <t xml:space="preserve">Graded Readers / Nacherzählungen</t>
  </si>
  <si>
    <t xml:space="preserve">Lernende, Bildungsverlage</t>
  </si>
  <si>
    <t xml:space="preserve">Vereinfachte/nacherzählte PD-Fassungen, gekennzeichnet</t>
  </si>
  <si>
    <t xml:space="preserve">teilweise: Modernisierung; redaktionelle Kontrolle nötig</t>
  </si>
  <si>
    <t xml:space="preserve">Moderne Nacherzählungen geschützt – nur freie Quelle oder Eigenfassung</t>
  </si>
  <si>
    <t xml:space="preserve">BOARD.md (Juni)</t>
  </si>
  <si>
    <t xml:space="preserve">Summe (Spanne)</t>
  </si>
  <si>
    <t xml:space="preserve">Variante: TÆLLA mit Verlagstiteln (Barter-Katalog) + Read-Layer-Umsatz — 24 Monate ab 01/2027</t>
  </si>
  <si>
    <t xml:space="preserve">Break-even TÆLLA monatlich (erster Monat Ergebnis &gt; 0)</t>
  </si>
  <si>
    <t xml:space="preserve">Break-even TÆLLA kumuliert (erster Monat kum. ≥ 0)</t>
  </si>
  <si>
    <t xml:space="preserve">Break-even gesamt mit Variante monatlich</t>
  </si>
  <si>
    <t xml:space="preserve">Break-even gesamt mit Variante kumuliert</t>
  </si>
  <si>
    <t xml:space="preserve">Vergleich mit Basis (Blätter TÆLLA, Gesamt)</t>
  </si>
  <si>
    <t xml:space="preserve">MAU Monat 24 – ohne Verlagstitel</t>
  </si>
  <si>
    <t xml:space="preserve">MAU Monat 24 – mit Verlagstiteln</t>
  </si>
  <si>
    <t xml:space="preserve">Zahlende Monat 24 – ohne</t>
  </si>
  <si>
    <t xml:space="preserve">Zahlende Monat 24 – mit</t>
  </si>
  <si>
    <t xml:space="preserve">Verlagstitel im Katalog Monat 24</t>
  </si>
  <si>
    <t xml:space="preserve">Ergebnis TÆLLA 24 Monate – ohne</t>
  </si>
  <si>
    <t xml:space="preserve">Ergebnis TÆLLA 24 Monate – mit</t>
  </si>
  <si>
    <t xml:space="preserve">Ausschüttung an Verlage 24 Monate</t>
  </si>
  <si>
    <t xml:space="preserve">Zusatzumsatz Read Layer 24 Monate</t>
  </si>
  <si>
    <t xml:space="preserve">Zusatz-Deckungsbeitrag Read Layer 24 Monate</t>
  </si>
  <si>
    <t xml:space="preserve">Ergebnis gesamt 24 Monate – ohne Variante</t>
  </si>
  <si>
    <t xml:space="preserve">Ergebnis gesamt 24 Monate – mit Variante</t>
  </si>
  <si>
    <t xml:space="preserve">Tiefster kum. Stand gesamt – ohne</t>
  </si>
  <si>
    <t xml:space="preserve">Tiefster kum. Stand gesamt – mit</t>
  </si>
  <si>
    <t xml:space="preserve">Run-Rate Monat 24 gesamt – mit</t>
  </si>
  <si>
    <t xml:space="preserve">TÆLLA: Ausschüttung = Abo netto × Nutzungsanteil Verlagstitel × effektiver Verlagsanteil; MAU als S-Kurve zum Marktpotenzial. Read Layer: Verlagstitel zahlen TÆLLA-Preis (≤ 50 % Wettbewerb), Anteil gratis als Barter; Kuratierung und Endabnahme beim Verlag. Zuschläge auf Wachstum/Conversion sind Annahmen.</t>
  </si>
  <si>
    <t xml:space="preserve">Verlags-titel kum.</t>
  </si>
  <si>
    <t xml:space="preserve">PD-Werke kum.</t>
  </si>
  <si>
    <t xml:space="preserve">Zuschlag Wachstum</t>
  </si>
  <si>
    <t xml:space="preserve">Zuschlag Conversion</t>
  </si>
  <si>
    <t xml:space="preserve">Paten + Auftrag brutto</t>
  </si>
  <si>
    <t xml:space="preserve">davon Abo netto</t>
  </si>
  <si>
    <t xml:space="preserve">Nutzungs-anteil Verlage</t>
  </si>
  <si>
    <t xml:space="preserve">Ausschüttung Verlage</t>
  </si>
  <si>
    <t xml:space="preserve">Katalog-kosten PD</t>
  </si>
  <si>
    <t xml:space="preserve">Ergebnis TÆLLA kum.</t>
  </si>
  <si>
    <t xml:space="preserve">RL: neue Verlagstitel</t>
  </si>
  <si>
    <t xml:space="preserve">RL: davon zahlend</t>
  </si>
  <si>
    <t xml:space="preserve">RL: Umsatz Verlagstitel</t>
  </si>
  <si>
    <t xml:space="preserve">RL: Rechen-kosten + Betreuung</t>
  </si>
  <si>
    <t xml:space="preserve">RL: Deckungs-beitrag</t>
  </si>
  <si>
    <t xml:space="preserve">Ergebnis gesamt mit Variante</t>
  </si>
  <si>
    <t xml:space="preserve">Ergebnis gesamt kum.</t>
  </si>
  <si>
    <t xml:space="preserve">BE gesamt monatl.</t>
  </si>
  <si>
    <t xml:space="preserve">BE gesamt kum.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</si>
</sst>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00"/>
    <numFmt numFmtId="166" formatCode="0.0%;\(0.0%\);\-"/>
    <numFmt numFmtId="167" formatCode="#,##0&quot; €&quot;;\(#,##0&quot; €)&quot;;\-"/>
    <numFmt numFmtId="168" formatCode="#,##0.000&quot; $&quot;;\(#,##0.000&quot; $)&quot;;\-"/>
    <numFmt numFmtId="169" formatCode="#,##0;\(#,##0\);\-"/>
    <numFmt numFmtId="170" formatCode="#,##0.0;\(#,##0.0\);\-"/>
    <numFmt numFmtId="171" formatCode="#,##0.00&quot; €&quot;;\(#,##0.00&quot; €)&quot;;\-"/>
    <numFmt numFmtId="172" formatCode="@"/>
    <numFmt numFmtId="173" formatCode="0.00%"/>
    <numFmt numFmtId="174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2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3"/>
    <col collapsed="false" customWidth="true" hidden="false" outlineLevel="0" max="5" min="5" style="0" width="16"/>
    <col collapsed="false" customWidth="true" hidden="false" outlineLevel="0" max="6" min="6" style="0" width="70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60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2"/>
      <c r="H4" s="2"/>
      <c r="I4" s="2"/>
      <c r="J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</row>
    <row r="6" customFormat="false" ht="15" hidden="false" customHeight="false" outlineLevel="0" collapsed="false">
      <c r="A6" s="5" t="s">
        <v>8</v>
      </c>
      <c r="B6" s="6"/>
      <c r="C6" s="6"/>
      <c r="D6" s="6"/>
      <c r="E6" s="6"/>
      <c r="F6" s="6"/>
      <c r="G6" s="2"/>
      <c r="H6" s="2"/>
      <c r="I6" s="2"/>
      <c r="J6" s="2"/>
    </row>
    <row r="7" customFormat="false" ht="15" hidden="false" customHeight="false" outlineLevel="0" collapsed="false">
      <c r="A7" s="7" t="s">
        <v>9</v>
      </c>
      <c r="B7" s="8" t="n">
        <v>1.1193</v>
      </c>
      <c r="C7" s="2"/>
      <c r="D7" s="2"/>
      <c r="E7" s="7" t="s">
        <v>10</v>
      </c>
      <c r="F7" s="9" t="s">
        <v>11</v>
      </c>
      <c r="G7" s="2"/>
      <c r="H7" s="2"/>
      <c r="I7" s="2"/>
      <c r="J7" s="2"/>
    </row>
    <row r="8" customFormat="false" ht="15" hidden="false" customHeight="false" outlineLevel="0" collapsed="false">
      <c r="A8" s="7" t="s">
        <v>12</v>
      </c>
      <c r="B8" s="10" t="n">
        <v>0.19</v>
      </c>
      <c r="C8" s="2"/>
      <c r="D8" s="2"/>
      <c r="E8" s="7" t="s">
        <v>13</v>
      </c>
      <c r="F8" s="9" t="s">
        <v>14</v>
      </c>
      <c r="G8" s="2"/>
      <c r="H8" s="2"/>
      <c r="I8" s="2"/>
      <c r="J8" s="2"/>
    </row>
    <row r="9" customFormat="false" ht="26.85" hidden="false" customHeight="false" outlineLevel="0" collapsed="false">
      <c r="A9" s="7" t="s">
        <v>15</v>
      </c>
      <c r="B9" s="10" t="n">
        <v>0.07</v>
      </c>
      <c r="C9" s="2"/>
      <c r="D9" s="2"/>
      <c r="E9" s="7" t="s">
        <v>13</v>
      </c>
      <c r="F9" s="9" t="s">
        <v>16</v>
      </c>
      <c r="G9" s="2"/>
      <c r="H9" s="2"/>
      <c r="I9" s="2"/>
      <c r="J9" s="2"/>
    </row>
    <row r="10" customFormat="false" ht="15" hidden="false" customHeight="false" outlineLevel="0" collapsed="false">
      <c r="A10" s="7" t="s">
        <v>17</v>
      </c>
      <c r="B10" s="11" t="n">
        <v>60</v>
      </c>
      <c r="C10" s="2"/>
      <c r="D10" s="2"/>
      <c r="E10" s="7" t="s">
        <v>18</v>
      </c>
      <c r="F10" s="9" t="s">
        <v>19</v>
      </c>
      <c r="G10" s="2"/>
      <c r="H10" s="2"/>
      <c r="I10" s="2"/>
      <c r="J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5" t="s">
        <v>20</v>
      </c>
      <c r="B12" s="6"/>
      <c r="C12" s="6"/>
      <c r="D12" s="6"/>
      <c r="E12" s="6"/>
      <c r="F12" s="6"/>
      <c r="G12" s="2"/>
      <c r="H12" s="2"/>
      <c r="I12" s="2"/>
      <c r="J12" s="2"/>
    </row>
    <row r="13" customFormat="false" ht="15" hidden="false" customHeight="false" outlineLevel="0" collapsed="false">
      <c r="A13" s="7" t="s">
        <v>21</v>
      </c>
      <c r="B13" s="12" t="n">
        <v>0.09</v>
      </c>
      <c r="C13" s="2"/>
      <c r="D13" s="2"/>
      <c r="E13" s="7" t="s">
        <v>22</v>
      </c>
      <c r="F13" s="9" t="s">
        <v>23</v>
      </c>
      <c r="G13" s="2"/>
      <c r="H13" s="2"/>
      <c r="I13" s="2"/>
      <c r="J13" s="2"/>
    </row>
    <row r="14" customFormat="false" ht="15" hidden="false" customHeight="false" outlineLevel="0" collapsed="false">
      <c r="A14" s="7" t="s">
        <v>24</v>
      </c>
      <c r="B14" s="12" t="n">
        <v>0.94</v>
      </c>
      <c r="C14" s="2"/>
      <c r="D14" s="2"/>
      <c r="E14" s="7" t="s">
        <v>25</v>
      </c>
      <c r="F14" s="9" t="s">
        <v>26</v>
      </c>
      <c r="G14" s="2"/>
      <c r="H14" s="2"/>
      <c r="I14" s="2"/>
      <c r="J14" s="2"/>
    </row>
    <row r="15" customFormat="false" ht="15" hidden="false" customHeight="false" outlineLevel="0" collapsed="false">
      <c r="A15" s="7" t="s">
        <v>27</v>
      </c>
      <c r="B15" s="12" t="n">
        <v>1.62</v>
      </c>
      <c r="C15" s="2"/>
      <c r="D15" s="2"/>
      <c r="E15" s="7" t="s">
        <v>25</v>
      </c>
      <c r="F15" s="9" t="s">
        <v>28</v>
      </c>
      <c r="G15" s="2"/>
      <c r="H15" s="2"/>
      <c r="I15" s="2"/>
      <c r="J15" s="2"/>
    </row>
    <row r="16" customFormat="false" ht="15" hidden="false" customHeight="false" outlineLevel="0" collapsed="false">
      <c r="A16" s="7" t="s">
        <v>29</v>
      </c>
      <c r="B16" s="13" t="n">
        <f aca="false">0.034/(13.4/60)</f>
        <v>0.152238805970149</v>
      </c>
      <c r="C16" s="2"/>
      <c r="D16" s="2"/>
      <c r="E16" s="7" t="s">
        <v>25</v>
      </c>
      <c r="F16" s="9" t="s">
        <v>30</v>
      </c>
      <c r="G16" s="2"/>
      <c r="H16" s="2"/>
      <c r="I16" s="2"/>
      <c r="J16" s="2"/>
    </row>
    <row r="17" customFormat="false" ht="15" hidden="false" customHeight="false" outlineLevel="0" collapsed="false">
      <c r="A17" s="7" t="s">
        <v>31</v>
      </c>
      <c r="B17" s="12" t="n">
        <v>0.5</v>
      </c>
      <c r="C17" s="2"/>
      <c r="D17" s="2"/>
      <c r="E17" s="7" t="s">
        <v>32</v>
      </c>
      <c r="F17" s="9" t="s">
        <v>33</v>
      </c>
      <c r="G17" s="2"/>
      <c r="H17" s="2"/>
      <c r="I17" s="2"/>
      <c r="J17" s="2"/>
    </row>
    <row r="18" customFormat="false" ht="15" hidden="false" customHeight="false" outlineLevel="0" collapsed="false">
      <c r="A18" s="7" t="s">
        <v>34</v>
      </c>
      <c r="B18" s="12" t="n">
        <v>1</v>
      </c>
      <c r="C18" s="2"/>
      <c r="D18" s="2"/>
      <c r="E18" s="7" t="s">
        <v>32</v>
      </c>
      <c r="F18" s="9" t="s">
        <v>35</v>
      </c>
      <c r="G18" s="2"/>
      <c r="H18" s="2"/>
      <c r="I18" s="2"/>
      <c r="J18" s="2"/>
    </row>
    <row r="19" customFormat="false" ht="15" hidden="false" customHeight="false" outlineLevel="0" collapsed="false">
      <c r="A19" s="7" t="s">
        <v>36</v>
      </c>
      <c r="B19" s="12" t="n">
        <v>0.03</v>
      </c>
      <c r="C19" s="2"/>
      <c r="D19" s="2"/>
      <c r="E19" s="7" t="s">
        <v>32</v>
      </c>
      <c r="F19" s="9" t="s">
        <v>37</v>
      </c>
      <c r="G19" s="2"/>
      <c r="H19" s="2"/>
      <c r="I19" s="2"/>
      <c r="J19" s="2"/>
    </row>
    <row r="20" customFormat="false" ht="15" hidden="false" customHeight="false" outlineLevel="0" collapsed="false">
      <c r="A20" s="7" t="s">
        <v>38</v>
      </c>
      <c r="B20" s="13" t="n">
        <f aca="false">(0.0031+0.0021)/1.339</f>
        <v>0.00388349514563107</v>
      </c>
      <c r="C20" s="2"/>
      <c r="D20" s="2"/>
      <c r="E20" s="7" t="s">
        <v>22</v>
      </c>
      <c r="F20" s="9" t="s">
        <v>39</v>
      </c>
      <c r="G20" s="2"/>
      <c r="H20" s="2"/>
      <c r="I20" s="2"/>
      <c r="J20" s="2"/>
    </row>
    <row r="21" customFormat="false" ht="26.85" hidden="false" customHeight="false" outlineLevel="0" collapsed="false">
      <c r="A21" s="7" t="s">
        <v>40</v>
      </c>
      <c r="B21" s="14" t="n">
        <v>9300</v>
      </c>
      <c r="C21" s="2"/>
      <c r="D21" s="2"/>
      <c r="E21" s="7" t="s">
        <v>41</v>
      </c>
      <c r="F21" s="9" t="s">
        <v>42</v>
      </c>
      <c r="G21" s="2"/>
      <c r="H21" s="2"/>
      <c r="I21" s="2"/>
      <c r="J21" s="2"/>
    </row>
    <row r="22" customFormat="false" ht="15" hidden="false" customHeight="false" outlineLevel="0" collapsed="false">
      <c r="A22" s="7" t="s">
        <v>43</v>
      </c>
      <c r="B22" s="15" t="n">
        <f aca="false">18600000/187</f>
        <v>99465.2406417112</v>
      </c>
      <c r="C22" s="2"/>
      <c r="D22" s="2"/>
      <c r="E22" s="7" t="s">
        <v>44</v>
      </c>
      <c r="F22" s="9" t="s">
        <v>45</v>
      </c>
      <c r="G22" s="2"/>
      <c r="H22" s="2"/>
      <c r="I22" s="2"/>
      <c r="J22" s="2"/>
    </row>
    <row r="23" customFormat="false" ht="15" hidden="false" customHeight="false" outlineLevel="0" collapsed="false">
      <c r="A23" s="7" t="s">
        <v>46</v>
      </c>
      <c r="B23" s="14" t="n">
        <v>80000</v>
      </c>
      <c r="C23" s="2"/>
      <c r="D23" s="2"/>
      <c r="E23" s="7" t="s">
        <v>44</v>
      </c>
      <c r="F23" s="9" t="s">
        <v>47</v>
      </c>
      <c r="G23" s="2"/>
      <c r="H23" s="2"/>
      <c r="I23" s="2"/>
      <c r="J23" s="2"/>
    </row>
    <row r="24" customFormat="false" ht="15" hidden="false" customHeight="false" outlineLevel="0" collapsed="false">
      <c r="A24" s="7" t="s">
        <v>48</v>
      </c>
      <c r="B24" s="14" t="n">
        <v>250</v>
      </c>
      <c r="C24" s="2"/>
      <c r="D24" s="2"/>
      <c r="E24" s="7" t="s">
        <v>44</v>
      </c>
      <c r="F24" s="9" t="s">
        <v>49</v>
      </c>
      <c r="G24" s="2"/>
      <c r="H24" s="2"/>
      <c r="I24" s="2"/>
      <c r="J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5" t="s">
        <v>50</v>
      </c>
      <c r="B26" s="6"/>
      <c r="C26" s="6"/>
      <c r="D26" s="6"/>
      <c r="E26" s="6"/>
      <c r="F26" s="6"/>
      <c r="G26" s="2"/>
      <c r="H26" s="2"/>
      <c r="I26" s="2"/>
      <c r="J26" s="2"/>
    </row>
    <row r="27" customFormat="false" ht="15" hidden="false" customHeight="false" outlineLevel="0" collapsed="false">
      <c r="A27" s="7" t="s">
        <v>51</v>
      </c>
      <c r="B27" s="14" t="n">
        <v>1339</v>
      </c>
      <c r="C27" s="2"/>
      <c r="D27" s="2"/>
      <c r="E27" s="7" t="s">
        <v>44</v>
      </c>
      <c r="F27" s="9" t="s">
        <v>52</v>
      </c>
      <c r="G27" s="2"/>
      <c r="H27" s="2"/>
      <c r="I27" s="2"/>
      <c r="J27" s="2"/>
    </row>
    <row r="28" customFormat="false" ht="15" hidden="false" customHeight="false" outlineLevel="0" collapsed="false">
      <c r="A28" s="7" t="s">
        <v>53</v>
      </c>
      <c r="B28" s="12" t="n">
        <v>0.0685</v>
      </c>
      <c r="C28" s="2"/>
      <c r="D28" s="2"/>
      <c r="E28" s="7" t="s">
        <v>54</v>
      </c>
      <c r="F28" s="9" t="s">
        <v>52</v>
      </c>
      <c r="G28" s="2"/>
      <c r="H28" s="2"/>
      <c r="I28" s="2"/>
      <c r="J28" s="2"/>
    </row>
    <row r="29" customFormat="false" ht="15" hidden="false" customHeight="false" outlineLevel="0" collapsed="false">
      <c r="A29" s="7" t="s">
        <v>55</v>
      </c>
      <c r="B29" s="12" t="n">
        <v>0.1574</v>
      </c>
      <c r="C29" s="2"/>
      <c r="D29" s="2"/>
      <c r="E29" s="7" t="s">
        <v>54</v>
      </c>
      <c r="F29" s="9" t="s">
        <v>52</v>
      </c>
      <c r="G29" s="2"/>
      <c r="H29" s="2"/>
      <c r="I29" s="2"/>
      <c r="J29" s="2"/>
    </row>
    <row r="30" customFormat="false" ht="15" hidden="false" customHeight="false" outlineLevel="0" collapsed="false">
      <c r="A30" s="7" t="s">
        <v>56</v>
      </c>
      <c r="B30" s="16" t="n">
        <v>13.4</v>
      </c>
      <c r="C30" s="2"/>
      <c r="D30" s="2"/>
      <c r="E30" s="7" t="s">
        <v>57</v>
      </c>
      <c r="F30" s="9" t="s">
        <v>58</v>
      </c>
      <c r="G30" s="2"/>
      <c r="H30" s="2"/>
      <c r="I30" s="2"/>
      <c r="J30" s="2"/>
    </row>
    <row r="31" customFormat="false" ht="15" hidden="false" customHeight="false" outlineLevel="0" collapsed="false">
      <c r="A31" s="7" t="s">
        <v>59</v>
      </c>
      <c r="B31" s="13" t="n">
        <f aca="false">$B$28/$B$27*1000</f>
        <v>0.0511575802837939</v>
      </c>
      <c r="C31" s="2"/>
      <c r="D31" s="2"/>
      <c r="E31" s="7" t="s">
        <v>60</v>
      </c>
      <c r="F31" s="9" t="s">
        <v>61</v>
      </c>
      <c r="G31" s="2"/>
      <c r="H31" s="2"/>
      <c r="I31" s="2"/>
      <c r="J31" s="2"/>
    </row>
    <row r="32" customFormat="false" ht="15" hidden="false" customHeight="false" outlineLevel="0" collapsed="false">
      <c r="A32" s="7" t="s">
        <v>62</v>
      </c>
      <c r="B32" s="13" t="n">
        <f aca="false">$B$29/($B$30/60)</f>
        <v>0.704776119402985</v>
      </c>
      <c r="C32" s="2"/>
      <c r="D32" s="2"/>
      <c r="E32" s="7" t="s">
        <v>25</v>
      </c>
      <c r="F32" s="9" t="s">
        <v>63</v>
      </c>
      <c r="G32" s="2"/>
      <c r="H32" s="2"/>
      <c r="I32" s="2"/>
      <c r="J32" s="2"/>
    </row>
    <row r="33" customFormat="false" ht="15" hidden="false" customHeight="false" outlineLevel="0" collapsed="false">
      <c r="A33" s="7" t="s">
        <v>64</v>
      </c>
      <c r="B33" s="15" t="n">
        <f aca="false">$B$27/(6.7/60)*0.73</f>
        <v>8753.46268656716</v>
      </c>
      <c r="C33" s="2"/>
      <c r="D33" s="2"/>
      <c r="E33" s="7" t="s">
        <v>41</v>
      </c>
      <c r="F33" s="9" t="s">
        <v>65</v>
      </c>
      <c r="G33" s="2"/>
      <c r="H33" s="2"/>
      <c r="I33" s="2"/>
      <c r="J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customFormat="false" ht="15" hidden="false" customHeight="false" outlineLevel="0" collapsed="false">
      <c r="A35" s="5" t="s">
        <v>66</v>
      </c>
      <c r="B35" s="6"/>
      <c r="C35" s="6"/>
      <c r="D35" s="6"/>
      <c r="E35" s="6"/>
      <c r="F35" s="6"/>
      <c r="G35" s="2"/>
      <c r="H35" s="2"/>
      <c r="I35" s="2"/>
      <c r="J35" s="2"/>
    </row>
    <row r="36" customFormat="false" ht="15" hidden="false" customHeight="false" outlineLevel="0" collapsed="false">
      <c r="A36" s="7" t="s">
        <v>67</v>
      </c>
      <c r="B36" s="17" t="n">
        <f aca="false">$B$22/$B$21</f>
        <v>10.6951871657754</v>
      </c>
      <c r="C36" s="2"/>
      <c r="D36" s="2"/>
      <c r="E36" s="7" t="s">
        <v>68</v>
      </c>
      <c r="F36" s="9" t="s">
        <v>69</v>
      </c>
      <c r="G36" s="2"/>
      <c r="H36" s="2"/>
      <c r="I36" s="2"/>
      <c r="J36" s="2"/>
    </row>
    <row r="37" customFormat="false" ht="15" hidden="false" customHeight="false" outlineLevel="0" collapsed="false">
      <c r="A37" s="7" t="s">
        <v>70</v>
      </c>
      <c r="B37" s="18" t="n">
        <f aca="false">$B$22/1000*$B$13/$B$7</f>
        <v>7.99774113977844</v>
      </c>
      <c r="C37" s="2"/>
      <c r="D37" s="2"/>
      <c r="E37" s="7" t="s">
        <v>71</v>
      </c>
      <c r="F37" s="9" t="s">
        <v>69</v>
      </c>
      <c r="G37" s="2"/>
      <c r="H37" s="2"/>
      <c r="I37" s="2"/>
      <c r="J37" s="2"/>
    </row>
    <row r="38" customFormat="false" ht="15" hidden="false" customHeight="false" outlineLevel="0" collapsed="false">
      <c r="A38" s="7" t="s">
        <v>72</v>
      </c>
      <c r="B38" s="18" t="n">
        <f aca="false">2*$B$36*$B$14/$B$7</f>
        <v>17.9638630140782</v>
      </c>
      <c r="C38" s="2"/>
      <c r="D38" s="2"/>
      <c r="E38" s="7" t="s">
        <v>71</v>
      </c>
      <c r="F38" s="9" t="s">
        <v>69</v>
      </c>
      <c r="G38" s="2"/>
      <c r="H38" s="2"/>
      <c r="I38" s="2"/>
      <c r="J38" s="2"/>
    </row>
    <row r="39" customFormat="false" ht="15" hidden="false" customHeight="false" outlineLevel="0" collapsed="false">
      <c r="A39" s="7" t="s">
        <v>73</v>
      </c>
      <c r="B39" s="18" t="n">
        <f aca="false">2*$B$36*$B$16/$B$7</f>
        <v>2.90935857007936</v>
      </c>
      <c r="C39" s="2"/>
      <c r="D39" s="2"/>
      <c r="E39" s="7" t="s">
        <v>71</v>
      </c>
      <c r="F39" s="9" t="s">
        <v>69</v>
      </c>
      <c r="G39" s="2"/>
      <c r="H39" s="2"/>
      <c r="I39" s="2"/>
      <c r="J39" s="2"/>
    </row>
    <row r="40" customFormat="false" ht="15" hidden="false" customHeight="false" outlineLevel="0" collapsed="false">
      <c r="A40" s="7" t="s">
        <v>74</v>
      </c>
      <c r="B40" s="18" t="n">
        <f aca="false">2*$B$36*$B$15/$B$7</f>
        <v>30.9589979604327</v>
      </c>
      <c r="C40" s="2"/>
      <c r="D40" s="2"/>
      <c r="E40" s="7" t="s">
        <v>71</v>
      </c>
      <c r="F40" s="9" t="s">
        <v>69</v>
      </c>
      <c r="G40" s="2"/>
      <c r="H40" s="2"/>
      <c r="I40" s="2"/>
      <c r="J40" s="2"/>
    </row>
    <row r="41" customFormat="false" ht="15" hidden="false" customHeight="false" outlineLevel="0" collapsed="false">
      <c r="A41" s="7" t="s">
        <v>75</v>
      </c>
      <c r="B41" s="18" t="n">
        <f aca="false">($B$17+$B$18+$B$19)/$B$7</f>
        <v>1.36692575716966</v>
      </c>
      <c r="C41" s="2"/>
      <c r="D41" s="2"/>
      <c r="E41" s="7" t="s">
        <v>71</v>
      </c>
      <c r="F41" s="9" t="s">
        <v>69</v>
      </c>
      <c r="G41" s="2"/>
      <c r="H41" s="2"/>
      <c r="I41" s="2"/>
      <c r="J41" s="2"/>
    </row>
    <row r="42" customFormat="false" ht="15" hidden="false" customHeight="false" outlineLevel="0" collapsed="false">
      <c r="A42" s="7" t="s">
        <v>76</v>
      </c>
      <c r="B42" s="18" t="n">
        <f aca="false">$B$37+$B$38+$B$39</f>
        <v>28.870962723936</v>
      </c>
      <c r="C42" s="2"/>
      <c r="D42" s="2"/>
      <c r="E42" s="7" t="s">
        <v>71</v>
      </c>
      <c r="F42" s="9" t="s">
        <v>77</v>
      </c>
      <c r="G42" s="2"/>
      <c r="H42" s="2"/>
      <c r="I42" s="2"/>
      <c r="J42" s="2"/>
    </row>
    <row r="43" customFormat="false" ht="15" hidden="false" customHeight="false" outlineLevel="0" collapsed="false">
      <c r="A43" s="7" t="s">
        <v>78</v>
      </c>
      <c r="B43" s="18" t="n">
        <f aca="false">$B$40</f>
        <v>30.9589979604327</v>
      </c>
      <c r="C43" s="2"/>
      <c r="D43" s="2"/>
      <c r="E43" s="7" t="s">
        <v>71</v>
      </c>
      <c r="F43" s="9" t="s">
        <v>79</v>
      </c>
      <c r="G43" s="2"/>
      <c r="H43" s="2"/>
      <c r="I43" s="2"/>
      <c r="J43" s="2"/>
    </row>
    <row r="44" customFormat="false" ht="15" hidden="false" customHeight="false" outlineLevel="0" collapsed="false">
      <c r="A44" s="7" t="s">
        <v>80</v>
      </c>
      <c r="B44" s="18" t="n">
        <f aca="false">$B$40+$B$41</f>
        <v>32.3259237176023</v>
      </c>
      <c r="C44" s="2"/>
      <c r="D44" s="2"/>
      <c r="E44" s="7" t="s">
        <v>71</v>
      </c>
      <c r="F44" s="9" t="s">
        <v>81</v>
      </c>
      <c r="G44" s="2"/>
      <c r="H44" s="2"/>
      <c r="I44" s="2"/>
      <c r="J44" s="2"/>
    </row>
    <row r="45" customFormat="false" ht="15" hidden="false" customHeight="false" outlineLevel="0" collapsed="false">
      <c r="A45" s="7" t="s">
        <v>82</v>
      </c>
      <c r="B45" s="18" t="n">
        <f aca="false">$B$23/1000*$B$20/$B$7</f>
        <v>0.277565989145435</v>
      </c>
      <c r="C45" s="2"/>
      <c r="D45" s="2"/>
      <c r="E45" s="7" t="s">
        <v>83</v>
      </c>
      <c r="F45" s="9" t="s">
        <v>69</v>
      </c>
      <c r="G45" s="2"/>
      <c r="H45" s="2"/>
      <c r="I45" s="2"/>
      <c r="J45" s="2"/>
    </row>
    <row r="46" customFormat="false" ht="15" hidden="false" customHeight="false" outlineLevel="0" collapsed="false">
      <c r="A46" s="7" t="s">
        <v>84</v>
      </c>
      <c r="B46" s="17" t="n">
        <f aca="false">$B$23/$B$21</f>
        <v>8.60215053763441</v>
      </c>
      <c r="C46" s="2"/>
      <c r="D46" s="2"/>
      <c r="E46" s="7" t="s">
        <v>68</v>
      </c>
      <c r="F46" s="9" t="s">
        <v>69</v>
      </c>
      <c r="G46" s="2"/>
      <c r="H46" s="2"/>
      <c r="I46" s="2"/>
      <c r="J46" s="2"/>
    </row>
    <row r="47" customFormat="false" ht="15" hidden="false" customHeight="false" outlineLevel="0" collapsed="false">
      <c r="A47" s="7" t="s">
        <v>85</v>
      </c>
      <c r="B47" s="18" t="n">
        <f aca="false">$B$45+$B$46*($B$14+$B$16)/$B$7</f>
        <v>8.67174327137655</v>
      </c>
      <c r="C47" s="2"/>
      <c r="D47" s="2"/>
      <c r="E47" s="7" t="s">
        <v>83</v>
      </c>
      <c r="F47" s="9" t="s">
        <v>69</v>
      </c>
      <c r="G47" s="2"/>
      <c r="H47" s="2"/>
      <c r="I47" s="2"/>
      <c r="J47" s="2"/>
    </row>
    <row r="48" customFormat="false" ht="15" hidden="false" customHeight="false" outlineLevel="0" collapsed="false">
      <c r="A48" s="7" t="s">
        <v>86</v>
      </c>
      <c r="B48" s="18" t="n">
        <f aca="false">$B$45+$B$46*$B$16/$B$7</f>
        <v>1.44756610227412</v>
      </c>
      <c r="C48" s="2"/>
      <c r="D48" s="2"/>
      <c r="E48" s="7" t="s">
        <v>83</v>
      </c>
      <c r="F48" s="9" t="s">
        <v>87</v>
      </c>
      <c r="G48" s="2"/>
      <c r="H48" s="2"/>
      <c r="I48" s="2"/>
      <c r="J48" s="2"/>
    </row>
    <row r="49" customFormat="false" ht="15" hidden="false" customHeight="false" outlineLevel="0" collapsed="false">
      <c r="A49" s="7" t="s">
        <v>88</v>
      </c>
      <c r="B49" s="18" t="n">
        <f aca="false">($B$15+$B$16)/$B$7</f>
        <v>1.58334566780144</v>
      </c>
      <c r="C49" s="2"/>
      <c r="D49" s="2"/>
      <c r="E49" s="7" t="s">
        <v>89</v>
      </c>
      <c r="F49" s="9" t="s">
        <v>69</v>
      </c>
      <c r="G49" s="2"/>
      <c r="H49" s="2"/>
      <c r="I49" s="2"/>
      <c r="J49" s="2"/>
    </row>
    <row r="50" customFormat="false" ht="15" hidden="false" customHeight="false" outlineLevel="0" collapsed="false">
      <c r="A50" s="7" t="s">
        <v>90</v>
      </c>
      <c r="B50" s="18" t="n">
        <f aca="false">$B$24/1000*$B$13/$B$7</f>
        <v>0.0201018493701421</v>
      </c>
      <c r="C50" s="2"/>
      <c r="D50" s="2"/>
      <c r="E50" s="7" t="s">
        <v>91</v>
      </c>
      <c r="F50" s="9" t="s">
        <v>69</v>
      </c>
      <c r="G50" s="2"/>
      <c r="H50" s="2"/>
      <c r="I50" s="2"/>
      <c r="J50" s="2"/>
    </row>
    <row r="51" customFormat="false" ht="15" hidden="false" customHeight="false" outlineLevel="0" collapsed="false">
      <c r="A51" s="7" t="s">
        <v>92</v>
      </c>
      <c r="B51" s="18" t="n">
        <f aca="false">$B$23/1000*$B$13/$B$7+$B$46*($B$14+$B$16)/$B$7+$B$41</f>
        <v>16.1936948378462</v>
      </c>
      <c r="C51" s="2"/>
      <c r="D51" s="2"/>
      <c r="E51" s="7" t="s">
        <v>93</v>
      </c>
      <c r="F51" s="9" t="s">
        <v>69</v>
      </c>
      <c r="G51" s="2"/>
      <c r="H51" s="2"/>
      <c r="I51" s="2"/>
      <c r="J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customFormat="false" ht="15" hidden="false" customHeight="false" outlineLevel="0" collapsed="false">
      <c r="A53" s="5" t="s">
        <v>94</v>
      </c>
      <c r="B53" s="6"/>
      <c r="C53" s="6"/>
      <c r="D53" s="6"/>
      <c r="E53" s="6"/>
      <c r="F53" s="6"/>
      <c r="G53" s="2"/>
      <c r="H53" s="2"/>
      <c r="I53" s="2"/>
      <c r="J53" s="2"/>
    </row>
    <row r="54" customFormat="false" ht="15" hidden="false" customHeight="false" outlineLevel="0" collapsed="false">
      <c r="A54" s="7" t="s">
        <v>95</v>
      </c>
      <c r="B54" s="19" t="n">
        <v>4</v>
      </c>
      <c r="C54" s="19" t="n">
        <v>3</v>
      </c>
      <c r="D54" s="19" t="n">
        <v>2</v>
      </c>
      <c r="E54" s="7" t="s">
        <v>96</v>
      </c>
      <c r="F54" s="9" t="s">
        <v>97</v>
      </c>
      <c r="G54" s="2"/>
      <c r="H54" s="2"/>
      <c r="I54" s="2"/>
      <c r="J54" s="2"/>
    </row>
    <row r="55" customFormat="false" ht="15" hidden="false" customHeight="false" outlineLevel="0" collapsed="false">
      <c r="A55" s="7" t="s">
        <v>98</v>
      </c>
      <c r="B55" s="19" t="n">
        <v>200</v>
      </c>
      <c r="C55" s="19" t="n">
        <v>500</v>
      </c>
      <c r="D55" s="19" t="n">
        <v>1000</v>
      </c>
      <c r="E55" s="7" t="s">
        <v>99</v>
      </c>
      <c r="F55" s="9" t="s">
        <v>100</v>
      </c>
      <c r="G55" s="2"/>
      <c r="H55" s="2"/>
      <c r="I55" s="2"/>
      <c r="J55" s="2"/>
    </row>
    <row r="56" customFormat="false" ht="15" hidden="false" customHeight="false" outlineLevel="0" collapsed="false">
      <c r="A56" s="7" t="s">
        <v>101</v>
      </c>
      <c r="B56" s="20" t="n">
        <v>0.08</v>
      </c>
      <c r="C56" s="20" t="n">
        <v>0.15</v>
      </c>
      <c r="D56" s="20" t="n">
        <v>0.22</v>
      </c>
      <c r="E56" s="7" t="s">
        <v>13</v>
      </c>
      <c r="F56" s="9" t="s">
        <v>100</v>
      </c>
      <c r="G56" s="2"/>
      <c r="H56" s="2"/>
      <c r="I56" s="2"/>
      <c r="J56" s="2"/>
    </row>
    <row r="57" customFormat="false" ht="39.55" hidden="false" customHeight="false" outlineLevel="0" collapsed="false">
      <c r="A57" s="7" t="s">
        <v>102</v>
      </c>
      <c r="B57" s="19" t="n">
        <v>50000</v>
      </c>
      <c r="C57" s="19" t="n">
        <v>200000</v>
      </c>
      <c r="D57" s="19" t="n">
        <v>500000</v>
      </c>
      <c r="E57" s="7" t="s">
        <v>99</v>
      </c>
      <c r="F57" s="9" t="s">
        <v>103</v>
      </c>
      <c r="G57" s="2"/>
      <c r="H57" s="2"/>
      <c r="I57" s="2"/>
      <c r="J57" s="2"/>
    </row>
    <row r="58" customFormat="false" ht="15" hidden="false" customHeight="false" outlineLevel="0" collapsed="false">
      <c r="A58" s="7" t="s">
        <v>104</v>
      </c>
      <c r="B58" s="20" t="n">
        <v>0.005</v>
      </c>
      <c r="C58" s="20" t="n">
        <v>0.01</v>
      </c>
      <c r="D58" s="20" t="n">
        <v>0.015</v>
      </c>
      <c r="E58" s="7" t="s">
        <v>13</v>
      </c>
      <c r="F58" s="9" t="s">
        <v>100</v>
      </c>
      <c r="G58" s="2"/>
      <c r="H58" s="2"/>
      <c r="I58" s="2"/>
      <c r="J58" s="2"/>
    </row>
    <row r="59" customFormat="false" ht="15" hidden="false" customHeight="false" outlineLevel="0" collapsed="false">
      <c r="A59" s="7" t="s">
        <v>105</v>
      </c>
      <c r="B59" s="20" t="n">
        <v>0.08</v>
      </c>
      <c r="C59" s="20" t="n">
        <v>0.06</v>
      </c>
      <c r="D59" s="20" t="n">
        <v>0.04</v>
      </c>
      <c r="E59" s="7" t="s">
        <v>13</v>
      </c>
      <c r="F59" s="9" t="s">
        <v>100</v>
      </c>
      <c r="G59" s="2"/>
      <c r="H59" s="2"/>
      <c r="I59" s="2"/>
      <c r="J59" s="2"/>
    </row>
    <row r="60" customFormat="false" ht="15" hidden="false" customHeight="false" outlineLevel="0" collapsed="false">
      <c r="A60" s="7" t="s">
        <v>106</v>
      </c>
      <c r="B60" s="20" t="n">
        <v>0.3</v>
      </c>
      <c r="C60" s="20" t="n">
        <v>0.4</v>
      </c>
      <c r="D60" s="20" t="n">
        <v>0.5</v>
      </c>
      <c r="E60" s="7" t="s">
        <v>13</v>
      </c>
      <c r="F60" s="9" t="s">
        <v>100</v>
      </c>
      <c r="G60" s="2"/>
      <c r="H60" s="2"/>
      <c r="I60" s="2"/>
      <c r="J60" s="2"/>
    </row>
    <row r="61" customFormat="false" ht="15" hidden="false" customHeight="false" outlineLevel="0" collapsed="false">
      <c r="A61" s="7" t="s">
        <v>107</v>
      </c>
      <c r="B61" s="20" t="n">
        <v>0.7</v>
      </c>
      <c r="C61" s="20" t="n">
        <v>0.6</v>
      </c>
      <c r="D61" s="20" t="n">
        <v>0.5</v>
      </c>
      <c r="E61" s="7" t="s">
        <v>13</v>
      </c>
      <c r="F61" s="9" t="s">
        <v>100</v>
      </c>
      <c r="G61" s="2"/>
      <c r="H61" s="2"/>
      <c r="I61" s="2"/>
      <c r="J61" s="2"/>
    </row>
    <row r="62" customFormat="false" ht="15" hidden="false" customHeight="false" outlineLevel="0" collapsed="false">
      <c r="A62" s="7" t="s">
        <v>108</v>
      </c>
      <c r="B62" s="20" t="n">
        <v>0.6</v>
      </c>
      <c r="C62" s="20" t="n">
        <v>0.5</v>
      </c>
      <c r="D62" s="20" t="n">
        <v>0.4</v>
      </c>
      <c r="E62" s="7" t="s">
        <v>13</v>
      </c>
      <c r="F62" s="9" t="s">
        <v>109</v>
      </c>
      <c r="G62" s="2"/>
      <c r="H62" s="2"/>
      <c r="I62" s="2"/>
      <c r="J62" s="2"/>
    </row>
    <row r="63" customFormat="false" ht="15" hidden="false" customHeight="false" outlineLevel="0" collapsed="false">
      <c r="A63" s="7" t="s">
        <v>110</v>
      </c>
      <c r="B63" s="21" t="n">
        <v>0.5</v>
      </c>
      <c r="C63" s="21" t="n">
        <v>2</v>
      </c>
      <c r="D63" s="21" t="n">
        <v>5</v>
      </c>
      <c r="E63" s="7" t="s">
        <v>111</v>
      </c>
      <c r="F63" s="9" t="s">
        <v>100</v>
      </c>
      <c r="G63" s="2"/>
      <c r="H63" s="2"/>
      <c r="I63" s="2"/>
      <c r="J63" s="2"/>
    </row>
    <row r="64" customFormat="false" ht="15" hidden="false" customHeight="false" outlineLevel="0" collapsed="false">
      <c r="A64" s="7" t="s">
        <v>112</v>
      </c>
      <c r="B64" s="20" t="n">
        <v>0.3</v>
      </c>
      <c r="C64" s="20" t="n">
        <v>0.4</v>
      </c>
      <c r="D64" s="20" t="n">
        <v>0.5</v>
      </c>
      <c r="E64" s="7" t="s">
        <v>13</v>
      </c>
      <c r="F64" s="9" t="s">
        <v>100</v>
      </c>
      <c r="G64" s="2"/>
      <c r="H64" s="2"/>
      <c r="I64" s="2"/>
      <c r="J64" s="2"/>
    </row>
    <row r="65" customFormat="false" ht="15" hidden="false" customHeight="false" outlineLevel="0" collapsed="false">
      <c r="A65" s="7" t="s">
        <v>113</v>
      </c>
      <c r="B65" s="21" t="n">
        <v>0</v>
      </c>
      <c r="C65" s="21" t="n">
        <v>0.5</v>
      </c>
      <c r="D65" s="21" t="n">
        <v>1</v>
      </c>
      <c r="E65" s="7" t="s">
        <v>111</v>
      </c>
      <c r="F65" s="9" t="s">
        <v>100</v>
      </c>
      <c r="G65" s="2"/>
      <c r="H65" s="2"/>
      <c r="I65" s="2"/>
      <c r="J65" s="2"/>
    </row>
    <row r="66" customFormat="false" ht="15" hidden="false" customHeight="false" outlineLevel="0" collapsed="false">
      <c r="A66" s="7" t="s">
        <v>114</v>
      </c>
      <c r="B66" s="21" t="n">
        <v>4</v>
      </c>
      <c r="C66" s="21" t="n">
        <v>8</v>
      </c>
      <c r="D66" s="21" t="n">
        <v>12</v>
      </c>
      <c r="E66" s="7" t="s">
        <v>115</v>
      </c>
      <c r="F66" s="9" t="s">
        <v>116</v>
      </c>
      <c r="G66" s="2"/>
      <c r="H66" s="2"/>
      <c r="I66" s="2"/>
      <c r="J66" s="2"/>
    </row>
    <row r="67" customFormat="false" ht="15" hidden="false" customHeight="false" outlineLevel="0" collapsed="false">
      <c r="A67" s="7" t="s">
        <v>117</v>
      </c>
      <c r="B67" s="22" t="n">
        <v>5.99</v>
      </c>
      <c r="C67" s="2"/>
      <c r="D67" s="2"/>
      <c r="E67" s="7" t="s">
        <v>118</v>
      </c>
      <c r="F67" s="9" t="s">
        <v>119</v>
      </c>
      <c r="G67" s="2"/>
      <c r="H67" s="2"/>
      <c r="I67" s="2"/>
      <c r="J67" s="2"/>
    </row>
    <row r="68" customFormat="false" ht="15" hidden="false" customHeight="false" outlineLevel="0" collapsed="false">
      <c r="A68" s="7" t="s">
        <v>120</v>
      </c>
      <c r="B68" s="22" t="n">
        <v>59.99</v>
      </c>
      <c r="C68" s="2"/>
      <c r="D68" s="2"/>
      <c r="E68" s="7" t="s">
        <v>118</v>
      </c>
      <c r="F68" s="9" t="s">
        <v>121</v>
      </c>
      <c r="G68" s="2"/>
      <c r="H68" s="2"/>
      <c r="I68" s="2"/>
      <c r="J68" s="2"/>
    </row>
    <row r="69" customFormat="false" ht="15" hidden="false" customHeight="false" outlineLevel="0" collapsed="false">
      <c r="A69" s="7" t="s">
        <v>122</v>
      </c>
      <c r="B69" s="22" t="n">
        <v>7.99</v>
      </c>
      <c r="C69" s="2"/>
      <c r="D69" s="2"/>
      <c r="E69" s="7" t="s">
        <v>118</v>
      </c>
      <c r="F69" s="9" t="s">
        <v>121</v>
      </c>
      <c r="G69" s="2"/>
      <c r="H69" s="2"/>
      <c r="I69" s="2"/>
      <c r="J69" s="2"/>
    </row>
    <row r="70" customFormat="false" ht="15" hidden="false" customHeight="false" outlineLevel="0" collapsed="false">
      <c r="A70" s="7" t="s">
        <v>123</v>
      </c>
      <c r="B70" s="22" t="n">
        <v>79.99</v>
      </c>
      <c r="C70" s="2"/>
      <c r="D70" s="2"/>
      <c r="E70" s="7" t="s">
        <v>118</v>
      </c>
      <c r="F70" s="9" t="s">
        <v>121</v>
      </c>
      <c r="G70" s="2"/>
      <c r="H70" s="2"/>
      <c r="I70" s="2"/>
      <c r="J70" s="2"/>
    </row>
    <row r="71" customFormat="false" ht="15" hidden="false" customHeight="false" outlineLevel="0" collapsed="false">
      <c r="A71" s="7" t="s">
        <v>124</v>
      </c>
      <c r="B71" s="22" t="n">
        <v>59.99</v>
      </c>
      <c r="C71" s="2"/>
      <c r="D71" s="2"/>
      <c r="E71" s="7" t="s">
        <v>118</v>
      </c>
      <c r="F71" s="9" t="s">
        <v>121</v>
      </c>
      <c r="G71" s="2"/>
      <c r="H71" s="2"/>
      <c r="I71" s="2"/>
      <c r="J71" s="2"/>
    </row>
    <row r="72" customFormat="false" ht="15" hidden="false" customHeight="false" outlineLevel="0" collapsed="false">
      <c r="A72" s="7" t="s">
        <v>125</v>
      </c>
      <c r="B72" s="22" t="n">
        <v>74.99</v>
      </c>
      <c r="C72" s="2"/>
      <c r="D72" s="2"/>
      <c r="E72" s="7" t="s">
        <v>118</v>
      </c>
      <c r="F72" s="9" t="s">
        <v>121</v>
      </c>
      <c r="G72" s="2"/>
      <c r="H72" s="2"/>
      <c r="I72" s="2"/>
      <c r="J72" s="2"/>
    </row>
    <row r="73" customFormat="false" ht="15" hidden="false" customHeight="false" outlineLevel="0" collapsed="false">
      <c r="A73" s="7" t="s">
        <v>126</v>
      </c>
      <c r="B73" s="22" t="n">
        <v>149</v>
      </c>
      <c r="C73" s="2"/>
      <c r="D73" s="2"/>
      <c r="E73" s="7" t="s">
        <v>118</v>
      </c>
      <c r="F73" s="9" t="s">
        <v>127</v>
      </c>
      <c r="G73" s="2"/>
      <c r="H73" s="2"/>
      <c r="I73" s="2"/>
      <c r="J73" s="2"/>
    </row>
    <row r="74" customFormat="false" ht="26.85" hidden="false" customHeight="false" outlineLevel="0" collapsed="false">
      <c r="A74" s="7" t="s">
        <v>128</v>
      </c>
      <c r="B74" s="10" t="n">
        <v>0.15</v>
      </c>
      <c r="C74" s="2"/>
      <c r="D74" s="2"/>
      <c r="E74" s="7" t="s">
        <v>13</v>
      </c>
      <c r="F74" s="9" t="s">
        <v>129</v>
      </c>
      <c r="G74" s="2"/>
      <c r="H74" s="2"/>
      <c r="I74" s="2"/>
      <c r="J74" s="2"/>
    </row>
    <row r="75" customFormat="false" ht="15" hidden="false" customHeight="false" outlineLevel="0" collapsed="false">
      <c r="A75" s="7" t="s">
        <v>130</v>
      </c>
      <c r="B75" s="10" t="n">
        <v>0.015</v>
      </c>
      <c r="C75" s="2"/>
      <c r="D75" s="2"/>
      <c r="E75" s="7" t="s">
        <v>13</v>
      </c>
      <c r="F75" s="9" t="s">
        <v>131</v>
      </c>
      <c r="G75" s="2"/>
      <c r="H75" s="2"/>
      <c r="I75" s="2"/>
      <c r="J75" s="2"/>
    </row>
    <row r="76" customFormat="false" ht="15" hidden="false" customHeight="false" outlineLevel="0" collapsed="false">
      <c r="A76" s="7" t="s">
        <v>132</v>
      </c>
      <c r="B76" s="22" t="n">
        <v>0.25</v>
      </c>
      <c r="C76" s="2"/>
      <c r="D76" s="2"/>
      <c r="E76" s="7" t="s">
        <v>118</v>
      </c>
      <c r="F76" s="9" t="s">
        <v>133</v>
      </c>
      <c r="G76" s="2"/>
      <c r="H76" s="2"/>
      <c r="I76" s="2"/>
      <c r="J76" s="2"/>
    </row>
    <row r="77" customFormat="false" ht="15" hidden="false" customHeight="false" outlineLevel="0" collapsed="false">
      <c r="A77" s="7" t="s">
        <v>134</v>
      </c>
      <c r="B77" s="22" t="n">
        <v>0.01</v>
      </c>
      <c r="C77" s="2"/>
      <c r="D77" s="2"/>
      <c r="E77" s="7" t="s">
        <v>135</v>
      </c>
      <c r="F77" s="9" t="s">
        <v>100</v>
      </c>
      <c r="G77" s="2"/>
      <c r="H77" s="2"/>
      <c r="I77" s="2"/>
      <c r="J77" s="2"/>
    </row>
    <row r="78" customFormat="false" ht="15" hidden="false" customHeight="false" outlineLevel="0" collapsed="false">
      <c r="A78" s="7" t="s">
        <v>136</v>
      </c>
      <c r="B78" s="18" t="n">
        <f aca="false">B61*$B$67+(1-B61)*$B$68/12</f>
        <v>5.69275</v>
      </c>
      <c r="C78" s="18" t="n">
        <f aca="false">C61*$B$67+(1-C61)*$B$68/12</f>
        <v>5.59366666666667</v>
      </c>
      <c r="D78" s="18" t="n">
        <f aca="false">D61*$B$67+(1-D61)*$B$68/12</f>
        <v>5.49458333333333</v>
      </c>
      <c r="E78" s="7" t="s">
        <v>118</v>
      </c>
      <c r="F78" s="9" t="s">
        <v>69</v>
      </c>
      <c r="G78" s="2"/>
      <c r="H78" s="2"/>
      <c r="I78" s="2"/>
      <c r="J78" s="2"/>
    </row>
    <row r="79" customFormat="false" ht="15" hidden="false" customHeight="false" outlineLevel="0" collapsed="false">
      <c r="A79" s="7" t="s">
        <v>137</v>
      </c>
      <c r="B79" s="18" t="n">
        <f aca="false">B61*$B$69+(1-B61)*$B$70/12</f>
        <v>7.59275</v>
      </c>
      <c r="C79" s="18" t="n">
        <f aca="false">C61*$B$69+(1-C61)*$B$70/12</f>
        <v>7.46033333333333</v>
      </c>
      <c r="D79" s="18" t="n">
        <f aca="false">D61*$B$69+(1-D61)*$B$70/12</f>
        <v>7.32791666666667</v>
      </c>
      <c r="E79" s="7" t="s">
        <v>118</v>
      </c>
      <c r="F79" s="9" t="s">
        <v>69</v>
      </c>
      <c r="G79" s="2"/>
      <c r="H79" s="2"/>
      <c r="I79" s="2"/>
      <c r="J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customFormat="false" ht="15" hidden="false" customHeight="false" outlineLevel="0" collapsed="false">
      <c r="A81" s="5" t="s">
        <v>138</v>
      </c>
      <c r="B81" s="6"/>
      <c r="C81" s="6"/>
      <c r="D81" s="6"/>
      <c r="E81" s="6"/>
      <c r="F81" s="6"/>
      <c r="G81" s="2"/>
      <c r="H81" s="2"/>
      <c r="I81" s="2"/>
      <c r="J81" s="2"/>
    </row>
    <row r="82" customFormat="false" ht="15" hidden="false" customHeight="false" outlineLevel="0" collapsed="false">
      <c r="A82" s="7" t="s">
        <v>139</v>
      </c>
      <c r="B82" s="19" t="n">
        <v>5</v>
      </c>
      <c r="C82" s="19" t="n">
        <v>4</v>
      </c>
      <c r="D82" s="19" t="n">
        <v>3</v>
      </c>
      <c r="E82" s="7" t="s">
        <v>96</v>
      </c>
      <c r="F82" s="9" t="s">
        <v>140</v>
      </c>
      <c r="G82" s="2"/>
      <c r="H82" s="2"/>
      <c r="I82" s="2"/>
      <c r="J82" s="2"/>
    </row>
    <row r="83" customFormat="false" ht="15" hidden="false" customHeight="false" outlineLevel="0" collapsed="false">
      <c r="A83" s="7" t="s">
        <v>141</v>
      </c>
      <c r="B83" s="21" t="n">
        <v>0.3</v>
      </c>
      <c r="C83" s="21" t="n">
        <v>0.7</v>
      </c>
      <c r="D83" s="21" t="n">
        <v>1.5</v>
      </c>
      <c r="E83" s="7" t="s">
        <v>111</v>
      </c>
      <c r="F83" s="9" t="s">
        <v>100</v>
      </c>
      <c r="G83" s="2"/>
      <c r="H83" s="2"/>
      <c r="I83" s="2"/>
      <c r="J83" s="2"/>
    </row>
    <row r="84" customFormat="false" ht="15" hidden="false" customHeight="false" outlineLevel="0" collapsed="false">
      <c r="A84" s="7" t="s">
        <v>142</v>
      </c>
      <c r="B84" s="20" t="n">
        <v>0.3</v>
      </c>
      <c r="C84" s="20" t="n">
        <v>0.3</v>
      </c>
      <c r="D84" s="20" t="n">
        <v>0.2</v>
      </c>
      <c r="E84" s="7" t="s">
        <v>13</v>
      </c>
      <c r="F84" s="9" t="s">
        <v>143</v>
      </c>
      <c r="G84" s="2"/>
      <c r="H84" s="2"/>
      <c r="I84" s="2"/>
      <c r="J84" s="2"/>
    </row>
    <row r="85" customFormat="false" ht="15" hidden="false" customHeight="false" outlineLevel="0" collapsed="false">
      <c r="A85" s="7" t="s">
        <v>144</v>
      </c>
      <c r="B85" s="20" t="n">
        <v>0.3</v>
      </c>
      <c r="C85" s="20" t="n">
        <v>0.4</v>
      </c>
      <c r="D85" s="20" t="n">
        <v>0.5</v>
      </c>
      <c r="E85" s="7" t="s">
        <v>13</v>
      </c>
      <c r="F85" s="9" t="s">
        <v>100</v>
      </c>
      <c r="G85" s="2"/>
      <c r="H85" s="2"/>
      <c r="I85" s="2"/>
      <c r="J85" s="2"/>
    </row>
    <row r="86" customFormat="false" ht="15" hidden="false" customHeight="false" outlineLevel="0" collapsed="false">
      <c r="A86" s="7" t="s">
        <v>145</v>
      </c>
      <c r="B86" s="14" t="n">
        <v>3</v>
      </c>
      <c r="C86" s="2"/>
      <c r="D86" s="2"/>
      <c r="E86" s="7" t="s">
        <v>146</v>
      </c>
      <c r="F86" s="9" t="s">
        <v>147</v>
      </c>
      <c r="G86" s="2"/>
      <c r="H86" s="2"/>
      <c r="I86" s="2"/>
      <c r="J86" s="2"/>
    </row>
    <row r="87" customFormat="false" ht="15" hidden="false" customHeight="false" outlineLevel="0" collapsed="false">
      <c r="A87" s="7" t="s">
        <v>148</v>
      </c>
      <c r="B87" s="21" t="n">
        <v>5</v>
      </c>
      <c r="C87" s="21" t="n">
        <v>5</v>
      </c>
      <c r="D87" s="21" t="n">
        <v>8</v>
      </c>
      <c r="E87" s="7" t="s">
        <v>149</v>
      </c>
      <c r="F87" s="9" t="s">
        <v>100</v>
      </c>
      <c r="G87" s="2"/>
      <c r="H87" s="2"/>
      <c r="I87" s="2"/>
      <c r="J87" s="2"/>
    </row>
    <row r="88" customFormat="false" ht="15" hidden="false" customHeight="false" outlineLevel="0" collapsed="false">
      <c r="A88" s="7" t="s">
        <v>150</v>
      </c>
      <c r="B88" s="21" t="n">
        <v>0</v>
      </c>
      <c r="C88" s="21" t="n">
        <v>1</v>
      </c>
      <c r="D88" s="21" t="n">
        <v>3</v>
      </c>
      <c r="E88" s="7" t="s">
        <v>149</v>
      </c>
      <c r="F88" s="9" t="s">
        <v>100</v>
      </c>
      <c r="G88" s="2"/>
      <c r="H88" s="2"/>
      <c r="I88" s="2"/>
      <c r="J88" s="2"/>
    </row>
    <row r="89" customFormat="false" ht="15" hidden="false" customHeight="false" outlineLevel="0" collapsed="false">
      <c r="A89" s="7" t="s">
        <v>151</v>
      </c>
      <c r="B89" s="20" t="n">
        <v>0.5</v>
      </c>
      <c r="C89" s="20" t="n">
        <v>0.5</v>
      </c>
      <c r="D89" s="20" t="n">
        <v>0.6</v>
      </c>
      <c r="E89" s="7" t="s">
        <v>13</v>
      </c>
      <c r="F89" s="9" t="s">
        <v>100</v>
      </c>
      <c r="G89" s="2"/>
      <c r="H89" s="2"/>
      <c r="I89" s="2"/>
      <c r="J89" s="2"/>
    </row>
    <row r="90" customFormat="false" ht="15" hidden="false" customHeight="false" outlineLevel="0" collapsed="false">
      <c r="A90" s="7" t="s">
        <v>152</v>
      </c>
      <c r="B90" s="21" t="n">
        <v>0</v>
      </c>
      <c r="C90" s="21" t="n">
        <v>0.5</v>
      </c>
      <c r="D90" s="21" t="n">
        <v>2</v>
      </c>
      <c r="E90" s="7" t="s">
        <v>149</v>
      </c>
      <c r="F90" s="9" t="s">
        <v>100</v>
      </c>
      <c r="G90" s="2"/>
      <c r="H90" s="2"/>
      <c r="I90" s="2"/>
      <c r="J90" s="2"/>
    </row>
    <row r="91" customFormat="false" ht="15" hidden="false" customHeight="false" outlineLevel="0" collapsed="false">
      <c r="A91" s="7" t="s">
        <v>153</v>
      </c>
      <c r="B91" s="10" t="n">
        <v>0.5</v>
      </c>
      <c r="C91" s="2"/>
      <c r="D91" s="2"/>
      <c r="E91" s="7" t="s">
        <v>13</v>
      </c>
      <c r="F91" s="9" t="s">
        <v>100</v>
      </c>
      <c r="G91" s="2"/>
      <c r="H91" s="2"/>
      <c r="I91" s="2"/>
      <c r="J91" s="2"/>
    </row>
    <row r="92" customFormat="false" ht="15" hidden="false" customHeight="false" outlineLevel="0" collapsed="false">
      <c r="A92" s="7" t="s">
        <v>154</v>
      </c>
      <c r="B92" s="21" t="n">
        <v>0</v>
      </c>
      <c r="C92" s="21" t="n">
        <v>5</v>
      </c>
      <c r="D92" s="21" t="n">
        <v>20</v>
      </c>
      <c r="E92" s="7" t="s">
        <v>155</v>
      </c>
      <c r="F92" s="9" t="s">
        <v>100</v>
      </c>
      <c r="G92" s="2"/>
      <c r="H92" s="2"/>
      <c r="I92" s="2"/>
      <c r="J92" s="2"/>
    </row>
    <row r="93" customFormat="false" ht="15" hidden="false" customHeight="false" outlineLevel="0" collapsed="false">
      <c r="A93" s="7" t="s">
        <v>156</v>
      </c>
      <c r="B93" s="19" t="n">
        <v>0</v>
      </c>
      <c r="C93" s="19" t="n">
        <v>50</v>
      </c>
      <c r="D93" s="19" t="n">
        <v>300</v>
      </c>
      <c r="E93" s="7" t="s">
        <v>157</v>
      </c>
      <c r="F93" s="9" t="s">
        <v>100</v>
      </c>
      <c r="G93" s="2"/>
      <c r="H93" s="2"/>
      <c r="I93" s="2"/>
      <c r="J93" s="2"/>
    </row>
    <row r="94" customFormat="false" ht="15" hidden="false" customHeight="false" outlineLevel="0" collapsed="false">
      <c r="A94" s="7" t="s">
        <v>158</v>
      </c>
      <c r="B94" s="19" t="n">
        <v>0</v>
      </c>
      <c r="C94" s="19" t="n">
        <v>0</v>
      </c>
      <c r="D94" s="19" t="n">
        <v>100</v>
      </c>
      <c r="E94" s="7" t="s">
        <v>157</v>
      </c>
      <c r="F94" s="9" t="s">
        <v>100</v>
      </c>
      <c r="G94" s="2"/>
      <c r="H94" s="2"/>
      <c r="I94" s="2"/>
      <c r="J94" s="2"/>
    </row>
    <row r="95" customFormat="false" ht="15" hidden="false" customHeight="false" outlineLevel="0" collapsed="false">
      <c r="A95" s="7" t="s">
        <v>159</v>
      </c>
      <c r="B95" s="21" t="n">
        <v>0</v>
      </c>
      <c r="C95" s="21" t="n">
        <v>1</v>
      </c>
      <c r="D95" s="21" t="n">
        <v>4</v>
      </c>
      <c r="E95" s="7" t="s">
        <v>160</v>
      </c>
      <c r="F95" s="9" t="s">
        <v>100</v>
      </c>
      <c r="G95" s="2"/>
      <c r="H95" s="2"/>
      <c r="I95" s="2"/>
      <c r="J95" s="2"/>
    </row>
    <row r="96" customFormat="false" ht="15" hidden="false" customHeight="false" outlineLevel="0" collapsed="false">
      <c r="A96" s="7" t="s">
        <v>161</v>
      </c>
      <c r="B96" s="11" t="n">
        <v>490</v>
      </c>
      <c r="C96" s="2"/>
      <c r="D96" s="2"/>
      <c r="E96" s="7" t="s">
        <v>118</v>
      </c>
      <c r="F96" s="9" t="s">
        <v>162</v>
      </c>
      <c r="G96" s="2"/>
      <c r="H96" s="2"/>
      <c r="I96" s="2"/>
      <c r="J96" s="2"/>
    </row>
    <row r="97" customFormat="false" ht="39.55" hidden="false" customHeight="false" outlineLevel="0" collapsed="false">
      <c r="A97" s="7" t="s">
        <v>163</v>
      </c>
      <c r="B97" s="11" t="n">
        <v>149</v>
      </c>
      <c r="C97" s="2"/>
      <c r="D97" s="2"/>
      <c r="E97" s="7" t="s">
        <v>118</v>
      </c>
      <c r="F97" s="9" t="s">
        <v>164</v>
      </c>
      <c r="G97" s="2"/>
      <c r="H97" s="2"/>
      <c r="I97" s="2"/>
      <c r="J97" s="2"/>
    </row>
    <row r="98" customFormat="false" ht="26.85" hidden="false" customHeight="false" outlineLevel="0" collapsed="false">
      <c r="A98" s="7" t="s">
        <v>165</v>
      </c>
      <c r="B98" s="11" t="n">
        <v>390</v>
      </c>
      <c r="C98" s="2"/>
      <c r="D98" s="2"/>
      <c r="E98" s="7" t="s">
        <v>118</v>
      </c>
      <c r="F98" s="9" t="s">
        <v>166</v>
      </c>
      <c r="G98" s="2"/>
      <c r="H98" s="2"/>
      <c r="I98" s="2"/>
      <c r="J98" s="2"/>
    </row>
    <row r="99" customFormat="false" ht="15" hidden="false" customHeight="false" outlineLevel="0" collapsed="false">
      <c r="A99" s="7" t="s">
        <v>167</v>
      </c>
      <c r="B99" s="11" t="n">
        <v>190</v>
      </c>
      <c r="C99" s="2"/>
      <c r="D99" s="2"/>
      <c r="E99" s="7" t="s">
        <v>118</v>
      </c>
      <c r="F99" s="9" t="s">
        <v>168</v>
      </c>
      <c r="G99" s="2"/>
      <c r="H99" s="2"/>
      <c r="I99" s="2"/>
      <c r="J99" s="2"/>
    </row>
    <row r="100" customFormat="false" ht="15" hidden="false" customHeight="false" outlineLevel="0" collapsed="false">
      <c r="A100" s="7" t="s">
        <v>169</v>
      </c>
      <c r="B100" s="14" t="n">
        <v>15</v>
      </c>
      <c r="C100" s="2"/>
      <c r="D100" s="2"/>
      <c r="E100" s="7" t="s">
        <v>57</v>
      </c>
      <c r="F100" s="9" t="s">
        <v>170</v>
      </c>
      <c r="G100" s="2"/>
      <c r="H100" s="2"/>
      <c r="I100" s="2"/>
      <c r="J100" s="2"/>
    </row>
    <row r="101" customFormat="false" ht="15" hidden="false" customHeight="false" outlineLevel="0" collapsed="false">
      <c r="A101" s="7" t="s">
        <v>171</v>
      </c>
      <c r="B101" s="11" t="n">
        <v>95</v>
      </c>
      <c r="C101" s="2"/>
      <c r="D101" s="2"/>
      <c r="E101" s="7" t="s">
        <v>118</v>
      </c>
      <c r="F101" s="9" t="s">
        <v>172</v>
      </c>
      <c r="G101" s="2"/>
      <c r="H101" s="2"/>
      <c r="I101" s="2"/>
      <c r="J101" s="2"/>
    </row>
    <row r="102" customFormat="false" ht="15" hidden="false" customHeight="false" outlineLevel="0" collapsed="false">
      <c r="A102" s="7" t="s">
        <v>173</v>
      </c>
      <c r="B102" s="23" t="n">
        <f aca="false">MAX($B$101,$B$46*$B$100/60*$B$10)</f>
        <v>129.032258064516</v>
      </c>
      <c r="C102" s="2"/>
      <c r="D102" s="2"/>
      <c r="E102" s="7" t="s">
        <v>118</v>
      </c>
      <c r="F102" s="9" t="s">
        <v>174</v>
      </c>
      <c r="G102" s="2"/>
      <c r="H102" s="2"/>
      <c r="I102" s="2"/>
      <c r="J102" s="2"/>
    </row>
    <row r="103" customFormat="false" ht="26.85" hidden="false" customHeight="false" outlineLevel="0" collapsed="false">
      <c r="A103" s="7" t="s">
        <v>175</v>
      </c>
      <c r="B103" s="11" t="n">
        <v>89</v>
      </c>
      <c r="C103" s="2"/>
      <c r="D103" s="2"/>
      <c r="E103" s="7" t="s">
        <v>118</v>
      </c>
      <c r="F103" s="9" t="s">
        <v>176</v>
      </c>
      <c r="G103" s="2"/>
      <c r="H103" s="2"/>
      <c r="I103" s="2"/>
      <c r="J103" s="2"/>
    </row>
    <row r="104" customFormat="false" ht="26.85" hidden="false" customHeight="false" outlineLevel="0" collapsed="false">
      <c r="A104" s="7" t="s">
        <v>177</v>
      </c>
      <c r="B104" s="22" t="n">
        <v>6</v>
      </c>
      <c r="C104" s="2"/>
      <c r="D104" s="2"/>
      <c r="E104" s="7" t="s">
        <v>118</v>
      </c>
      <c r="F104" s="9" t="s">
        <v>178</v>
      </c>
      <c r="G104" s="2"/>
      <c r="H104" s="2"/>
      <c r="I104" s="2"/>
      <c r="J104" s="2"/>
    </row>
    <row r="105" customFormat="false" ht="15" hidden="false" customHeight="false" outlineLevel="0" collapsed="false">
      <c r="A105" s="7" t="s">
        <v>179</v>
      </c>
      <c r="B105" s="22" t="n">
        <v>4</v>
      </c>
      <c r="C105" s="2"/>
      <c r="D105" s="2"/>
      <c r="E105" s="7" t="s">
        <v>118</v>
      </c>
      <c r="F105" s="9" t="s">
        <v>180</v>
      </c>
      <c r="G105" s="2"/>
      <c r="H105" s="2"/>
      <c r="I105" s="2"/>
      <c r="J105" s="2"/>
    </row>
    <row r="106" customFormat="false" ht="15" hidden="false" customHeight="false" outlineLevel="0" collapsed="false">
      <c r="A106" s="7" t="s">
        <v>181</v>
      </c>
      <c r="B106" s="11" t="n">
        <v>49</v>
      </c>
      <c r="C106" s="2"/>
      <c r="D106" s="2"/>
      <c r="E106" s="7" t="s">
        <v>118</v>
      </c>
      <c r="F106" s="9" t="s">
        <v>182</v>
      </c>
      <c r="G106" s="2"/>
      <c r="H106" s="2"/>
      <c r="I106" s="2"/>
      <c r="J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customFormat="false" ht="15" hidden="false" customHeight="false" outlineLevel="0" collapsed="false">
      <c r="A108" s="5" t="s">
        <v>183</v>
      </c>
      <c r="B108" s="6"/>
      <c r="C108" s="6"/>
      <c r="D108" s="6"/>
      <c r="E108" s="6"/>
      <c r="F108" s="6"/>
      <c r="G108" s="2"/>
      <c r="H108" s="2"/>
      <c r="I108" s="2"/>
      <c r="J108" s="2"/>
    </row>
    <row r="109" customFormat="false" ht="15" hidden="false" customHeight="false" outlineLevel="0" collapsed="false">
      <c r="A109" s="7" t="s">
        <v>184</v>
      </c>
      <c r="B109" s="19" t="n">
        <v>6</v>
      </c>
      <c r="C109" s="19" t="n">
        <v>4</v>
      </c>
      <c r="D109" s="19" t="n">
        <v>3</v>
      </c>
      <c r="E109" s="7" t="s">
        <v>96</v>
      </c>
      <c r="F109" s="9" t="s">
        <v>185</v>
      </c>
      <c r="G109" s="2"/>
      <c r="H109" s="2"/>
      <c r="I109" s="2"/>
      <c r="J109" s="2"/>
    </row>
    <row r="110" customFormat="false" ht="15" hidden="false" customHeight="false" outlineLevel="0" collapsed="false">
      <c r="A110" s="7" t="s">
        <v>186</v>
      </c>
      <c r="B110" s="21" t="n">
        <v>2</v>
      </c>
      <c r="C110" s="21" t="n">
        <v>5</v>
      </c>
      <c r="D110" s="21" t="n">
        <v>10</v>
      </c>
      <c r="E110" s="7" t="s">
        <v>149</v>
      </c>
      <c r="F110" s="9" t="s">
        <v>100</v>
      </c>
      <c r="G110" s="2"/>
      <c r="H110" s="2"/>
      <c r="I110" s="2"/>
      <c r="J110" s="2"/>
    </row>
    <row r="111" customFormat="false" ht="15" hidden="false" customHeight="false" outlineLevel="0" collapsed="false">
      <c r="A111" s="7" t="s">
        <v>187</v>
      </c>
      <c r="B111" s="21" t="n">
        <v>1</v>
      </c>
      <c r="C111" s="21" t="n">
        <v>3</v>
      </c>
      <c r="D111" s="21" t="n">
        <v>6</v>
      </c>
      <c r="E111" s="7" t="s">
        <v>188</v>
      </c>
      <c r="F111" s="9" t="s">
        <v>100</v>
      </c>
      <c r="G111" s="2"/>
      <c r="H111" s="2"/>
      <c r="I111" s="2"/>
      <c r="J111" s="2"/>
    </row>
    <row r="112" customFormat="false" ht="15" hidden="false" customHeight="false" outlineLevel="0" collapsed="false">
      <c r="A112" s="7" t="s">
        <v>189</v>
      </c>
      <c r="B112" s="21" t="n">
        <v>1</v>
      </c>
      <c r="C112" s="21" t="n">
        <v>3</v>
      </c>
      <c r="D112" s="21" t="n">
        <v>6</v>
      </c>
      <c r="E112" s="7" t="s">
        <v>188</v>
      </c>
      <c r="F112" s="9" t="s">
        <v>100</v>
      </c>
      <c r="G112" s="2"/>
      <c r="H112" s="2"/>
      <c r="I112" s="2"/>
      <c r="J112" s="2"/>
    </row>
    <row r="113" customFormat="false" ht="15" hidden="false" customHeight="false" outlineLevel="0" collapsed="false">
      <c r="A113" s="7" t="s">
        <v>190</v>
      </c>
      <c r="B113" s="21" t="n">
        <v>0.2</v>
      </c>
      <c r="C113" s="21" t="n">
        <v>0.4</v>
      </c>
      <c r="D113" s="21" t="n">
        <v>0.8</v>
      </c>
      <c r="E113" s="7" t="s">
        <v>111</v>
      </c>
      <c r="F113" s="9" t="s">
        <v>191</v>
      </c>
      <c r="G113" s="2"/>
      <c r="H113" s="2"/>
      <c r="I113" s="2"/>
      <c r="J113" s="2"/>
    </row>
    <row r="114" customFormat="false" ht="15" hidden="false" customHeight="false" outlineLevel="0" collapsed="false">
      <c r="A114" s="7" t="s">
        <v>192</v>
      </c>
      <c r="B114" s="21" t="n">
        <v>0.1</v>
      </c>
      <c r="C114" s="21" t="n">
        <v>0.3</v>
      </c>
      <c r="D114" s="21" t="n">
        <v>0.6</v>
      </c>
      <c r="E114" s="7" t="s">
        <v>111</v>
      </c>
      <c r="F114" s="9" t="s">
        <v>100</v>
      </c>
      <c r="G114" s="2"/>
      <c r="H114" s="2"/>
      <c r="I114" s="2"/>
      <c r="J114" s="2"/>
    </row>
    <row r="115" customFormat="false" ht="15" hidden="false" customHeight="false" outlineLevel="0" collapsed="false">
      <c r="A115" s="7" t="s">
        <v>193</v>
      </c>
      <c r="B115" s="21" t="n">
        <v>0.2</v>
      </c>
      <c r="C115" s="21" t="n">
        <v>0.4</v>
      </c>
      <c r="D115" s="21" t="n">
        <v>0.8</v>
      </c>
      <c r="E115" s="7" t="s">
        <v>111</v>
      </c>
      <c r="F115" s="9" t="s">
        <v>100</v>
      </c>
      <c r="G115" s="2"/>
      <c r="H115" s="2"/>
      <c r="I115" s="2"/>
      <c r="J115" s="2"/>
    </row>
    <row r="116" customFormat="false" ht="15" hidden="false" customHeight="false" outlineLevel="0" collapsed="false">
      <c r="A116" s="7" t="s">
        <v>194</v>
      </c>
      <c r="B116" s="22" t="n">
        <v>2.99</v>
      </c>
      <c r="C116" s="2"/>
      <c r="D116" s="2"/>
      <c r="E116" s="7" t="s">
        <v>118</v>
      </c>
      <c r="F116" s="9" t="s">
        <v>172</v>
      </c>
      <c r="G116" s="2"/>
      <c r="H116" s="2"/>
      <c r="I116" s="2"/>
      <c r="J116" s="2"/>
    </row>
    <row r="117" customFormat="false" ht="15" hidden="false" customHeight="false" outlineLevel="0" collapsed="false">
      <c r="A117" s="7" t="s">
        <v>195</v>
      </c>
      <c r="B117" s="22" t="n">
        <v>7.99</v>
      </c>
      <c r="C117" s="2"/>
      <c r="D117" s="2"/>
      <c r="E117" s="7" t="s">
        <v>118</v>
      </c>
      <c r="F117" s="9" t="s">
        <v>172</v>
      </c>
      <c r="G117" s="2"/>
      <c r="H117" s="2"/>
      <c r="I117" s="2"/>
      <c r="J117" s="2"/>
    </row>
    <row r="118" customFormat="false" ht="15" hidden="false" customHeight="false" outlineLevel="0" collapsed="false">
      <c r="A118" s="7" t="s">
        <v>196</v>
      </c>
      <c r="B118" s="22" t="n">
        <v>4.99</v>
      </c>
      <c r="C118" s="2"/>
      <c r="D118" s="2"/>
      <c r="E118" s="7" t="s">
        <v>118</v>
      </c>
      <c r="F118" s="9" t="s">
        <v>172</v>
      </c>
      <c r="G118" s="2"/>
      <c r="H118" s="2"/>
      <c r="I118" s="2"/>
      <c r="J118" s="2"/>
    </row>
    <row r="119" customFormat="false" ht="15" hidden="false" customHeight="false" outlineLevel="0" collapsed="false">
      <c r="A119" s="7" t="s">
        <v>197</v>
      </c>
      <c r="B119" s="10" t="n">
        <v>0.5</v>
      </c>
      <c r="C119" s="2"/>
      <c r="D119" s="2"/>
      <c r="E119" s="7" t="s">
        <v>13</v>
      </c>
      <c r="F119" s="9" t="s">
        <v>100</v>
      </c>
      <c r="G119" s="2"/>
      <c r="H119" s="2"/>
      <c r="I119" s="2"/>
      <c r="J119" s="2"/>
    </row>
    <row r="120" customFormat="false" ht="26.85" hidden="false" customHeight="false" outlineLevel="0" collapsed="false">
      <c r="A120" s="7" t="s">
        <v>198</v>
      </c>
      <c r="B120" s="10" t="n">
        <v>0.35</v>
      </c>
      <c r="C120" s="2"/>
      <c r="D120" s="2"/>
      <c r="E120" s="7" t="s">
        <v>13</v>
      </c>
      <c r="F120" s="9" t="s">
        <v>199</v>
      </c>
      <c r="G120" s="2"/>
      <c r="H120" s="2"/>
      <c r="I120" s="2"/>
      <c r="J120" s="2"/>
    </row>
    <row r="121" customFormat="false" ht="26.85" hidden="false" customHeight="false" outlineLevel="0" collapsed="false">
      <c r="A121" s="7" t="s">
        <v>200</v>
      </c>
      <c r="B121" s="10" t="n">
        <v>0.7</v>
      </c>
      <c r="C121" s="2"/>
      <c r="D121" s="2"/>
      <c r="E121" s="7" t="s">
        <v>13</v>
      </c>
      <c r="F121" s="9" t="s">
        <v>201</v>
      </c>
      <c r="G121" s="2"/>
      <c r="H121" s="2"/>
      <c r="I121" s="2"/>
      <c r="J121" s="2"/>
    </row>
    <row r="122" customFormat="false" ht="15" hidden="false" customHeight="false" outlineLevel="0" collapsed="false">
      <c r="A122" s="7" t="s">
        <v>202</v>
      </c>
      <c r="B122" s="10" t="n">
        <v>0.5</v>
      </c>
      <c r="C122" s="2"/>
      <c r="D122" s="2"/>
      <c r="E122" s="7" t="s">
        <v>13</v>
      </c>
      <c r="F122" s="9" t="s">
        <v>203</v>
      </c>
      <c r="G122" s="2"/>
      <c r="H122" s="2"/>
      <c r="I122" s="2"/>
      <c r="J122" s="2"/>
    </row>
    <row r="123" customFormat="false" ht="15" hidden="false" customHeight="false" outlineLevel="0" collapsed="false">
      <c r="A123" s="7" t="s">
        <v>204</v>
      </c>
      <c r="B123" s="10" t="n">
        <v>0.7</v>
      </c>
      <c r="C123" s="2"/>
      <c r="D123" s="2"/>
      <c r="E123" s="7" t="s">
        <v>13</v>
      </c>
      <c r="F123" s="9" t="s">
        <v>205</v>
      </c>
      <c r="G123" s="2"/>
      <c r="H123" s="2"/>
      <c r="I123" s="2"/>
      <c r="J123" s="2"/>
    </row>
    <row r="124" customFormat="false" ht="15" hidden="false" customHeight="false" outlineLevel="0" collapsed="false">
      <c r="A124" s="7" t="s">
        <v>206</v>
      </c>
      <c r="B124" s="10" t="n">
        <v>0.4</v>
      </c>
      <c r="C124" s="2"/>
      <c r="D124" s="2"/>
      <c r="E124" s="7" t="s">
        <v>13</v>
      </c>
      <c r="F124" s="9" t="s">
        <v>207</v>
      </c>
      <c r="G124" s="2"/>
      <c r="H124" s="2"/>
      <c r="I124" s="2"/>
      <c r="J124" s="2"/>
    </row>
    <row r="125" customFormat="false" ht="15" hidden="false" customHeight="false" outlineLevel="0" collapsed="false">
      <c r="A125" s="7" t="s">
        <v>208</v>
      </c>
      <c r="B125" s="19" t="n">
        <v>13</v>
      </c>
      <c r="C125" s="19" t="n">
        <v>10</v>
      </c>
      <c r="D125" s="19" t="n">
        <v>7</v>
      </c>
      <c r="E125" s="7" t="s">
        <v>96</v>
      </c>
      <c r="F125" s="9" t="s">
        <v>209</v>
      </c>
      <c r="G125" s="2"/>
      <c r="H125" s="2"/>
      <c r="I125" s="2"/>
      <c r="J125" s="2"/>
    </row>
    <row r="126" customFormat="false" ht="15" hidden="false" customHeight="false" outlineLevel="0" collapsed="false">
      <c r="A126" s="7" t="s">
        <v>210</v>
      </c>
      <c r="B126" s="21" t="n">
        <v>0</v>
      </c>
      <c r="C126" s="21" t="n">
        <v>0.5</v>
      </c>
      <c r="D126" s="21" t="n">
        <v>2</v>
      </c>
      <c r="E126" s="7" t="s">
        <v>149</v>
      </c>
      <c r="F126" s="9" t="s">
        <v>100</v>
      </c>
      <c r="G126" s="2"/>
      <c r="H126" s="2"/>
      <c r="I126" s="2"/>
      <c r="J126" s="2"/>
    </row>
    <row r="127" customFormat="false" ht="15" hidden="false" customHeight="false" outlineLevel="0" collapsed="false">
      <c r="A127" s="7" t="s">
        <v>211</v>
      </c>
      <c r="B127" s="11" t="n">
        <v>390</v>
      </c>
      <c r="C127" s="2"/>
      <c r="D127" s="2"/>
      <c r="E127" s="7" t="s">
        <v>118</v>
      </c>
      <c r="F127" s="9" t="s">
        <v>212</v>
      </c>
      <c r="G127" s="2"/>
      <c r="H127" s="2"/>
      <c r="I127" s="2"/>
      <c r="J127" s="2"/>
    </row>
    <row r="128" customFormat="false" ht="15" hidden="false" customHeight="false" outlineLevel="0" collapsed="false">
      <c r="A128" s="7" t="s">
        <v>213</v>
      </c>
      <c r="B128" s="22" t="n">
        <v>0</v>
      </c>
      <c r="C128" s="2"/>
      <c r="D128" s="2"/>
      <c r="E128" s="7" t="s">
        <v>118</v>
      </c>
      <c r="F128" s="9" t="s">
        <v>214</v>
      </c>
      <c r="G128" s="2"/>
      <c r="H128" s="2"/>
      <c r="I128" s="2"/>
      <c r="J128" s="2"/>
    </row>
    <row r="129" customFormat="false" ht="15" hidden="false" customHeight="false" outlineLevel="0" collapsed="false">
      <c r="A129" s="7" t="s">
        <v>215</v>
      </c>
      <c r="B129" s="24" t="n">
        <f aca="false">$B$119*$B$120+(1-$B$119)*$B$121</f>
        <v>0.525</v>
      </c>
      <c r="C129" s="2"/>
      <c r="D129" s="2"/>
      <c r="E129" s="7" t="s">
        <v>13</v>
      </c>
      <c r="F129" s="9" t="s">
        <v>69</v>
      </c>
      <c r="G129" s="2"/>
      <c r="H129" s="2"/>
      <c r="I129" s="2"/>
      <c r="J129" s="2"/>
    </row>
    <row r="130" customFormat="false" ht="15" hidden="false" customHeight="false" outlineLevel="0" collapsed="false">
      <c r="A130" s="7" t="s">
        <v>216</v>
      </c>
      <c r="B130" s="24" t="n">
        <f aca="false">$B$122*$B$123+(1-$B$122)*$B$124</f>
        <v>0.55</v>
      </c>
      <c r="C130" s="2"/>
      <c r="D130" s="2"/>
      <c r="E130" s="7" t="s">
        <v>13</v>
      </c>
      <c r="F130" s="9" t="s">
        <v>69</v>
      </c>
      <c r="G130" s="2"/>
      <c r="H130" s="2"/>
      <c r="I130" s="2"/>
      <c r="J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customFormat="false" ht="15" hidden="false" customHeight="false" outlineLevel="0" collapsed="false">
      <c r="A132" s="5" t="s">
        <v>217</v>
      </c>
      <c r="B132" s="6"/>
      <c r="C132" s="6"/>
      <c r="D132" s="6"/>
      <c r="E132" s="6"/>
      <c r="F132" s="6"/>
      <c r="G132" s="2"/>
      <c r="H132" s="2"/>
      <c r="I132" s="2"/>
      <c r="J132" s="2"/>
    </row>
    <row r="133" customFormat="false" ht="15" hidden="false" customHeight="false" outlineLevel="0" collapsed="false">
      <c r="A133" s="7" t="s">
        <v>218</v>
      </c>
      <c r="B133" s="25" t="s">
        <v>219</v>
      </c>
      <c r="C133" s="25" t="s">
        <v>220</v>
      </c>
      <c r="D133" s="25" t="s">
        <v>221</v>
      </c>
      <c r="E133" s="7"/>
      <c r="F133" s="9" t="s">
        <v>222</v>
      </c>
      <c r="G133" s="2"/>
      <c r="H133" s="2"/>
      <c r="I133" s="2"/>
      <c r="J133" s="2"/>
    </row>
    <row r="134" customFormat="false" ht="15" hidden="false" customHeight="false" outlineLevel="0" collapsed="false">
      <c r="A134" s="7" t="s">
        <v>223</v>
      </c>
      <c r="B134" s="26" t="n">
        <v>200</v>
      </c>
      <c r="C134" s="26" t="n">
        <v>500</v>
      </c>
      <c r="D134" s="26" t="n">
        <v>2000</v>
      </c>
      <c r="E134" s="7" t="s">
        <v>118</v>
      </c>
      <c r="F134" s="9" t="s">
        <v>224</v>
      </c>
      <c r="G134" s="2"/>
      <c r="H134" s="2"/>
      <c r="I134" s="2"/>
      <c r="J134" s="2"/>
    </row>
    <row r="135" customFormat="false" ht="15" hidden="false" customHeight="false" outlineLevel="0" collapsed="false">
      <c r="A135" s="7" t="s">
        <v>225</v>
      </c>
      <c r="B135" s="26" t="n">
        <v>50</v>
      </c>
      <c r="C135" s="26" t="n">
        <v>150</v>
      </c>
      <c r="D135" s="26" t="n">
        <v>400</v>
      </c>
      <c r="E135" s="7" t="s">
        <v>118</v>
      </c>
      <c r="F135" s="9" t="s">
        <v>226</v>
      </c>
      <c r="G135" s="2"/>
      <c r="H135" s="2"/>
      <c r="I135" s="2"/>
      <c r="J135" s="2"/>
    </row>
    <row r="136" customFormat="false" ht="15" hidden="false" customHeight="false" outlineLevel="0" collapsed="false">
      <c r="A136" s="7" t="s">
        <v>227</v>
      </c>
      <c r="B136" s="26" t="n">
        <v>0</v>
      </c>
      <c r="C136" s="26" t="n">
        <v>100</v>
      </c>
      <c r="D136" s="26" t="n">
        <v>300</v>
      </c>
      <c r="E136" s="7" t="s">
        <v>118</v>
      </c>
      <c r="F136" s="9" t="s">
        <v>228</v>
      </c>
      <c r="G136" s="2"/>
      <c r="H136" s="2"/>
      <c r="I136" s="2"/>
      <c r="J136" s="2"/>
    </row>
    <row r="137" customFormat="false" ht="15" hidden="false" customHeight="false" outlineLevel="0" collapsed="false">
      <c r="A137" s="7" t="s">
        <v>229</v>
      </c>
      <c r="B137" s="11" t="n">
        <v>4500</v>
      </c>
      <c r="C137" s="2"/>
      <c r="D137" s="2"/>
      <c r="E137" s="7" t="s">
        <v>118</v>
      </c>
      <c r="F137" s="9" t="s">
        <v>230</v>
      </c>
      <c r="G137" s="2"/>
      <c r="H137" s="2"/>
      <c r="I137" s="2"/>
      <c r="J137" s="2"/>
    </row>
    <row r="138" customFormat="false" ht="15" hidden="false" customHeight="false" outlineLevel="0" collapsed="false">
      <c r="A138" s="7" t="s">
        <v>231</v>
      </c>
      <c r="B138" s="14" t="n">
        <v>1000</v>
      </c>
      <c r="C138" s="2"/>
      <c r="D138" s="2"/>
      <c r="E138" s="7" t="s">
        <v>232</v>
      </c>
      <c r="F138" s="9" t="s">
        <v>100</v>
      </c>
      <c r="G138" s="2"/>
      <c r="H138" s="2"/>
      <c r="I138" s="2"/>
      <c r="J138" s="2"/>
    </row>
    <row r="139" customFormat="false" ht="15" hidden="false" customHeight="false" outlineLevel="0" collapsed="false">
      <c r="A139" s="7" t="s">
        <v>233</v>
      </c>
      <c r="B139" s="14" t="n">
        <v>3000</v>
      </c>
      <c r="C139" s="2"/>
      <c r="D139" s="2"/>
      <c r="E139" s="7" t="s">
        <v>234</v>
      </c>
      <c r="F139" s="9" t="s">
        <v>100</v>
      </c>
      <c r="G139" s="2"/>
      <c r="H139" s="2"/>
      <c r="I139" s="2"/>
      <c r="J139" s="2"/>
    </row>
    <row r="140" customFormat="false" ht="15" hidden="false" customHeight="false" outlineLevel="0" collapsed="false">
      <c r="A140" s="7" t="s">
        <v>235</v>
      </c>
      <c r="B140" s="16" t="n">
        <v>8</v>
      </c>
      <c r="C140" s="2"/>
      <c r="D140" s="2"/>
      <c r="E140" s="7" t="s">
        <v>236</v>
      </c>
      <c r="F140" s="9" t="s">
        <v>100</v>
      </c>
      <c r="G140" s="2"/>
      <c r="H140" s="2"/>
      <c r="I140" s="2"/>
      <c r="J140" s="2"/>
    </row>
    <row r="141" customFormat="false" ht="15" hidden="false" customHeight="false" outlineLevel="0" collapsed="false">
      <c r="A141" s="7" t="s">
        <v>237</v>
      </c>
      <c r="B141" s="16" t="n">
        <v>15</v>
      </c>
      <c r="C141" s="2"/>
      <c r="D141" s="2"/>
      <c r="E141" s="7" t="s">
        <v>238</v>
      </c>
      <c r="F141" s="9" t="s">
        <v>239</v>
      </c>
      <c r="G141" s="2"/>
      <c r="H141" s="2"/>
      <c r="I141" s="2"/>
      <c r="J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customFormat="false" ht="15" hidden="false" customHeight="false" outlineLevel="0" collapsed="false">
      <c r="A143" s="5" t="s">
        <v>240</v>
      </c>
      <c r="B143" s="6"/>
      <c r="C143" s="6"/>
      <c r="D143" s="6"/>
      <c r="E143" s="6"/>
      <c r="F143" s="6"/>
      <c r="G143" s="6"/>
      <c r="H143" s="6"/>
      <c r="I143" s="6"/>
      <c r="J143" s="2"/>
    </row>
    <row r="144" customFormat="false" ht="15" hidden="false" customHeight="false" outlineLevel="0" collapsed="false">
      <c r="A144" s="4" t="s">
        <v>241</v>
      </c>
      <c r="B144" s="4" t="s">
        <v>242</v>
      </c>
      <c r="C144" s="4" t="s">
        <v>243</v>
      </c>
      <c r="D144" s="4" t="s">
        <v>244</v>
      </c>
      <c r="E144" s="4" t="s">
        <v>245</v>
      </c>
      <c r="F144" s="4" t="s">
        <v>246</v>
      </c>
      <c r="G144" s="4" t="s">
        <v>247</v>
      </c>
      <c r="H144" s="4" t="s">
        <v>248</v>
      </c>
      <c r="I144" s="4" t="s">
        <v>7</v>
      </c>
      <c r="J144" s="4" t="s">
        <v>249</v>
      </c>
    </row>
    <row r="145" customFormat="false" ht="15" hidden="false" customHeight="false" outlineLevel="0" collapsed="false">
      <c r="A145" s="7" t="s">
        <v>250</v>
      </c>
      <c r="B145" s="18" t="n">
        <f aca="false">20/$B$7</f>
        <v>17.8683105512374</v>
      </c>
      <c r="C145" s="27" t="s">
        <v>251</v>
      </c>
      <c r="D145" s="14" t="n">
        <v>1</v>
      </c>
      <c r="E145" s="10" t="n">
        <v>0.4</v>
      </c>
      <c r="F145" s="10" t="n">
        <v>0.4</v>
      </c>
      <c r="G145" s="10" t="n">
        <v>0.2</v>
      </c>
      <c r="H145" s="28" t="str">
        <f aca="false">IF(B145&gt;100,"&gt; 100 € – CFO prüfen","")</f>
        <v/>
      </c>
      <c r="I145" s="7" t="s">
        <v>252</v>
      </c>
      <c r="J145" s="7" t="str">
        <f aca="false">IF(ABS(E145+F145+G145-1)&gt;0.0001,"Anteile ≠ 100 %","ok")</f>
        <v>ok</v>
      </c>
    </row>
    <row r="146" customFormat="false" ht="15" hidden="false" customHeight="false" outlineLevel="0" collapsed="false">
      <c r="A146" s="7" t="s">
        <v>253</v>
      </c>
      <c r="B146" s="18" t="n">
        <f aca="false">10/$B$7</f>
        <v>8.93415527561869</v>
      </c>
      <c r="C146" s="27" t="s">
        <v>251</v>
      </c>
      <c r="D146" s="14" t="n">
        <v>1</v>
      </c>
      <c r="E146" s="10" t="n">
        <v>0.5</v>
      </c>
      <c r="F146" s="10" t="n">
        <v>0.3</v>
      </c>
      <c r="G146" s="10" t="n">
        <v>0.2</v>
      </c>
      <c r="H146" s="28" t="str">
        <f aca="false">IF(B146&gt;100,"&gt; 100 € – CFO prüfen","")</f>
        <v/>
      </c>
      <c r="I146" s="7" t="s">
        <v>254</v>
      </c>
      <c r="J146" s="7" t="str">
        <f aca="false">IF(ABS(E146+F146+G146-1)&gt;0.0001,"Anteile ≠ 100 %","ok")</f>
        <v>ok</v>
      </c>
    </row>
    <row r="147" customFormat="false" ht="15" hidden="false" customHeight="false" outlineLevel="0" collapsed="false">
      <c r="A147" s="7" t="s">
        <v>255</v>
      </c>
      <c r="B147" s="22" t="n">
        <v>25</v>
      </c>
      <c r="C147" s="27" t="s">
        <v>251</v>
      </c>
      <c r="D147" s="14" t="n">
        <v>1</v>
      </c>
      <c r="E147" s="10" t="n">
        <v>0.6</v>
      </c>
      <c r="F147" s="10" t="n">
        <v>0.2</v>
      </c>
      <c r="G147" s="10" t="n">
        <v>0.2</v>
      </c>
      <c r="H147" s="28" t="str">
        <f aca="false">IF(B147&gt;100,"&gt; 100 € – CFO prüfen","")</f>
        <v/>
      </c>
      <c r="I147" s="7" t="s">
        <v>100</v>
      </c>
      <c r="J147" s="7" t="str">
        <f aca="false">IF(ABS(E147+F147+G147-1)&gt;0.0001,"Anteile ≠ 100 %","ok")</f>
        <v>ok</v>
      </c>
    </row>
    <row r="148" customFormat="false" ht="15" hidden="false" customHeight="false" outlineLevel="0" collapsed="false">
      <c r="A148" s="7" t="s">
        <v>256</v>
      </c>
      <c r="B148" s="18" t="n">
        <f aca="false">99/12/$B$7</f>
        <v>7.37067810238542</v>
      </c>
      <c r="C148" s="27" t="s">
        <v>251</v>
      </c>
      <c r="D148" s="14" t="n">
        <v>1</v>
      </c>
      <c r="E148" s="10" t="n">
        <v>1</v>
      </c>
      <c r="F148" s="10" t="n">
        <v>0</v>
      </c>
      <c r="G148" s="10" t="n">
        <v>0</v>
      </c>
      <c r="H148" s="28" t="str">
        <f aca="false">IF(B148&gt;100,"&gt; 100 € – CFO prüfen","")</f>
        <v/>
      </c>
      <c r="I148" s="7" t="s">
        <v>257</v>
      </c>
      <c r="J148" s="7" t="str">
        <f aca="false">IF(ABS(E148+F148+G148-1)&gt;0.0001,"Anteile ≠ 100 %","ok")</f>
        <v>ok</v>
      </c>
    </row>
    <row r="149" customFormat="false" ht="15" hidden="false" customHeight="false" outlineLevel="0" collapsed="false">
      <c r="A149" s="7" t="s">
        <v>258</v>
      </c>
      <c r="B149" s="22" t="n">
        <v>80</v>
      </c>
      <c r="C149" s="27" t="s">
        <v>251</v>
      </c>
      <c r="D149" s="14" t="n">
        <v>2</v>
      </c>
      <c r="E149" s="10" t="n">
        <v>0.4</v>
      </c>
      <c r="F149" s="10" t="n">
        <v>0.4</v>
      </c>
      <c r="G149" s="10" t="n">
        <v>0.2</v>
      </c>
      <c r="H149" s="28" t="str">
        <f aca="false">IF(B149&gt;100,"&gt; 100 € – CFO prüfen","")</f>
        <v/>
      </c>
      <c r="I149" s="7" t="s">
        <v>100</v>
      </c>
      <c r="J149" s="7" t="str">
        <f aca="false">IF(ABS(E149+F149+G149-1)&gt;0.0001,"Anteile ≠ 100 %","ok")</f>
        <v>ok</v>
      </c>
    </row>
    <row r="150" customFormat="false" ht="15" hidden="false" customHeight="false" outlineLevel="0" collapsed="false">
      <c r="A150" s="7" t="s">
        <v>259</v>
      </c>
      <c r="B150" s="22" t="n">
        <v>10</v>
      </c>
      <c r="C150" s="27" t="s">
        <v>251</v>
      </c>
      <c r="D150" s="14" t="n">
        <v>2</v>
      </c>
      <c r="E150" s="10" t="n">
        <v>0.4</v>
      </c>
      <c r="F150" s="10" t="n">
        <v>0.4</v>
      </c>
      <c r="G150" s="10" t="n">
        <v>0.2</v>
      </c>
      <c r="H150" s="28" t="str">
        <f aca="false">IF(B150&gt;100,"&gt; 100 € – CFO prüfen","")</f>
        <v/>
      </c>
      <c r="I150" s="7" t="s">
        <v>100</v>
      </c>
      <c r="J150" s="7" t="str">
        <f aca="false">IF(ABS(E150+F150+G150-1)&gt;0.0001,"Anteile ≠ 100 %","ok")</f>
        <v>ok</v>
      </c>
    </row>
    <row r="151" customFormat="false" ht="15" hidden="false" customHeight="false" outlineLevel="0" collapsed="false">
      <c r="A151" s="7" t="s">
        <v>260</v>
      </c>
      <c r="B151" s="22" t="n">
        <v>496</v>
      </c>
      <c r="C151" s="27" t="s">
        <v>261</v>
      </c>
      <c r="D151" s="14" t="n">
        <v>1</v>
      </c>
      <c r="E151" s="10" t="n">
        <v>0.4</v>
      </c>
      <c r="F151" s="10" t="n">
        <v>0.4</v>
      </c>
      <c r="G151" s="10" t="n">
        <v>0.2</v>
      </c>
      <c r="H151" s="28" t="str">
        <f aca="false">IF(B151&gt;100,"&gt; 100 € – CFO prüfen","")</f>
        <v>&gt; 100 € – CFO prüfen</v>
      </c>
      <c r="I151" s="7" t="s">
        <v>262</v>
      </c>
      <c r="J151" s="7" t="str">
        <f aca="false">IF(ABS(E151+F151+G151-1)&gt;0.0001,"Anteile ≠ 100 %","ok")</f>
        <v>ok</v>
      </c>
    </row>
    <row r="152" customFormat="false" ht="15" hidden="false" customHeight="false" outlineLevel="0" collapsed="false">
      <c r="A152" s="7" t="s">
        <v>263</v>
      </c>
      <c r="B152" s="18" t="n">
        <f aca="false">25/$B$7</f>
        <v>22.3353881890467</v>
      </c>
      <c r="C152" s="27" t="s">
        <v>261</v>
      </c>
      <c r="D152" s="14" t="n">
        <v>2</v>
      </c>
      <c r="E152" s="10" t="n">
        <v>1</v>
      </c>
      <c r="F152" s="10" t="n">
        <v>0</v>
      </c>
      <c r="G152" s="10" t="n">
        <v>0</v>
      </c>
      <c r="H152" s="28" t="str">
        <f aca="false">IF(B152&gt;100,"&gt; 100 € – CFO prüfen","")</f>
        <v/>
      </c>
      <c r="I152" s="7" t="s">
        <v>264</v>
      </c>
      <c r="J152" s="7" t="str">
        <f aca="false">IF(ABS(E152+F152+G152-1)&gt;0.0001,"Anteile ≠ 100 %","ok")</f>
        <v>ok</v>
      </c>
    </row>
    <row r="153" customFormat="false" ht="15" hidden="false" customHeight="false" outlineLevel="0" collapsed="false">
      <c r="A153" s="7" t="s">
        <v>265</v>
      </c>
      <c r="B153" s="22" t="n">
        <v>350</v>
      </c>
      <c r="C153" s="27" t="s">
        <v>261</v>
      </c>
      <c r="D153" s="14" t="n">
        <v>3</v>
      </c>
      <c r="E153" s="10" t="n">
        <v>0</v>
      </c>
      <c r="F153" s="10" t="n">
        <v>0.8</v>
      </c>
      <c r="G153" s="10" t="n">
        <v>0.2</v>
      </c>
      <c r="H153" s="28" t="str">
        <f aca="false">IF(B153&gt;100,"&gt; 100 € – CFO prüfen","")</f>
        <v>&gt; 100 € – CFO prüfen</v>
      </c>
      <c r="I153" s="7" t="s">
        <v>266</v>
      </c>
      <c r="J153" s="7" t="str">
        <f aca="false">IF(ABS(E153+F153+G153-1)&gt;0.0001,"Anteile ≠ 100 %","ok")</f>
        <v>ok</v>
      </c>
    </row>
    <row r="154" customFormat="false" ht="15" hidden="false" customHeight="false" outlineLevel="0" collapsed="false">
      <c r="A154" s="7" t="s">
        <v>267</v>
      </c>
      <c r="B154" s="22" t="n">
        <v>800</v>
      </c>
      <c r="C154" s="27" t="s">
        <v>261</v>
      </c>
      <c r="D154" s="14" t="n">
        <v>5</v>
      </c>
      <c r="E154" s="10" t="n">
        <v>0.3</v>
      </c>
      <c r="F154" s="10" t="n">
        <v>0.7</v>
      </c>
      <c r="G154" s="10" t="n">
        <v>0</v>
      </c>
      <c r="H154" s="28" t="str">
        <f aca="false">IF(B154&gt;100,"&gt; 100 € – CFO prüfen","")</f>
        <v>&gt; 100 € – CFO prüfen</v>
      </c>
      <c r="I154" s="7" t="s">
        <v>268</v>
      </c>
      <c r="J154" s="7" t="str">
        <f aca="false">IF(ABS(E154+F154+G154-1)&gt;0.0001,"Anteile ≠ 100 %","ok")</f>
        <v>ok</v>
      </c>
    </row>
    <row r="155" customFormat="false" ht="15" hidden="false" customHeight="false" outlineLevel="0" collapsed="false">
      <c r="A155" s="7" t="s">
        <v>269</v>
      </c>
      <c r="B155" s="22" t="n">
        <v>1000</v>
      </c>
      <c r="C155" s="27" t="s">
        <v>270</v>
      </c>
      <c r="D155" s="14" t="n">
        <v>0</v>
      </c>
      <c r="E155" s="10" t="n">
        <v>0.6</v>
      </c>
      <c r="F155" s="10" t="n">
        <v>0.3</v>
      </c>
      <c r="G155" s="10" t="n">
        <v>0.1</v>
      </c>
      <c r="H155" s="28" t="str">
        <f aca="false">IF(B155&gt;100,"&gt; 100 € – CFO prüfen","")</f>
        <v>&gt; 100 € – CFO prüfen</v>
      </c>
      <c r="I155" s="7" t="s">
        <v>271</v>
      </c>
      <c r="J155" s="7" t="str">
        <f aca="false">IF(ABS(E155+F155+G155-1)&gt;0.0001,"Anteile ≠ 100 %","ok")</f>
        <v>ok</v>
      </c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customFormat="false" ht="15" hidden="false" customHeight="false" outlineLevel="0" collapsed="false">
      <c r="A157" s="7" t="s">
        <v>272</v>
      </c>
      <c r="B157" s="2"/>
      <c r="C157" s="2"/>
      <c r="D157" s="2"/>
      <c r="E157" s="2"/>
      <c r="F157" s="2"/>
      <c r="G157" s="2"/>
      <c r="H157" s="2"/>
      <c r="I157" s="2"/>
      <c r="J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customFormat="false" ht="15" hidden="false" customHeight="false" outlineLevel="0" collapsed="false">
      <c r="A160" s="5" t="s">
        <v>273</v>
      </c>
      <c r="B160" s="6"/>
      <c r="C160" s="6"/>
      <c r="D160" s="6"/>
      <c r="E160" s="6"/>
      <c r="F160" s="6"/>
      <c r="G160" s="2"/>
      <c r="H160" s="2"/>
      <c r="I160" s="2"/>
      <c r="J160" s="2"/>
    </row>
    <row r="161" customFormat="false" ht="15" hidden="false" customHeight="false" outlineLevel="0" collapsed="false">
      <c r="A161" s="7" t="s">
        <v>274</v>
      </c>
      <c r="B161" s="19" t="n">
        <v>6</v>
      </c>
      <c r="C161" s="19" t="n">
        <v>4</v>
      </c>
      <c r="D161" s="19" t="n">
        <v>3</v>
      </c>
      <c r="E161" s="7" t="s">
        <v>96</v>
      </c>
      <c r="F161" s="9" t="s">
        <v>100</v>
      </c>
      <c r="G161" s="2"/>
      <c r="H161" s="2"/>
      <c r="I161" s="2"/>
      <c r="J161" s="2"/>
    </row>
    <row r="162" customFormat="false" ht="15" hidden="false" customHeight="false" outlineLevel="0" collapsed="false">
      <c r="A162" s="7" t="s">
        <v>275</v>
      </c>
      <c r="B162" s="21" t="n">
        <v>2</v>
      </c>
      <c r="C162" s="21" t="n">
        <v>5</v>
      </c>
      <c r="D162" s="21" t="n">
        <v>10</v>
      </c>
      <c r="E162" s="7" t="s">
        <v>149</v>
      </c>
      <c r="F162" s="9" t="s">
        <v>276</v>
      </c>
      <c r="G162" s="2"/>
      <c r="H162" s="2"/>
      <c r="I162" s="2"/>
      <c r="J162" s="2"/>
    </row>
    <row r="163" customFormat="false" ht="15" hidden="false" customHeight="false" outlineLevel="0" collapsed="false">
      <c r="A163" s="7" t="s">
        <v>277</v>
      </c>
      <c r="B163" s="16" t="n">
        <v>0</v>
      </c>
      <c r="C163" s="2"/>
      <c r="D163" s="2"/>
      <c r="E163" s="7" t="s">
        <v>68</v>
      </c>
      <c r="F163" s="9" t="s">
        <v>278</v>
      </c>
      <c r="G163" s="2"/>
      <c r="H163" s="2"/>
      <c r="I163" s="2"/>
      <c r="J163" s="2"/>
    </row>
    <row r="164" customFormat="false" ht="15" hidden="false" customHeight="false" outlineLevel="0" collapsed="false">
      <c r="A164" s="7" t="s">
        <v>279</v>
      </c>
      <c r="B164" s="14" t="n">
        <v>15</v>
      </c>
      <c r="C164" s="2"/>
      <c r="D164" s="2"/>
      <c r="E164" s="7" t="s">
        <v>115</v>
      </c>
      <c r="F164" s="9" t="s">
        <v>280</v>
      </c>
      <c r="G164" s="2"/>
      <c r="H164" s="2"/>
      <c r="I164" s="2"/>
      <c r="J164" s="2"/>
    </row>
    <row r="165" customFormat="false" ht="15" hidden="false" customHeight="false" outlineLevel="0" collapsed="false">
      <c r="A165" s="7" t="s">
        <v>281</v>
      </c>
      <c r="B165" s="20" t="n">
        <v>0.005</v>
      </c>
      <c r="C165" s="20" t="n">
        <v>0.01</v>
      </c>
      <c r="D165" s="20" t="n">
        <v>0.015</v>
      </c>
      <c r="E165" s="7" t="s">
        <v>282</v>
      </c>
      <c r="F165" s="9" t="s">
        <v>283</v>
      </c>
      <c r="G165" s="2"/>
      <c r="H165" s="2"/>
      <c r="I165" s="2"/>
      <c r="J165" s="2"/>
    </row>
    <row r="166" customFormat="false" ht="15" hidden="false" customHeight="false" outlineLevel="0" collapsed="false">
      <c r="A166" s="7" t="s">
        <v>284</v>
      </c>
      <c r="B166" s="20" t="n">
        <v>0.05</v>
      </c>
      <c r="C166" s="20" t="n">
        <v>0.1</v>
      </c>
      <c r="D166" s="20" t="n">
        <v>0.15</v>
      </c>
      <c r="E166" s="7" t="s">
        <v>282</v>
      </c>
      <c r="F166" s="9" t="s">
        <v>100</v>
      </c>
      <c r="G166" s="2"/>
      <c r="H166" s="2"/>
      <c r="I166" s="2"/>
      <c r="J166" s="2"/>
    </row>
    <row r="167" customFormat="false" ht="15" hidden="false" customHeight="false" outlineLevel="0" collapsed="false">
      <c r="A167" s="7" t="s">
        <v>285</v>
      </c>
      <c r="B167" s="29" t="n">
        <v>0.0002</v>
      </c>
      <c r="C167" s="29" t="n">
        <v>0.0005</v>
      </c>
      <c r="D167" s="29" t="n">
        <v>0.0008</v>
      </c>
      <c r="E167" s="7" t="s">
        <v>282</v>
      </c>
      <c r="F167" s="9" t="s">
        <v>286</v>
      </c>
      <c r="G167" s="2"/>
      <c r="H167" s="2"/>
      <c r="I167" s="2"/>
      <c r="J167" s="2"/>
    </row>
    <row r="168" customFormat="false" ht="15" hidden="false" customHeight="false" outlineLevel="0" collapsed="false">
      <c r="A168" s="7" t="s">
        <v>287</v>
      </c>
      <c r="B168" s="29" t="n">
        <v>0.002</v>
      </c>
      <c r="C168" s="29" t="n">
        <v>0.005</v>
      </c>
      <c r="D168" s="29" t="n">
        <v>0.008</v>
      </c>
      <c r="E168" s="7" t="s">
        <v>282</v>
      </c>
      <c r="F168" s="9" t="s">
        <v>100</v>
      </c>
      <c r="G168" s="2"/>
      <c r="H168" s="2"/>
      <c r="I168" s="2"/>
      <c r="J168" s="2"/>
    </row>
    <row r="169" customFormat="false" ht="15" hidden="false" customHeight="false" outlineLevel="0" collapsed="false">
      <c r="A169" s="7" t="s">
        <v>288</v>
      </c>
      <c r="B169" s="21" t="n">
        <v>2</v>
      </c>
      <c r="C169" s="21" t="n">
        <v>3</v>
      </c>
      <c r="D169" s="21" t="n">
        <v>4</v>
      </c>
      <c r="E169" s="7" t="s">
        <v>289</v>
      </c>
      <c r="F169" s="9" t="s">
        <v>290</v>
      </c>
      <c r="G169" s="2"/>
      <c r="H169" s="2"/>
      <c r="I169" s="2"/>
      <c r="J169" s="2"/>
    </row>
    <row r="170" customFormat="false" ht="15" hidden="false" customHeight="false" outlineLevel="0" collapsed="false">
      <c r="A170" s="7" t="s">
        <v>291</v>
      </c>
      <c r="B170" s="10" t="n">
        <v>0.7</v>
      </c>
      <c r="C170" s="2"/>
      <c r="D170" s="2"/>
      <c r="E170" s="7" t="s">
        <v>13</v>
      </c>
      <c r="F170" s="9" t="s">
        <v>100</v>
      </c>
      <c r="G170" s="2"/>
      <c r="H170" s="2"/>
      <c r="I170" s="2"/>
      <c r="J170" s="2"/>
    </row>
    <row r="171" customFormat="false" ht="15" hidden="false" customHeight="false" outlineLevel="0" collapsed="false">
      <c r="A171" s="7" t="s">
        <v>292</v>
      </c>
      <c r="B171" s="10" t="n">
        <v>0.35</v>
      </c>
      <c r="C171" s="2"/>
      <c r="D171" s="2"/>
      <c r="E171" s="7" t="s">
        <v>13</v>
      </c>
      <c r="F171" s="9" t="s">
        <v>293</v>
      </c>
      <c r="G171" s="2"/>
      <c r="H171" s="2"/>
      <c r="I171" s="2"/>
      <c r="J171" s="2"/>
    </row>
    <row r="172" customFormat="false" ht="15" hidden="false" customHeight="false" outlineLevel="0" collapsed="false">
      <c r="A172" s="7" t="s">
        <v>294</v>
      </c>
      <c r="B172" s="10" t="n">
        <v>0.5</v>
      </c>
      <c r="C172" s="2"/>
      <c r="D172" s="2"/>
      <c r="E172" s="7" t="s">
        <v>13</v>
      </c>
      <c r="F172" s="9" t="s">
        <v>295</v>
      </c>
      <c r="G172" s="2"/>
      <c r="H172" s="2"/>
      <c r="I172" s="2"/>
      <c r="J172" s="2"/>
    </row>
    <row r="173" customFormat="false" ht="15" hidden="false" customHeight="false" outlineLevel="0" collapsed="false">
      <c r="A173" s="7" t="s">
        <v>296</v>
      </c>
      <c r="B173" s="10" t="n">
        <v>0.75</v>
      </c>
      <c r="C173" s="2"/>
      <c r="D173" s="2"/>
      <c r="E173" s="7" t="s">
        <v>13</v>
      </c>
      <c r="F173" s="9" t="s">
        <v>295</v>
      </c>
      <c r="G173" s="2"/>
      <c r="H173" s="2"/>
      <c r="I173" s="2"/>
      <c r="J173" s="2"/>
    </row>
    <row r="174" customFormat="false" ht="15" hidden="false" customHeight="false" outlineLevel="0" collapsed="false">
      <c r="A174" s="7" t="s">
        <v>297</v>
      </c>
      <c r="B174" s="10" t="n">
        <v>0.2</v>
      </c>
      <c r="C174" s="2"/>
      <c r="D174" s="2"/>
      <c r="E174" s="7" t="s">
        <v>13</v>
      </c>
      <c r="F174" s="9" t="s">
        <v>298</v>
      </c>
      <c r="G174" s="2"/>
      <c r="H174" s="2"/>
      <c r="I174" s="2"/>
      <c r="J174" s="2"/>
    </row>
    <row r="175" customFormat="false" ht="15" hidden="false" customHeight="false" outlineLevel="0" collapsed="false">
      <c r="A175" s="7" t="s">
        <v>299</v>
      </c>
      <c r="B175" s="10" t="n">
        <v>0.3</v>
      </c>
      <c r="C175" s="2"/>
      <c r="D175" s="2"/>
      <c r="E175" s="7" t="s">
        <v>13</v>
      </c>
      <c r="F175" s="9" t="s">
        <v>100</v>
      </c>
      <c r="G175" s="2"/>
      <c r="H175" s="2"/>
      <c r="I175" s="2"/>
      <c r="J175" s="2"/>
    </row>
    <row r="176" customFormat="false" ht="15" hidden="false" customHeight="false" outlineLevel="0" collapsed="false">
      <c r="A176" s="7" t="s">
        <v>300</v>
      </c>
      <c r="B176" s="10" t="n">
        <v>0.5</v>
      </c>
      <c r="C176" s="2"/>
      <c r="D176" s="2"/>
      <c r="E176" s="7" t="s">
        <v>13</v>
      </c>
      <c r="F176" s="9" t="s">
        <v>301</v>
      </c>
      <c r="G176" s="2"/>
      <c r="H176" s="2"/>
      <c r="I176" s="2"/>
      <c r="J176" s="2"/>
    </row>
    <row r="177" customFormat="false" ht="26.85" hidden="false" customHeight="false" outlineLevel="0" collapsed="false">
      <c r="A177" s="7" t="s">
        <v>302</v>
      </c>
      <c r="B177" s="24" t="n">
        <f aca="false">$B$171*$B$174+$B$172*$B$175+$B$173*$B$176</f>
        <v>0.595</v>
      </c>
      <c r="C177" s="2"/>
      <c r="D177" s="2"/>
      <c r="E177" s="7" t="s">
        <v>13</v>
      </c>
      <c r="F177" s="9" t="s">
        <v>303</v>
      </c>
      <c r="G177" s="2"/>
      <c r="H177" s="2"/>
      <c r="I177" s="2"/>
      <c r="J177" s="2"/>
    </row>
    <row r="178" customFormat="false" ht="26.85" hidden="false" customHeight="false" outlineLevel="0" collapsed="false">
      <c r="A178" s="7" t="s">
        <v>304</v>
      </c>
      <c r="B178" s="11" t="n">
        <v>100</v>
      </c>
      <c r="C178" s="2"/>
      <c r="D178" s="2"/>
      <c r="E178" s="7" t="s">
        <v>118</v>
      </c>
      <c r="F178" s="9" t="s">
        <v>305</v>
      </c>
      <c r="G178" s="2"/>
      <c r="H178" s="2"/>
      <c r="I178" s="2"/>
      <c r="J178" s="2"/>
    </row>
    <row r="179" customFormat="false" ht="15" hidden="false" customHeight="false" outlineLevel="0" collapsed="false">
      <c r="A179" s="7" t="s">
        <v>306</v>
      </c>
      <c r="B179" s="11" t="n">
        <v>250</v>
      </c>
      <c r="C179" s="2"/>
      <c r="D179" s="2"/>
      <c r="E179" s="7" t="s">
        <v>118</v>
      </c>
      <c r="F179" s="9" t="s">
        <v>307</v>
      </c>
      <c r="G179" s="2"/>
      <c r="H179" s="2"/>
      <c r="I179" s="2"/>
      <c r="J179" s="2"/>
    </row>
    <row r="180" customFormat="false" ht="15" hidden="false" customHeight="false" outlineLevel="0" collapsed="false">
      <c r="A180" s="7" t="s">
        <v>308</v>
      </c>
      <c r="B180" s="10" t="n">
        <v>0.2</v>
      </c>
      <c r="C180" s="2"/>
      <c r="D180" s="2"/>
      <c r="E180" s="7" t="s">
        <v>13</v>
      </c>
      <c r="F180" s="9" t="s">
        <v>309</v>
      </c>
      <c r="G180" s="2"/>
      <c r="H180" s="2"/>
      <c r="I180" s="2"/>
      <c r="J180" s="2"/>
    </row>
    <row r="181" customFormat="false" ht="15" hidden="false" customHeight="false" outlineLevel="0" collapsed="false">
      <c r="A181" s="7" t="s">
        <v>310</v>
      </c>
      <c r="B181" s="30" t="str">
        <f aca="false">IF(ABS($B$174+$B$175+$B$176-1)&lt;0.0001,"ok","Summe ≠ 100 %")</f>
        <v>ok</v>
      </c>
      <c r="C181" s="2"/>
      <c r="D181" s="2"/>
      <c r="E181" s="7"/>
      <c r="F181" s="9" t="s">
        <v>69</v>
      </c>
      <c r="G181" s="2"/>
      <c r="H181" s="2"/>
      <c r="I181" s="2"/>
      <c r="J181" s="2"/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28" min="3" style="0" width="13"/>
  </cols>
  <sheetData>
    <row r="1" customFormat="false" ht="17.35" hidden="false" customHeight="false" outlineLevel="0" collapsed="false">
      <c r="A1" s="1" t="s">
        <v>311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52.2" hidden="false" customHeight="false" outlineLevel="0" collapsed="false">
      <c r="A3" s="4" t="s">
        <v>312</v>
      </c>
      <c r="B3" s="31" t="str">
        <f aca="false">"vorsichtig – "&amp;Annahmen!$B$133</f>
        <v>vorsichtig – teures Hobby</v>
      </c>
      <c r="C3" s="31" t="str">
        <f aca="false">"mittel – "&amp;Annahmen!$C$133</f>
        <v>mittel – profitabler Nebenerwerb</v>
      </c>
      <c r="D3" s="31" t="str">
        <f aca="false">"stark – "&amp;Annahmen!$D$133</f>
        <v>stark – skalierbares Business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customFormat="false" ht="15" hidden="false" customHeight="false" outlineLevel="0" collapsed="false">
      <c r="A4" s="32" t="s">
        <v>313</v>
      </c>
      <c r="B4" s="32" t="str">
        <f aca="false">IFERROR("Monat "&amp;MATCH(1,AA18:AA41,0)&amp;" ("&amp;INDEX($B$18:$B$41,MATCH(1,AA18:AA41,0))&amp;")","nicht in 24 M")</f>
        <v>nicht in 24 M</v>
      </c>
      <c r="C4" s="32" t="str">
        <f aca="false">IFERROR("Monat "&amp;MATCH(1,AA47:AA70,0)&amp;" ("&amp;INDEX($B$47:$B$70,MATCH(1,AA47:AA70,0))&amp;")","nicht in 24 M")</f>
        <v>Monat 16 (04/2028)</v>
      </c>
      <c r="D4" s="32" t="str">
        <f aca="false">IFERROR("Monat "&amp;MATCH(1,AA76:AA99,0)&amp;" ("&amp;INDEX($B$76:$B$99,MATCH(1,AA76:AA99,0))&amp;")","nicht in 24 M")</f>
        <v>Monat 12 (12/2027)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customFormat="false" ht="15" hidden="false" customHeight="false" outlineLevel="0" collapsed="false">
      <c r="A5" s="32" t="s">
        <v>314</v>
      </c>
      <c r="B5" s="32" t="str">
        <f aca="false">IFERROR("Monat "&amp;MATCH(1,AB18:AB41,0)&amp;" ("&amp;INDEX($B$18:$B$41,MATCH(1,AB18:AB41,0))&amp;")","nicht in 24 M")</f>
        <v>nicht in 24 M</v>
      </c>
      <c r="C5" s="32" t="str">
        <f aca="false">IFERROR("Monat "&amp;MATCH(1,AB47:AB70,0)&amp;" ("&amp;INDEX($B$47:$B$70,MATCH(1,AB47:AB70,0))&amp;")","nicht in 24 M")</f>
        <v>nicht in 24 M</v>
      </c>
      <c r="D5" s="32" t="str">
        <f aca="false">IFERROR("Monat "&amp;MATCH(1,AB76:AB99,0)&amp;" ("&amp;INDEX($B$76:$B$99,MATCH(1,AB76:AB99,0))&amp;")","nicht in 24 M")</f>
        <v>Monat 19 (07/2028)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customFormat="false" ht="15" hidden="false" customHeight="false" outlineLevel="0" collapsed="false">
      <c r="A6" s="32" t="s">
        <v>315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customFormat="false" ht="15" hidden="false" customHeight="false" outlineLevel="0" collapsed="false">
      <c r="A7" s="7" t="s">
        <v>316</v>
      </c>
      <c r="B7" s="33" t="n">
        <f aca="false">Annahmen!$B$78/(1+Annahmen!$B$8)*(1-Annahmen!$B$75)-Annahmen!$B$76*(Annahmen!$B$61+(1-Annahmen!$B$61)/12)</f>
        <v>4.53081617647059</v>
      </c>
      <c r="C7" s="33" t="n">
        <f aca="false">Annahmen!$C$78/(1+Annahmen!$B$8)*(1-Annahmen!$B$75)-Annahmen!$B$76*(Annahmen!$C$61+(1-Annahmen!$C$61)/12)</f>
        <v>4.47171848739496</v>
      </c>
      <c r="D7" s="33" t="n">
        <f aca="false">Annahmen!$D$78/(1+Annahmen!$B$8)*(1-Annahmen!$B$75)-Annahmen!$B$76*(Annahmen!$D$61+(1-Annahmen!$D$61)/12)</f>
        <v>4.41262079831933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customFormat="false" ht="15" hidden="false" customHeight="false" outlineLevel="0" collapsed="false">
      <c r="A8" s="7" t="s">
        <v>317</v>
      </c>
      <c r="B8" s="33" t="n">
        <f aca="false">Annahmen!$B$78/(1+Annahmen!$B$8)*(1-Annahmen!$B$74)</f>
        <v>4.06625</v>
      </c>
      <c r="C8" s="33" t="n">
        <f aca="false">Annahmen!$C$78/(1+Annahmen!$B$8)*(1-Annahmen!$B$74)</f>
        <v>3.99547619047619</v>
      </c>
      <c r="D8" s="33" t="n">
        <f aca="false">Annahmen!$D$78/(1+Annahmen!$B$8)*(1-Annahmen!$B$74)</f>
        <v>3.92470238095238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customFormat="false" ht="15" hidden="false" customHeight="false" outlineLevel="0" collapsed="false">
      <c r="A9" s="7" t="s">
        <v>318</v>
      </c>
      <c r="B9" s="33" t="n">
        <f aca="false">Annahmen!$B$79/(1+Annahmen!$B$8)*(1-Annahmen!$B$75)-Annahmen!$B$76*(Annahmen!$B$61+(1-Annahmen!$B$61)/12)</f>
        <v>6.10350525210084</v>
      </c>
      <c r="C9" s="33" t="n">
        <f aca="false">Annahmen!$C$79/(1+Annahmen!$B$8)*(1-Annahmen!$B$75)-Annahmen!$B$76*(Annahmen!$C$61+(1-Annahmen!$C$61)/12)</f>
        <v>6.01681652661064</v>
      </c>
      <c r="D9" s="33" t="n">
        <f aca="false">Annahmen!$D$79/(1+Annahmen!$B$8)*(1-Annahmen!$B$75)-Annahmen!$B$76*(Annahmen!$D$61+(1-Annahmen!$D$61)/12)</f>
        <v>5.93012780112045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customFormat="false" ht="15" hidden="false" customHeight="false" outlineLevel="0" collapsed="false">
      <c r="A10" s="7" t="s">
        <v>319</v>
      </c>
      <c r="B10" s="33" t="n">
        <f aca="false">Annahmen!$B$79/(1+Annahmen!$B$8)*(1-Annahmen!$B$74)</f>
        <v>5.42339285714286</v>
      </c>
      <c r="C10" s="33" t="n">
        <f aca="false">Annahmen!$C$79/(1+Annahmen!$B$8)*(1-Annahmen!$B$74)</f>
        <v>5.32880952380952</v>
      </c>
      <c r="D10" s="33" t="n">
        <f aca="false">Annahmen!$D$79/(1+Annahmen!$B$8)*(1-Annahmen!$B$74)</f>
        <v>5.23422619047619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customFormat="false" ht="15" hidden="false" customHeight="false" outlineLevel="0" collapsed="false">
      <c r="A11" s="7" t="s">
        <v>320</v>
      </c>
      <c r="B11" s="33" t="n">
        <f aca="false">Annahmen!$B$71/(1+Annahmen!$B$8)*(1-Annahmen!$B$75)-Annahmen!$B$76-Annahmen!$B$43</f>
        <v>18.4465902748614</v>
      </c>
      <c r="C11" s="33" t="n">
        <f aca="false">Annahmen!$B$71/(1+Annahmen!$B$8)*(1-Annahmen!$B$75)-Annahmen!$B$76-Annahmen!$B$43</f>
        <v>18.4465902748614</v>
      </c>
      <c r="D11" s="33" t="n">
        <f aca="false">Annahmen!$B$71/(1+Annahmen!$B$8)*(1-Annahmen!$B$75)-Annahmen!$B$76-Annahmen!$B$43</f>
        <v>18.4465902748614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customFormat="false" ht="15" hidden="false" customHeight="false" outlineLevel="0" collapsed="false">
      <c r="A12" s="7" t="s">
        <v>321</v>
      </c>
      <c r="B12" s="33" t="n">
        <f aca="false">Annahmen!$B$72/(1+Annahmen!$B$8)*(1-Annahmen!$B$75)-Annahmen!$B$76-Annahmen!$B$44</f>
        <v>29.4956309042464</v>
      </c>
      <c r="C12" s="33" t="n">
        <f aca="false">Annahmen!$B$72/(1+Annahmen!$B$8)*(1-Annahmen!$B$75)-Annahmen!$B$76-Annahmen!$B$44</f>
        <v>29.4956309042464</v>
      </c>
      <c r="D12" s="33" t="n">
        <f aca="false">Annahmen!$B$72/(1+Annahmen!$B$8)*(1-Annahmen!$B$75)-Annahmen!$B$76-Annahmen!$B$44</f>
        <v>29.4956309042464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customFormat="false" ht="15" hidden="false" customHeight="false" outlineLevel="0" collapsed="false">
      <c r="A13" s="7" t="s">
        <v>322</v>
      </c>
      <c r="B13" s="33" t="n">
        <f aca="false">Annahmen!$B$42</f>
        <v>28.870962723936</v>
      </c>
      <c r="C13" s="33" t="n">
        <f aca="false">Annahmen!$B$42</f>
        <v>28.870962723936</v>
      </c>
      <c r="D13" s="33" t="n">
        <f aca="false">Annahmen!$B$42</f>
        <v>28.870962723936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customFormat="false" ht="15" hidden="false" customHeight="false" outlineLevel="0" collapsed="false">
      <c r="A16" s="5" t="str">
        <f aca="false">"Szenario vorsichtig – "&amp;Annahmen!$B$133</f>
        <v>Szenario vorsichtig – teures Hobby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2"/>
      <c r="AB16" s="2"/>
    </row>
    <row r="17" customFormat="false" ht="42" hidden="false" customHeight="true" outlineLevel="0" collapsed="false">
      <c r="A17" s="34" t="s">
        <v>96</v>
      </c>
      <c r="B17" s="34" t="s">
        <v>323</v>
      </c>
      <c r="C17" s="34" t="s">
        <v>324</v>
      </c>
      <c r="D17" s="34" t="s">
        <v>325</v>
      </c>
      <c r="E17" s="34" t="s">
        <v>326</v>
      </c>
      <c r="F17" s="34" t="s">
        <v>327</v>
      </c>
      <c r="G17" s="34" t="s">
        <v>328</v>
      </c>
      <c r="H17" s="34" t="s">
        <v>329</v>
      </c>
      <c r="I17" s="34" t="s">
        <v>330</v>
      </c>
      <c r="J17" s="34" t="s">
        <v>331</v>
      </c>
      <c r="K17" s="34" t="s">
        <v>332</v>
      </c>
      <c r="L17" s="34" t="s">
        <v>333</v>
      </c>
      <c r="M17" s="34" t="s">
        <v>334</v>
      </c>
      <c r="N17" s="34" t="s">
        <v>335</v>
      </c>
      <c r="O17" s="34" t="s">
        <v>336</v>
      </c>
      <c r="P17" s="34" t="s">
        <v>337</v>
      </c>
      <c r="Q17" s="34" t="s">
        <v>338</v>
      </c>
      <c r="R17" s="34" t="s">
        <v>339</v>
      </c>
      <c r="S17" s="34" t="s">
        <v>340</v>
      </c>
      <c r="T17" s="34" t="s">
        <v>341</v>
      </c>
      <c r="U17" s="34" t="s">
        <v>342</v>
      </c>
      <c r="V17" s="34" t="s">
        <v>343</v>
      </c>
      <c r="W17" s="34" t="s">
        <v>344</v>
      </c>
      <c r="X17" s="34" t="s">
        <v>345</v>
      </c>
      <c r="Y17" s="34" t="s">
        <v>346</v>
      </c>
      <c r="Z17" s="34" t="s">
        <v>347</v>
      </c>
      <c r="AA17" s="34" t="s">
        <v>348</v>
      </c>
      <c r="AB17" s="34" t="s">
        <v>349</v>
      </c>
    </row>
    <row r="18" customFormat="false" ht="15" hidden="false" customHeight="false" outlineLevel="0" collapsed="false">
      <c r="A18" s="7" t="n">
        <v>1</v>
      </c>
      <c r="B18" s="7" t="s">
        <v>350</v>
      </c>
      <c r="C18" s="15" t="n">
        <f aca="false">IF($A18&lt;Annahmen!$B$54,0,Annahmen!$B$55)</f>
        <v>0</v>
      </c>
      <c r="D18" s="17" t="n">
        <f aca="false">C18*Annahmen!$B$58</f>
        <v>0</v>
      </c>
      <c r="E18" s="17" t="n">
        <f aca="false">D18</f>
        <v>0</v>
      </c>
      <c r="F18" s="17" t="n">
        <f aca="false">E18*(1-Annahmen!$B$60)</f>
        <v>0</v>
      </c>
      <c r="G18" s="17" t="n">
        <f aca="false">E18*Annahmen!$B$60</f>
        <v>0</v>
      </c>
      <c r="H18" s="23" t="n">
        <f aca="false">F18*Annahmen!$B$78+G18*Annahmen!$B$79</f>
        <v>0</v>
      </c>
      <c r="I18" s="17" t="n">
        <f aca="false">IF($A18&gt;=Annahmen!$B$54,Annahmen!$B$63*(1-Annahmen!$B$64),0)</f>
        <v>0</v>
      </c>
      <c r="J18" s="17" t="n">
        <f aca="false">IF($A18&gt;=Annahmen!$B$54,Annahmen!$B$63*Annahmen!$B$64,0)</f>
        <v>0</v>
      </c>
      <c r="K18" s="23" t="n">
        <f aca="false">I18*Annahmen!$B$71+J18*Annahmen!$B$72</f>
        <v>0</v>
      </c>
      <c r="L18" s="17" t="n">
        <f aca="false">IF($A18&gt;=Annahmen!$B$54,Annahmen!$B$65,0)</f>
        <v>0</v>
      </c>
      <c r="M18" s="23" t="n">
        <f aca="false">L18*Annahmen!$B$73</f>
        <v>0</v>
      </c>
      <c r="N18" s="23" t="n">
        <f aca="false">H18+K18+M18</f>
        <v>0</v>
      </c>
      <c r="O18" s="23" t="n">
        <f aca="false">N18/(1+Annahmen!$B$8)</f>
        <v>0</v>
      </c>
      <c r="P18" s="23" t="n">
        <f aca="false">O18*(Annahmen!$B$62*Annahmen!$B$74+(1-Annahmen!$B$62)*Annahmen!$B$75)+(E18*Annahmen!$B$61+E18*(1-Annahmen!$B$61)/12+I18+J18+L18)*(1-Annahmen!$B$62)*Annahmen!$B$76</f>
        <v>0</v>
      </c>
      <c r="Q18" s="17" t="n">
        <f aca="false">Annahmen!$B$66</f>
        <v>4</v>
      </c>
      <c r="R18" s="23" t="n">
        <f aca="false">Q18*Annahmen!$B$42</f>
        <v>115.483850895744</v>
      </c>
      <c r="S18" s="23" t="n">
        <f aca="false">I18*Annahmen!$B$43+(J18+L18)*Annahmen!$B$44</f>
        <v>0</v>
      </c>
      <c r="T18" s="23" t="n">
        <f aca="false">C18*Annahmen!$B$77</f>
        <v>0</v>
      </c>
      <c r="U18" s="23" t="n">
        <f aca="false">SUMPRODUCT((((Annahmen!$C$145:$C$155="monatlich")*(Annahmen!$D$145:$D$155&lt;=$A18))+((Annahmen!$C$145:$C$155="einmalig")*(Annahmen!$D$145:$D$155=$A18)))*Annahmen!$B$145:$B$155*Annahmen!$E$145:$E$155)</f>
        <v>232.38507996069</v>
      </c>
      <c r="V18" s="23" t="n">
        <f aca="false">IF($A18&gt;=Annahmen!$B$54,Annahmen!$B$134,0)</f>
        <v>0</v>
      </c>
      <c r="W18" s="35" t="n">
        <f aca="false">MAX(0,(E18-Annahmen!$B$138)/Annahmen!$B$139)</f>
        <v>0</v>
      </c>
      <c r="X18" s="23" t="n">
        <f aca="false">W18*Annahmen!$B$137</f>
        <v>0</v>
      </c>
      <c r="Y18" s="23" t="n">
        <f aca="false">O18-P18-R18-S18-T18-U18-V18-X18</f>
        <v>-347.868930856434</v>
      </c>
      <c r="Z18" s="23" t="n">
        <f aca="false">Y18</f>
        <v>-347.868930856434</v>
      </c>
      <c r="AA18" s="7" t="n">
        <f aca="false">IF(Y18&gt;0,1,0)</f>
        <v>0</v>
      </c>
      <c r="AB18" s="7" t="n">
        <f aca="false">IF(Z18&gt;=0,1,0)</f>
        <v>0</v>
      </c>
    </row>
    <row r="19" customFormat="false" ht="15" hidden="false" customHeight="false" outlineLevel="0" collapsed="false">
      <c r="A19" s="7" t="n">
        <v>2</v>
      </c>
      <c r="B19" s="7" t="s">
        <v>351</v>
      </c>
      <c r="C19" s="15" t="n">
        <f aca="false">IF($A19&lt;Annahmen!$B$54,0,IF($A19=Annahmen!$B$54,Annahmen!$B$55,C18*(1+Annahmen!$B$56*(1-C18/Annahmen!$B$57))))</f>
        <v>0</v>
      </c>
      <c r="D19" s="17" t="n">
        <f aca="false">C19*Annahmen!$B$58</f>
        <v>0</v>
      </c>
      <c r="E19" s="17" t="n">
        <f aca="false">E18*(1-Annahmen!$B$59)+D19</f>
        <v>0</v>
      </c>
      <c r="F19" s="17" t="n">
        <f aca="false">E19*(1-Annahmen!$B$60)</f>
        <v>0</v>
      </c>
      <c r="G19" s="17" t="n">
        <f aca="false">E19*Annahmen!$B$60</f>
        <v>0</v>
      </c>
      <c r="H19" s="23" t="n">
        <f aca="false">F19*Annahmen!$B$78+G19*Annahmen!$B$79</f>
        <v>0</v>
      </c>
      <c r="I19" s="17" t="n">
        <f aca="false">IF($A19&gt;=Annahmen!$B$54,Annahmen!$B$63*(1-Annahmen!$B$64),0)</f>
        <v>0</v>
      </c>
      <c r="J19" s="17" t="n">
        <f aca="false">IF($A19&gt;=Annahmen!$B$54,Annahmen!$B$63*Annahmen!$B$64,0)</f>
        <v>0</v>
      </c>
      <c r="K19" s="23" t="n">
        <f aca="false">I19*Annahmen!$B$71+J19*Annahmen!$B$72</f>
        <v>0</v>
      </c>
      <c r="L19" s="17" t="n">
        <f aca="false">IF($A19&gt;=Annahmen!$B$54,Annahmen!$B$65,0)</f>
        <v>0</v>
      </c>
      <c r="M19" s="23" t="n">
        <f aca="false">L19*Annahmen!$B$73</f>
        <v>0</v>
      </c>
      <c r="N19" s="23" t="n">
        <f aca="false">H19+K19+M19</f>
        <v>0</v>
      </c>
      <c r="O19" s="23" t="n">
        <f aca="false">N19/(1+Annahmen!$B$8)</f>
        <v>0</v>
      </c>
      <c r="P19" s="23" t="n">
        <f aca="false">O19*(Annahmen!$B$62*Annahmen!$B$74+(1-Annahmen!$B$62)*Annahmen!$B$75)+(E19*Annahmen!$B$61+E19*(1-Annahmen!$B$61)/12+I19+J19+L19)*(1-Annahmen!$B$62)*Annahmen!$B$76</f>
        <v>0</v>
      </c>
      <c r="Q19" s="17" t="n">
        <f aca="false">Annahmen!$B$66</f>
        <v>4</v>
      </c>
      <c r="R19" s="23" t="n">
        <f aca="false">Q19*Annahmen!$B$42</f>
        <v>115.483850895744</v>
      </c>
      <c r="S19" s="23" t="n">
        <f aca="false">I19*Annahmen!$B$43+(J19+L19)*Annahmen!$B$44</f>
        <v>0</v>
      </c>
      <c r="T19" s="23" t="n">
        <f aca="false">C19*Annahmen!$B$77</f>
        <v>0</v>
      </c>
      <c r="U19" s="23" t="n">
        <f aca="false">SUMPRODUCT((((Annahmen!$C$145:$C$155="monatlich")*(Annahmen!$D$145:$D$155&lt;=$A19))+((Annahmen!$C$145:$C$155="einmalig")*(Annahmen!$D$145:$D$155=$A19)))*Annahmen!$B$145:$B$155*Annahmen!$E$145:$E$155)</f>
        <v>92.3204681497364</v>
      </c>
      <c r="V19" s="23" t="n">
        <f aca="false">IF($A19&gt;=Annahmen!$B$54,Annahmen!$B$134,0)</f>
        <v>0</v>
      </c>
      <c r="W19" s="35" t="n">
        <f aca="false">MAX(0,(E19-Annahmen!$B$138)/Annahmen!$B$139)</f>
        <v>0</v>
      </c>
      <c r="X19" s="23" t="n">
        <f aca="false">W19*Annahmen!$B$137</f>
        <v>0</v>
      </c>
      <c r="Y19" s="23" t="n">
        <f aca="false">O19-P19-R19-S19-T19-U19-V19-X19</f>
        <v>-207.804319045481</v>
      </c>
      <c r="Z19" s="23" t="n">
        <f aca="false">Z18+Y19</f>
        <v>-555.673249901914</v>
      </c>
      <c r="AA19" s="7" t="n">
        <f aca="false">IF(Y19&gt;0,1,0)</f>
        <v>0</v>
      </c>
      <c r="AB19" s="7" t="n">
        <f aca="false">IF(Z19&gt;=0,1,0)</f>
        <v>0</v>
      </c>
    </row>
    <row r="20" customFormat="false" ht="15" hidden="false" customHeight="false" outlineLevel="0" collapsed="false">
      <c r="A20" s="7" t="n">
        <v>3</v>
      </c>
      <c r="B20" s="7" t="s">
        <v>352</v>
      </c>
      <c r="C20" s="15" t="n">
        <f aca="false">IF($A20&lt;Annahmen!$B$54,0,IF($A20=Annahmen!$B$54,Annahmen!$B$55,C19*(1+Annahmen!$B$56*(1-C19/Annahmen!$B$57))))</f>
        <v>0</v>
      </c>
      <c r="D20" s="17" t="n">
        <f aca="false">C20*Annahmen!$B$58</f>
        <v>0</v>
      </c>
      <c r="E20" s="17" t="n">
        <f aca="false">E19*(1-Annahmen!$B$59)+D20</f>
        <v>0</v>
      </c>
      <c r="F20" s="17" t="n">
        <f aca="false">E20*(1-Annahmen!$B$60)</f>
        <v>0</v>
      </c>
      <c r="G20" s="17" t="n">
        <f aca="false">E20*Annahmen!$B$60</f>
        <v>0</v>
      </c>
      <c r="H20" s="23" t="n">
        <f aca="false">F20*Annahmen!$B$78+G20*Annahmen!$B$79</f>
        <v>0</v>
      </c>
      <c r="I20" s="17" t="n">
        <f aca="false">IF($A20&gt;=Annahmen!$B$54,Annahmen!$B$63*(1-Annahmen!$B$64),0)</f>
        <v>0</v>
      </c>
      <c r="J20" s="17" t="n">
        <f aca="false">IF($A20&gt;=Annahmen!$B$54,Annahmen!$B$63*Annahmen!$B$64,0)</f>
        <v>0</v>
      </c>
      <c r="K20" s="23" t="n">
        <f aca="false">I20*Annahmen!$B$71+J20*Annahmen!$B$72</f>
        <v>0</v>
      </c>
      <c r="L20" s="17" t="n">
        <f aca="false">IF($A20&gt;=Annahmen!$B$54,Annahmen!$B$65,0)</f>
        <v>0</v>
      </c>
      <c r="M20" s="23" t="n">
        <f aca="false">L20*Annahmen!$B$73</f>
        <v>0</v>
      </c>
      <c r="N20" s="23" t="n">
        <f aca="false">H20+K20+M20</f>
        <v>0</v>
      </c>
      <c r="O20" s="23" t="n">
        <f aca="false">N20/(1+Annahmen!$B$8)</f>
        <v>0</v>
      </c>
      <c r="P20" s="23" t="n">
        <f aca="false">O20*(Annahmen!$B$62*Annahmen!$B$74+(1-Annahmen!$B$62)*Annahmen!$B$75)+(E20*Annahmen!$B$61+E20*(1-Annahmen!$B$61)/12+I20+J20+L20)*(1-Annahmen!$B$62)*Annahmen!$B$76</f>
        <v>0</v>
      </c>
      <c r="Q20" s="17" t="n">
        <f aca="false">Annahmen!$B$66</f>
        <v>4</v>
      </c>
      <c r="R20" s="23" t="n">
        <f aca="false">Q20*Annahmen!$B$42</f>
        <v>115.483850895744</v>
      </c>
      <c r="S20" s="23" t="n">
        <f aca="false">I20*Annahmen!$B$43+(J20+L20)*Annahmen!$B$44</f>
        <v>0</v>
      </c>
      <c r="T20" s="23" t="n">
        <f aca="false">C20*Annahmen!$B$77</f>
        <v>0</v>
      </c>
      <c r="U20" s="23" t="n">
        <f aca="false">SUMPRODUCT((((Annahmen!$C$145:$C$155="monatlich")*(Annahmen!$D$145:$D$155&lt;=$A20))+((Annahmen!$C$145:$C$155="einmalig")*(Annahmen!$D$145:$D$155=$A20)))*Annahmen!$B$145:$B$155*Annahmen!$E$145:$E$155)</f>
        <v>69.9850799606897</v>
      </c>
      <c r="V20" s="23" t="n">
        <f aca="false">IF($A20&gt;=Annahmen!$B$54,Annahmen!$B$134,0)</f>
        <v>0</v>
      </c>
      <c r="W20" s="35" t="n">
        <f aca="false">MAX(0,(E20-Annahmen!$B$138)/Annahmen!$B$139)</f>
        <v>0</v>
      </c>
      <c r="X20" s="23" t="n">
        <f aca="false">W20*Annahmen!$B$137</f>
        <v>0</v>
      </c>
      <c r="Y20" s="23" t="n">
        <f aca="false">O20-P20-R20-S20-T20-U20-V20-X20</f>
        <v>-185.468930856434</v>
      </c>
      <c r="Z20" s="23" t="n">
        <f aca="false">Z19+Y20</f>
        <v>-741.142180758348</v>
      </c>
      <c r="AA20" s="7" t="n">
        <f aca="false">IF(Y20&gt;0,1,0)</f>
        <v>0</v>
      </c>
      <c r="AB20" s="7" t="n">
        <f aca="false">IF(Z20&gt;=0,1,0)</f>
        <v>0</v>
      </c>
    </row>
    <row r="21" customFormat="false" ht="15" hidden="false" customHeight="false" outlineLevel="0" collapsed="false">
      <c r="A21" s="7" t="n">
        <v>4</v>
      </c>
      <c r="B21" s="7" t="s">
        <v>353</v>
      </c>
      <c r="C21" s="15" t="n">
        <f aca="false">IF($A21&lt;Annahmen!$B$54,0,IF($A21=Annahmen!$B$54,Annahmen!$B$55,C20*(1+Annahmen!$B$56*(1-C20/Annahmen!$B$57))))</f>
        <v>200</v>
      </c>
      <c r="D21" s="17" t="n">
        <f aca="false">C21*Annahmen!$B$58</f>
        <v>1</v>
      </c>
      <c r="E21" s="17" t="n">
        <f aca="false">E20*(1-Annahmen!$B$59)+D21</f>
        <v>1</v>
      </c>
      <c r="F21" s="17" t="n">
        <f aca="false">E21*(1-Annahmen!$B$60)</f>
        <v>0.7</v>
      </c>
      <c r="G21" s="17" t="n">
        <f aca="false">E21*Annahmen!$B$60</f>
        <v>0.3</v>
      </c>
      <c r="H21" s="23" t="n">
        <f aca="false">F21*Annahmen!$B$78+G21*Annahmen!$B$79</f>
        <v>6.26275</v>
      </c>
      <c r="I21" s="17" t="n">
        <f aca="false">IF($A21&gt;=Annahmen!$B$54,Annahmen!$B$63*(1-Annahmen!$B$64),0)</f>
        <v>0.35</v>
      </c>
      <c r="J21" s="17" t="n">
        <f aca="false">IF($A21&gt;=Annahmen!$B$54,Annahmen!$B$63*Annahmen!$B$64,0)</f>
        <v>0.15</v>
      </c>
      <c r="K21" s="23" t="n">
        <f aca="false">I21*Annahmen!$B$71+J21*Annahmen!$B$72</f>
        <v>32.245</v>
      </c>
      <c r="L21" s="17" t="n">
        <f aca="false">IF($A21&gt;=Annahmen!$B$54,Annahmen!$B$65,0)</f>
        <v>0</v>
      </c>
      <c r="M21" s="23" t="n">
        <f aca="false">L21*Annahmen!$B$73</f>
        <v>0</v>
      </c>
      <c r="N21" s="23" t="n">
        <f aca="false">H21+K21+M21</f>
        <v>38.50775</v>
      </c>
      <c r="O21" s="23" t="n">
        <f aca="false">N21/(1+Annahmen!$B$8)</f>
        <v>32.3594537815126</v>
      </c>
      <c r="P21" s="23" t="n">
        <f aca="false">O21*(Annahmen!$B$62*Annahmen!$B$74+(1-Annahmen!$B$62)*Annahmen!$B$75)+(E21*Annahmen!$B$61+E21*(1-Annahmen!$B$61)/12+I21+J21+L21)*(1-Annahmen!$B$62)*Annahmen!$B$76</f>
        <v>3.22900756302521</v>
      </c>
      <c r="Q21" s="17" t="n">
        <f aca="false">Annahmen!$B$66</f>
        <v>4</v>
      </c>
      <c r="R21" s="23" t="n">
        <f aca="false">Q21*Annahmen!$B$42</f>
        <v>115.483850895744</v>
      </c>
      <c r="S21" s="23" t="n">
        <f aca="false">I21*Annahmen!$B$43+(J21+L21)*Annahmen!$B$44</f>
        <v>15.6845378437918</v>
      </c>
      <c r="T21" s="23" t="n">
        <f aca="false">C21*Annahmen!$B$77</f>
        <v>2</v>
      </c>
      <c r="U21" s="23" t="n">
        <f aca="false">SUMPRODUCT((((Annahmen!$C$145:$C$155="monatlich")*(Annahmen!$D$145:$D$155&lt;=$A21))+((Annahmen!$C$145:$C$155="einmalig")*(Annahmen!$D$145:$D$155=$A21)))*Annahmen!$B$145:$B$155*Annahmen!$E$145:$E$155)</f>
        <v>69.9850799606897</v>
      </c>
      <c r="V21" s="23" t="n">
        <f aca="false">IF($A21&gt;=Annahmen!$B$54,Annahmen!$B$134,0)</f>
        <v>200</v>
      </c>
      <c r="W21" s="35" t="n">
        <f aca="false">MAX(0,(E21-Annahmen!$B$138)/Annahmen!$B$139)</f>
        <v>0</v>
      </c>
      <c r="X21" s="23" t="n">
        <f aca="false">W21*Annahmen!$B$137</f>
        <v>0</v>
      </c>
      <c r="Y21" s="23" t="n">
        <f aca="false">O21-P21-R21-S21-T21-U21-V21-X21</f>
        <v>-374.023022481738</v>
      </c>
      <c r="Z21" s="23" t="n">
        <f aca="false">Z20+Y21</f>
        <v>-1115.16520324009</v>
      </c>
      <c r="AA21" s="7" t="n">
        <f aca="false">IF(Y21&gt;0,1,0)</f>
        <v>0</v>
      </c>
      <c r="AB21" s="7" t="n">
        <f aca="false">IF(Z21&gt;=0,1,0)</f>
        <v>0</v>
      </c>
    </row>
    <row r="22" customFormat="false" ht="15" hidden="false" customHeight="false" outlineLevel="0" collapsed="false">
      <c r="A22" s="7" t="n">
        <v>5</v>
      </c>
      <c r="B22" s="7" t="s">
        <v>354</v>
      </c>
      <c r="C22" s="15" t="n">
        <f aca="false">IF($A22&lt;Annahmen!$B$54,0,IF($A22=Annahmen!$B$54,Annahmen!$B$55,C21*(1+Annahmen!$B$56*(1-C21/Annahmen!$B$57))))</f>
        <v>215.936</v>
      </c>
      <c r="D22" s="17" t="n">
        <f aca="false">C22*Annahmen!$B$58</f>
        <v>1.07968</v>
      </c>
      <c r="E22" s="17" t="n">
        <f aca="false">E21*(1-Annahmen!$B$59)+D22</f>
        <v>1.99968</v>
      </c>
      <c r="F22" s="17" t="n">
        <f aca="false">E22*(1-Annahmen!$B$60)</f>
        <v>1.399776</v>
      </c>
      <c r="G22" s="17" t="n">
        <f aca="false">E22*Annahmen!$B$60</f>
        <v>0.599904</v>
      </c>
      <c r="H22" s="23" t="n">
        <f aca="false">F22*Annahmen!$B$78+G22*Annahmen!$B$79</f>
        <v>12.52349592</v>
      </c>
      <c r="I22" s="17" t="n">
        <f aca="false">IF($A22&gt;=Annahmen!$B$54,Annahmen!$B$63*(1-Annahmen!$B$64),0)</f>
        <v>0.35</v>
      </c>
      <c r="J22" s="17" t="n">
        <f aca="false">IF($A22&gt;=Annahmen!$B$54,Annahmen!$B$63*Annahmen!$B$64,0)</f>
        <v>0.15</v>
      </c>
      <c r="K22" s="23" t="n">
        <f aca="false">I22*Annahmen!$B$71+J22*Annahmen!$B$72</f>
        <v>32.245</v>
      </c>
      <c r="L22" s="17" t="n">
        <f aca="false">IF($A22&gt;=Annahmen!$B$54,Annahmen!$B$65,0)</f>
        <v>0</v>
      </c>
      <c r="M22" s="23" t="n">
        <f aca="false">L22*Annahmen!$B$73</f>
        <v>0</v>
      </c>
      <c r="N22" s="23" t="n">
        <f aca="false">H22+K22+M22</f>
        <v>44.76849592</v>
      </c>
      <c r="O22" s="23" t="n">
        <f aca="false">N22/(1+Annahmen!$B$8)</f>
        <v>37.6205848067227</v>
      </c>
      <c r="P22" s="23" t="n">
        <f aca="false">O22*(Annahmen!$B$62*Annahmen!$B$74+(1-Annahmen!$B$62)*Annahmen!$B$75)+(E22*Annahmen!$B$61+E22*(1-Annahmen!$B$61)/12+I22+J22+L22)*(1-Annahmen!$B$62)*Annahmen!$B$76</f>
        <v>3.80655294144538</v>
      </c>
      <c r="Q22" s="17" t="n">
        <f aca="false">Annahmen!$B$66</f>
        <v>4</v>
      </c>
      <c r="R22" s="23" t="n">
        <f aca="false">Q22*Annahmen!$B$42</f>
        <v>115.483850895744</v>
      </c>
      <c r="S22" s="23" t="n">
        <f aca="false">I22*Annahmen!$B$43+(J22+L22)*Annahmen!$B$44</f>
        <v>15.6845378437918</v>
      </c>
      <c r="T22" s="23" t="n">
        <f aca="false">C22*Annahmen!$B$77</f>
        <v>2.15936</v>
      </c>
      <c r="U22" s="23" t="n">
        <f aca="false">SUMPRODUCT((((Annahmen!$C$145:$C$155="monatlich")*(Annahmen!$D$145:$D$155&lt;=$A22))+((Annahmen!$C$145:$C$155="einmalig")*(Annahmen!$D$145:$D$155=$A22)))*Annahmen!$B$145:$B$155*Annahmen!$E$145:$E$155)</f>
        <v>309.98507996069</v>
      </c>
      <c r="V22" s="23" t="n">
        <f aca="false">IF($A22&gt;=Annahmen!$B$54,Annahmen!$B$134,0)</f>
        <v>200</v>
      </c>
      <c r="W22" s="35" t="n">
        <f aca="false">MAX(0,(E22-Annahmen!$B$138)/Annahmen!$B$139)</f>
        <v>0</v>
      </c>
      <c r="X22" s="23" t="n">
        <f aca="false">W22*Annahmen!$B$137</f>
        <v>0</v>
      </c>
      <c r="Y22" s="23" t="n">
        <f aca="false">O22-P22-R22-S22-T22-U22-V22-X22</f>
        <v>-609.498796834948</v>
      </c>
      <c r="Z22" s="23" t="n">
        <f aca="false">Z21+Y22</f>
        <v>-1724.66400007503</v>
      </c>
      <c r="AA22" s="7" t="n">
        <f aca="false">IF(Y22&gt;0,1,0)</f>
        <v>0</v>
      </c>
      <c r="AB22" s="7" t="n">
        <f aca="false">IF(Z22&gt;=0,1,0)</f>
        <v>0</v>
      </c>
    </row>
    <row r="23" customFormat="false" ht="15" hidden="false" customHeight="false" outlineLevel="0" collapsed="false">
      <c r="A23" s="7" t="n">
        <v>6</v>
      </c>
      <c r="B23" s="7" t="s">
        <v>355</v>
      </c>
      <c r="C23" s="15" t="n">
        <f aca="false">IF($A23&lt;Annahmen!$B$54,0,IF($A23=Annahmen!$B$54,Annahmen!$B$55,C22*(1+Annahmen!$B$56*(1-C22/Annahmen!$B$57))))</f>
        <v>233.136274630246</v>
      </c>
      <c r="D23" s="17" t="n">
        <f aca="false">C23*Annahmen!$B$58</f>
        <v>1.16568137315123</v>
      </c>
      <c r="E23" s="17" t="n">
        <f aca="false">E22*(1-Annahmen!$B$59)+D23</f>
        <v>3.00538697315123</v>
      </c>
      <c r="F23" s="17" t="n">
        <f aca="false">E23*(1-Annahmen!$B$60)</f>
        <v>2.10377088120586</v>
      </c>
      <c r="G23" s="17" t="n">
        <f aca="false">E23*Annahmen!$B$60</f>
        <v>0.90161609194537</v>
      </c>
      <c r="H23" s="23" t="n">
        <f aca="false">F23*Annahmen!$B$78+G23*Annahmen!$B$79</f>
        <v>18.8219872661029</v>
      </c>
      <c r="I23" s="17" t="n">
        <f aca="false">IF($A23&gt;=Annahmen!$B$54,Annahmen!$B$63*(1-Annahmen!$B$64),0)</f>
        <v>0.35</v>
      </c>
      <c r="J23" s="17" t="n">
        <f aca="false">IF($A23&gt;=Annahmen!$B$54,Annahmen!$B$63*Annahmen!$B$64,0)</f>
        <v>0.15</v>
      </c>
      <c r="K23" s="23" t="n">
        <f aca="false">I23*Annahmen!$B$71+J23*Annahmen!$B$72</f>
        <v>32.245</v>
      </c>
      <c r="L23" s="17" t="n">
        <f aca="false">IF($A23&gt;=Annahmen!$B$54,Annahmen!$B$65,0)</f>
        <v>0</v>
      </c>
      <c r="M23" s="23" t="n">
        <f aca="false">L23*Annahmen!$B$73</f>
        <v>0</v>
      </c>
      <c r="N23" s="23" t="n">
        <f aca="false">H23+K23+M23</f>
        <v>51.0669872661029</v>
      </c>
      <c r="O23" s="23" t="n">
        <f aca="false">N23/(1+Annahmen!$B$8)</f>
        <v>42.9134346773974</v>
      </c>
      <c r="P23" s="23" t="n">
        <f aca="false">O23*(Annahmen!$B$62*Annahmen!$B$74+(1-Annahmen!$B$62)*Annahmen!$B$75)+(E23*Annahmen!$B$61+E23*(1-Annahmen!$B$61)/12+I23+J23+L23)*(1-Annahmen!$B$62)*Annahmen!$B$76</f>
        <v>4.38758028458361</v>
      </c>
      <c r="Q23" s="17" t="n">
        <f aca="false">Annahmen!$B$66</f>
        <v>4</v>
      </c>
      <c r="R23" s="23" t="n">
        <f aca="false">Q23*Annahmen!$B$42</f>
        <v>115.483850895744</v>
      </c>
      <c r="S23" s="23" t="n">
        <f aca="false">I23*Annahmen!$B$43+(J23+L23)*Annahmen!$B$44</f>
        <v>15.6845378437918</v>
      </c>
      <c r="T23" s="23" t="n">
        <f aca="false">C23*Annahmen!$B$77</f>
        <v>2.33136274630246</v>
      </c>
      <c r="U23" s="23" t="n">
        <f aca="false">SUMPRODUCT((((Annahmen!$C$145:$C$155="monatlich")*(Annahmen!$D$145:$D$155&lt;=$A23))+((Annahmen!$C$145:$C$155="einmalig")*(Annahmen!$D$145:$D$155=$A23)))*Annahmen!$B$145:$B$155*Annahmen!$E$145:$E$155)</f>
        <v>69.9850799606897</v>
      </c>
      <c r="V23" s="23" t="n">
        <f aca="false">IF($A23&gt;=Annahmen!$B$54,Annahmen!$B$134,0)</f>
        <v>200</v>
      </c>
      <c r="W23" s="35" t="n">
        <f aca="false">MAX(0,(E23-Annahmen!$B$138)/Annahmen!$B$139)</f>
        <v>0</v>
      </c>
      <c r="X23" s="23" t="n">
        <f aca="false">W23*Annahmen!$B$137</f>
        <v>0</v>
      </c>
      <c r="Y23" s="23" t="n">
        <f aca="false">O23-P23-R23-S23-T23-U23-V23-X23</f>
        <v>-364.958977053714</v>
      </c>
      <c r="Z23" s="23" t="n">
        <f aca="false">Z22+Y23</f>
        <v>-2089.62297712875</v>
      </c>
      <c r="AA23" s="7" t="n">
        <f aca="false">IF(Y23&gt;0,1,0)</f>
        <v>0</v>
      </c>
      <c r="AB23" s="7" t="n">
        <f aca="false">IF(Z23&gt;=0,1,0)</f>
        <v>0</v>
      </c>
    </row>
    <row r="24" customFormat="false" ht="15" hidden="false" customHeight="false" outlineLevel="0" collapsed="false">
      <c r="A24" s="7" t="n">
        <v>7</v>
      </c>
      <c r="B24" s="7" t="s">
        <v>356</v>
      </c>
      <c r="C24" s="15" t="n">
        <f aca="false">IF($A24&lt;Annahmen!$B$54,0,IF($A24=Annahmen!$B$54,Annahmen!$B$55,C23*(1+Annahmen!$B$56*(1-C23/Annahmen!$B$57))))</f>
        <v>251.700212564589</v>
      </c>
      <c r="D24" s="17" t="n">
        <f aca="false">C24*Annahmen!$B$58</f>
        <v>1.25850106282294</v>
      </c>
      <c r="E24" s="17" t="n">
        <f aca="false">E23*(1-Annahmen!$B$59)+D24</f>
        <v>4.02345707812208</v>
      </c>
      <c r="F24" s="17" t="n">
        <f aca="false">E24*(1-Annahmen!$B$60)</f>
        <v>2.81641995468545</v>
      </c>
      <c r="G24" s="17" t="n">
        <f aca="false">E24*Annahmen!$B$60</f>
        <v>1.20703712343662</v>
      </c>
      <c r="H24" s="23" t="n">
        <f aca="false">F24*Annahmen!$B$78+G24*Annahmen!$B$79</f>
        <v>25.197905816009</v>
      </c>
      <c r="I24" s="17" t="n">
        <f aca="false">IF($A24&gt;=Annahmen!$B$54,Annahmen!$B$63*(1-Annahmen!$B$64),0)</f>
        <v>0.35</v>
      </c>
      <c r="J24" s="17" t="n">
        <f aca="false">IF($A24&gt;=Annahmen!$B$54,Annahmen!$B$63*Annahmen!$B$64,0)</f>
        <v>0.15</v>
      </c>
      <c r="K24" s="23" t="n">
        <f aca="false">I24*Annahmen!$B$71+J24*Annahmen!$B$72</f>
        <v>32.245</v>
      </c>
      <c r="L24" s="17" t="n">
        <f aca="false">IF($A24&gt;=Annahmen!$B$54,Annahmen!$B$65,0)</f>
        <v>0</v>
      </c>
      <c r="M24" s="23" t="n">
        <f aca="false">L24*Annahmen!$B$73</f>
        <v>0</v>
      </c>
      <c r="N24" s="23" t="n">
        <f aca="false">H24+K24+M24</f>
        <v>57.442905816009</v>
      </c>
      <c r="O24" s="23" t="n">
        <f aca="false">N24/(1+Annahmen!$B$8)</f>
        <v>48.2713494252177</v>
      </c>
      <c r="P24" s="23" t="n">
        <f aca="false">O24*(Annahmen!$B$62*Annahmen!$B$74+(1-Annahmen!$B$62)*Annahmen!$B$75)+(E24*Annahmen!$B$61+E24*(1-Annahmen!$B$61)/12+I24+J24+L24)*(1-Annahmen!$B$62)*Annahmen!$B$76</f>
        <v>4.97575018298475</v>
      </c>
      <c r="Q24" s="17" t="n">
        <f aca="false">Annahmen!$B$66</f>
        <v>4</v>
      </c>
      <c r="R24" s="23" t="n">
        <f aca="false">Q24*Annahmen!$B$42</f>
        <v>115.483850895744</v>
      </c>
      <c r="S24" s="23" t="n">
        <f aca="false">I24*Annahmen!$B$43+(J24+L24)*Annahmen!$B$44</f>
        <v>15.6845378437918</v>
      </c>
      <c r="T24" s="23" t="n">
        <f aca="false">C24*Annahmen!$B$77</f>
        <v>2.51700212564589</v>
      </c>
      <c r="U24" s="23" t="n">
        <f aca="false">SUMPRODUCT((((Annahmen!$C$145:$C$155="monatlich")*(Annahmen!$D$145:$D$155&lt;=$A24))+((Annahmen!$C$145:$C$155="einmalig")*(Annahmen!$D$145:$D$155=$A24)))*Annahmen!$B$145:$B$155*Annahmen!$E$145:$E$155)</f>
        <v>69.9850799606897</v>
      </c>
      <c r="V24" s="23" t="n">
        <f aca="false">IF($A24&gt;=Annahmen!$B$54,Annahmen!$B$134,0)</f>
        <v>200</v>
      </c>
      <c r="W24" s="35" t="n">
        <f aca="false">MAX(0,(E24-Annahmen!$B$138)/Annahmen!$B$139)</f>
        <v>0</v>
      </c>
      <c r="X24" s="23" t="n">
        <f aca="false">W24*Annahmen!$B$137</f>
        <v>0</v>
      </c>
      <c r="Y24" s="23" t="n">
        <f aca="false">O24-P24-R24-S24-T24-U24-V24-X24</f>
        <v>-360.374871583639</v>
      </c>
      <c r="Z24" s="23" t="n">
        <f aca="false">Z23+Y24</f>
        <v>-2449.99784871239</v>
      </c>
      <c r="AA24" s="7" t="n">
        <f aca="false">IF(Y24&gt;0,1,0)</f>
        <v>0</v>
      </c>
      <c r="AB24" s="7" t="n">
        <f aca="false">IF(Z24&gt;=0,1,0)</f>
        <v>0</v>
      </c>
    </row>
    <row r="25" customFormat="false" ht="15" hidden="false" customHeight="false" outlineLevel="0" collapsed="false">
      <c r="A25" s="7" t="n">
        <v>8</v>
      </c>
      <c r="B25" s="7" t="s">
        <v>357</v>
      </c>
      <c r="C25" s="15" t="n">
        <f aca="false">IF($A25&lt;Annahmen!$B$54,0,IF($A25=Annahmen!$B$54,Annahmen!$B$55,C24*(1+Annahmen!$B$56*(1-C24/Annahmen!$B$57))))</f>
        <v>271.734864774548</v>
      </c>
      <c r="D25" s="17" t="n">
        <f aca="false">C25*Annahmen!$B$58</f>
        <v>1.35867432387274</v>
      </c>
      <c r="E25" s="17" t="n">
        <f aca="false">E24*(1-Annahmen!$B$59)+D25</f>
        <v>5.06025483574505</v>
      </c>
      <c r="F25" s="17" t="n">
        <f aca="false">E25*(1-Annahmen!$B$60)</f>
        <v>3.54217838502153</v>
      </c>
      <c r="G25" s="17" t="n">
        <f aca="false">E25*Annahmen!$B$60</f>
        <v>1.51807645072351</v>
      </c>
      <c r="H25" s="23" t="n">
        <f aca="false">F25*Annahmen!$B$78+G25*Annahmen!$B$79</f>
        <v>31.6911109725623</v>
      </c>
      <c r="I25" s="17" t="n">
        <f aca="false">IF($A25&gt;=Annahmen!$B$54,Annahmen!$B$63*(1-Annahmen!$B$64),0)</f>
        <v>0.35</v>
      </c>
      <c r="J25" s="17" t="n">
        <f aca="false">IF($A25&gt;=Annahmen!$B$54,Annahmen!$B$63*Annahmen!$B$64,0)</f>
        <v>0.15</v>
      </c>
      <c r="K25" s="23" t="n">
        <f aca="false">I25*Annahmen!$B$71+J25*Annahmen!$B$72</f>
        <v>32.245</v>
      </c>
      <c r="L25" s="17" t="n">
        <f aca="false">IF($A25&gt;=Annahmen!$B$54,Annahmen!$B$65,0)</f>
        <v>0</v>
      </c>
      <c r="M25" s="23" t="n">
        <f aca="false">L25*Annahmen!$B$73</f>
        <v>0</v>
      </c>
      <c r="N25" s="23" t="n">
        <f aca="false">H25+K25+M25</f>
        <v>63.9361109725623</v>
      </c>
      <c r="O25" s="23" t="n">
        <f aca="false">N25/(1+Annahmen!$B$8)</f>
        <v>53.727824346691</v>
      </c>
      <c r="P25" s="23" t="n">
        <f aca="false">O25*(Annahmen!$B$62*Annahmen!$B$74+(1-Annahmen!$B$62)*Annahmen!$B$75)+(E25*Annahmen!$B$61+E25*(1-Annahmen!$B$61)/12+I25+J25+L25)*(1-Annahmen!$B$62)*Annahmen!$B$76</f>
        <v>5.57473961287385</v>
      </c>
      <c r="Q25" s="17" t="n">
        <f aca="false">Annahmen!$B$66</f>
        <v>4</v>
      </c>
      <c r="R25" s="23" t="n">
        <f aca="false">Q25*Annahmen!$B$42</f>
        <v>115.483850895744</v>
      </c>
      <c r="S25" s="23" t="n">
        <f aca="false">I25*Annahmen!$B$43+(J25+L25)*Annahmen!$B$44</f>
        <v>15.6845378437918</v>
      </c>
      <c r="T25" s="23" t="n">
        <f aca="false">C25*Annahmen!$B$77</f>
        <v>2.71734864774548</v>
      </c>
      <c r="U25" s="23" t="n">
        <f aca="false">SUMPRODUCT((((Annahmen!$C$145:$C$155="monatlich")*(Annahmen!$D$145:$D$155&lt;=$A25))+((Annahmen!$C$145:$C$155="einmalig")*(Annahmen!$D$145:$D$155=$A25)))*Annahmen!$B$145:$B$155*Annahmen!$E$145:$E$155)</f>
        <v>69.9850799606897</v>
      </c>
      <c r="V25" s="23" t="n">
        <f aca="false">IF($A25&gt;=Annahmen!$B$54,Annahmen!$B$134,0)</f>
        <v>200</v>
      </c>
      <c r="W25" s="35" t="n">
        <f aca="false">MAX(0,(E25-Annahmen!$B$138)/Annahmen!$B$139)</f>
        <v>0</v>
      </c>
      <c r="X25" s="23" t="n">
        <f aca="false">W25*Annahmen!$B$137</f>
        <v>0</v>
      </c>
      <c r="Y25" s="23" t="n">
        <f aca="false">O25-P25-R25-S25-T25-U25-V25-X25</f>
        <v>-355.717732614154</v>
      </c>
      <c r="Z25" s="23" t="n">
        <f aca="false">Z24+Y25</f>
        <v>-2805.71558132654</v>
      </c>
      <c r="AA25" s="7" t="n">
        <f aca="false">IF(Y25&gt;0,1,0)</f>
        <v>0</v>
      </c>
      <c r="AB25" s="7" t="n">
        <f aca="false">IF(Z25&gt;=0,1,0)</f>
        <v>0</v>
      </c>
    </row>
    <row r="26" customFormat="false" ht="15" hidden="false" customHeight="false" outlineLevel="0" collapsed="false">
      <c r="A26" s="7" t="n">
        <v>9</v>
      </c>
      <c r="B26" s="7" t="s">
        <v>358</v>
      </c>
      <c r="C26" s="15" t="n">
        <f aca="false">IF($A26&lt;Annahmen!$B$54,0,IF($A26=Annahmen!$B$54,Annahmen!$B$55,C25*(1+Annahmen!$B$56*(1-C25/Annahmen!$B$57))))</f>
        <v>293.355510217737</v>
      </c>
      <c r="D26" s="17" t="n">
        <f aca="false">C26*Annahmen!$B$58</f>
        <v>1.46677755108868</v>
      </c>
      <c r="E26" s="17" t="n">
        <f aca="false">E25*(1-Annahmen!$B$59)+D26</f>
        <v>6.12221199997413</v>
      </c>
      <c r="F26" s="17" t="n">
        <f aca="false">E26*(1-Annahmen!$B$60)</f>
        <v>4.28554839998189</v>
      </c>
      <c r="G26" s="17" t="n">
        <f aca="false">E26*Annahmen!$B$60</f>
        <v>1.83666359999224</v>
      </c>
      <c r="H26" s="23" t="n">
        <f aca="false">F26*Annahmen!$B$78+G26*Annahmen!$B$79</f>
        <v>38.341883202838</v>
      </c>
      <c r="I26" s="17" t="n">
        <f aca="false">IF($A26&gt;=Annahmen!$B$54,Annahmen!$B$63*(1-Annahmen!$B$64),0)</f>
        <v>0.35</v>
      </c>
      <c r="J26" s="17" t="n">
        <f aca="false">IF($A26&gt;=Annahmen!$B$54,Annahmen!$B$63*Annahmen!$B$64,0)</f>
        <v>0.15</v>
      </c>
      <c r="K26" s="23" t="n">
        <f aca="false">I26*Annahmen!$B$71+J26*Annahmen!$B$72</f>
        <v>32.245</v>
      </c>
      <c r="L26" s="17" t="n">
        <f aca="false">IF($A26&gt;=Annahmen!$B$54,Annahmen!$B$65,0)</f>
        <v>0</v>
      </c>
      <c r="M26" s="23" t="n">
        <f aca="false">L26*Annahmen!$B$73</f>
        <v>0</v>
      </c>
      <c r="N26" s="23" t="n">
        <f aca="false">H26+K26+M26</f>
        <v>70.586883202838</v>
      </c>
      <c r="O26" s="23" t="n">
        <f aca="false">N26/(1+Annahmen!$B$8)</f>
        <v>59.3167085738134</v>
      </c>
      <c r="P26" s="23" t="n">
        <f aca="false">O26*(Annahmen!$B$62*Annahmen!$B$74+(1-Annahmen!$B$62)*Annahmen!$B$75)+(E26*Annahmen!$B$61+E26*(1-Annahmen!$B$61)/12+I26+J26+L26)*(1-Annahmen!$B$62)*Annahmen!$B$76</f>
        <v>6.18826439308421</v>
      </c>
      <c r="Q26" s="17" t="n">
        <f aca="false">Annahmen!$B$66</f>
        <v>4</v>
      </c>
      <c r="R26" s="23" t="n">
        <f aca="false">Q26*Annahmen!$B$42</f>
        <v>115.483850895744</v>
      </c>
      <c r="S26" s="23" t="n">
        <f aca="false">I26*Annahmen!$B$43+(J26+L26)*Annahmen!$B$44</f>
        <v>15.6845378437918</v>
      </c>
      <c r="T26" s="23" t="n">
        <f aca="false">C26*Annahmen!$B$77</f>
        <v>2.93355510217737</v>
      </c>
      <c r="U26" s="23" t="n">
        <f aca="false">SUMPRODUCT((((Annahmen!$C$145:$C$155="monatlich")*(Annahmen!$D$145:$D$155&lt;=$A26))+((Annahmen!$C$145:$C$155="einmalig")*(Annahmen!$D$145:$D$155=$A26)))*Annahmen!$B$145:$B$155*Annahmen!$E$145:$E$155)</f>
        <v>69.9850799606897</v>
      </c>
      <c r="V26" s="23" t="n">
        <f aca="false">IF($A26&gt;=Annahmen!$B$54,Annahmen!$B$134,0)</f>
        <v>200</v>
      </c>
      <c r="W26" s="35" t="n">
        <f aca="false">MAX(0,(E26-Annahmen!$B$138)/Annahmen!$B$139)</f>
        <v>0</v>
      </c>
      <c r="X26" s="23" t="n">
        <f aca="false">W26*Annahmen!$B$137</f>
        <v>0</v>
      </c>
      <c r="Y26" s="23" t="n">
        <f aca="false">O26-P26-R26-S26-T26-U26-V26-X26</f>
        <v>-350.958579621674</v>
      </c>
      <c r="Z26" s="23" t="n">
        <f aca="false">Z25+Y26</f>
        <v>-3156.67416094822</v>
      </c>
      <c r="AA26" s="7" t="n">
        <f aca="false">IF(Y26&gt;0,1,0)</f>
        <v>0</v>
      </c>
      <c r="AB26" s="7" t="n">
        <f aca="false">IF(Z26&gt;=0,1,0)</f>
        <v>0</v>
      </c>
    </row>
    <row r="27" customFormat="false" ht="15" hidden="false" customHeight="false" outlineLevel="0" collapsed="false">
      <c r="A27" s="7" t="n">
        <v>10</v>
      </c>
      <c r="B27" s="7" t="s">
        <v>359</v>
      </c>
      <c r="C27" s="15" t="n">
        <f aca="false">IF($A27&lt;Annahmen!$B$54,0,IF($A27=Annahmen!$B$54,Annahmen!$B$55,C26*(1+Annahmen!$B$56*(1-C26/Annahmen!$B$57))))</f>
        <v>316.686259106556</v>
      </c>
      <c r="D27" s="17" t="n">
        <f aca="false">C27*Annahmen!$B$58</f>
        <v>1.58343129553278</v>
      </c>
      <c r="E27" s="17" t="n">
        <f aca="false">E26*(1-Annahmen!$B$59)+D27</f>
        <v>7.21586633550898</v>
      </c>
      <c r="F27" s="17" t="n">
        <f aca="false">E27*(1-Annahmen!$B$60)</f>
        <v>5.05110643485628</v>
      </c>
      <c r="G27" s="17" t="n">
        <f aca="false">E27*Annahmen!$B$60</f>
        <v>2.16475990065269</v>
      </c>
      <c r="H27" s="23" t="n">
        <f aca="false">F27*Annahmen!$B$78+G27*Annahmen!$B$79</f>
        <v>45.1911668927089</v>
      </c>
      <c r="I27" s="17" t="n">
        <f aca="false">IF($A27&gt;=Annahmen!$B$54,Annahmen!$B$63*(1-Annahmen!$B$64),0)</f>
        <v>0.35</v>
      </c>
      <c r="J27" s="17" t="n">
        <f aca="false">IF($A27&gt;=Annahmen!$B$54,Annahmen!$B$63*Annahmen!$B$64,0)</f>
        <v>0.15</v>
      </c>
      <c r="K27" s="23" t="n">
        <f aca="false">I27*Annahmen!$B$71+J27*Annahmen!$B$72</f>
        <v>32.245</v>
      </c>
      <c r="L27" s="17" t="n">
        <f aca="false">IF($A27&gt;=Annahmen!$B$54,Annahmen!$B$65,0)</f>
        <v>0</v>
      </c>
      <c r="M27" s="23" t="n">
        <f aca="false">L27*Annahmen!$B$73</f>
        <v>0</v>
      </c>
      <c r="N27" s="23" t="n">
        <f aca="false">H27+K27+M27</f>
        <v>77.4361668927089</v>
      </c>
      <c r="O27" s="23" t="n">
        <f aca="false">N27/(1+Annahmen!$B$8)</f>
        <v>65.0724091535369</v>
      </c>
      <c r="P27" s="23" t="n">
        <f aca="false">O27*(Annahmen!$B$62*Annahmen!$B$74+(1-Annahmen!$B$62)*Annahmen!$B$75)+(E27*Annahmen!$B$61+E27*(1-Annahmen!$B$61)/12+I27+J27+L27)*(1-Annahmen!$B$62)*Annahmen!$B$76</f>
        <v>6.82010158806394</v>
      </c>
      <c r="Q27" s="17" t="n">
        <f aca="false">Annahmen!$B$66</f>
        <v>4</v>
      </c>
      <c r="R27" s="23" t="n">
        <f aca="false">Q27*Annahmen!$B$42</f>
        <v>115.483850895744</v>
      </c>
      <c r="S27" s="23" t="n">
        <f aca="false">I27*Annahmen!$B$43+(J27+L27)*Annahmen!$B$44</f>
        <v>15.6845378437918</v>
      </c>
      <c r="T27" s="23" t="n">
        <f aca="false">C27*Annahmen!$B$77</f>
        <v>3.16686259106556</v>
      </c>
      <c r="U27" s="23" t="n">
        <f aca="false">SUMPRODUCT((((Annahmen!$C$145:$C$155="monatlich")*(Annahmen!$D$145:$D$155&lt;=$A27))+((Annahmen!$C$145:$C$155="einmalig")*(Annahmen!$D$145:$D$155=$A27)))*Annahmen!$B$145:$B$155*Annahmen!$E$145:$E$155)</f>
        <v>69.9850799606897</v>
      </c>
      <c r="V27" s="23" t="n">
        <f aca="false">IF($A27&gt;=Annahmen!$B$54,Annahmen!$B$134,0)</f>
        <v>200</v>
      </c>
      <c r="W27" s="35" t="n">
        <f aca="false">MAX(0,(E27-Annahmen!$B$138)/Annahmen!$B$139)</f>
        <v>0</v>
      </c>
      <c r="X27" s="23" t="n">
        <f aca="false">W27*Annahmen!$B$137</f>
        <v>0</v>
      </c>
      <c r="Y27" s="23" t="n">
        <f aca="false">O27-P27-R27-S27-T27-U27-V27-X27</f>
        <v>-346.068023725818</v>
      </c>
      <c r="Z27" s="23" t="n">
        <f aca="false">Z26+Y27</f>
        <v>-3502.74218467403</v>
      </c>
      <c r="AA27" s="7" t="n">
        <f aca="false">IF(Y27&gt;0,1,0)</f>
        <v>0</v>
      </c>
      <c r="AB27" s="7" t="n">
        <f aca="false">IF(Z27&gt;=0,1,0)</f>
        <v>0</v>
      </c>
    </row>
    <row r="28" customFormat="false" ht="15" hidden="false" customHeight="false" outlineLevel="0" collapsed="false">
      <c r="A28" s="7" t="n">
        <v>11</v>
      </c>
      <c r="B28" s="7" t="s">
        <v>360</v>
      </c>
      <c r="C28" s="15" t="n">
        <f aca="false">IF($A28&lt;Annahmen!$B$54,0,IF($A28=Annahmen!$B$54,Annahmen!$B$55,C27*(1+Annahmen!$B$56*(1-C27/Annahmen!$B$57))))</f>
        <v>341.860695536349</v>
      </c>
      <c r="D28" s="17" t="n">
        <f aca="false">C28*Annahmen!$B$58</f>
        <v>1.70930347768175</v>
      </c>
      <c r="E28" s="17" t="n">
        <f aca="false">E27*(1-Annahmen!$B$59)+D28</f>
        <v>8.34790050635001</v>
      </c>
      <c r="F28" s="17" t="n">
        <f aca="false">E28*(1-Annahmen!$B$60)</f>
        <v>5.843530354445</v>
      </c>
      <c r="G28" s="17" t="n">
        <f aca="false">E28*Annahmen!$B$60</f>
        <v>2.504370151905</v>
      </c>
      <c r="H28" s="23" t="n">
        <f aca="false">F28*Annahmen!$B$78+G28*Annahmen!$B$79</f>
        <v>52.2808138961435</v>
      </c>
      <c r="I28" s="17" t="n">
        <f aca="false">IF($A28&gt;=Annahmen!$B$54,Annahmen!$B$63*(1-Annahmen!$B$64),0)</f>
        <v>0.35</v>
      </c>
      <c r="J28" s="17" t="n">
        <f aca="false">IF($A28&gt;=Annahmen!$B$54,Annahmen!$B$63*Annahmen!$B$64,0)</f>
        <v>0.15</v>
      </c>
      <c r="K28" s="23" t="n">
        <f aca="false">I28*Annahmen!$B$71+J28*Annahmen!$B$72</f>
        <v>32.245</v>
      </c>
      <c r="L28" s="17" t="n">
        <f aca="false">IF($A28&gt;=Annahmen!$B$54,Annahmen!$B$65,0)</f>
        <v>0</v>
      </c>
      <c r="M28" s="23" t="n">
        <f aca="false">L28*Annahmen!$B$73</f>
        <v>0</v>
      </c>
      <c r="N28" s="23" t="n">
        <f aca="false">H28+K28+M28</f>
        <v>84.5258138961435</v>
      </c>
      <c r="O28" s="23" t="n">
        <f aca="false">N28/(1+Annahmen!$B$8)</f>
        <v>71.030095711045</v>
      </c>
      <c r="P28" s="23" t="n">
        <f aca="false">O28*(Annahmen!$B$62*Annahmen!$B$74+(1-Annahmen!$B$62)*Annahmen!$B$75)+(E28*Annahmen!$B$61+E28*(1-Annahmen!$B$61)/12+I28+J28+L28)*(1-Annahmen!$B$62)*Annahmen!$B$76</f>
        <v>7.47411197497069</v>
      </c>
      <c r="Q28" s="17" t="n">
        <f aca="false">Annahmen!$B$66</f>
        <v>4</v>
      </c>
      <c r="R28" s="23" t="n">
        <f aca="false">Q28*Annahmen!$B$42</f>
        <v>115.483850895744</v>
      </c>
      <c r="S28" s="23" t="n">
        <f aca="false">I28*Annahmen!$B$43+(J28+L28)*Annahmen!$B$44</f>
        <v>15.6845378437918</v>
      </c>
      <c r="T28" s="23" t="n">
        <f aca="false">C28*Annahmen!$B$77</f>
        <v>3.41860695536349</v>
      </c>
      <c r="U28" s="23" t="n">
        <f aca="false">SUMPRODUCT((((Annahmen!$C$145:$C$155="monatlich")*(Annahmen!$D$145:$D$155&lt;=$A28))+((Annahmen!$C$145:$C$155="einmalig")*(Annahmen!$D$145:$D$155=$A28)))*Annahmen!$B$145:$B$155*Annahmen!$E$145:$E$155)</f>
        <v>69.9850799606897</v>
      </c>
      <c r="V28" s="23" t="n">
        <f aca="false">IF($A28&gt;=Annahmen!$B$54,Annahmen!$B$134,0)</f>
        <v>200</v>
      </c>
      <c r="W28" s="35" t="n">
        <f aca="false">MAX(0,(E28-Annahmen!$B$138)/Annahmen!$B$139)</f>
        <v>0</v>
      </c>
      <c r="X28" s="23" t="n">
        <f aca="false">W28*Annahmen!$B$137</f>
        <v>0</v>
      </c>
      <c r="Y28" s="23" t="n">
        <f aca="false">O28-P28-R28-S28-T28-U28-V28-X28</f>
        <v>-341.016091919515</v>
      </c>
      <c r="Z28" s="23" t="n">
        <f aca="false">Z27+Y28</f>
        <v>-3843.75827659355</v>
      </c>
      <c r="AA28" s="7" t="n">
        <f aca="false">IF(Y28&gt;0,1,0)</f>
        <v>0</v>
      </c>
      <c r="AB28" s="7" t="n">
        <f aca="false">IF(Z28&gt;=0,1,0)</f>
        <v>0</v>
      </c>
    </row>
    <row r="29" customFormat="false" ht="15" hidden="false" customHeight="false" outlineLevel="0" collapsed="false">
      <c r="A29" s="7" t="n">
        <v>12</v>
      </c>
      <c r="B29" s="7" t="s">
        <v>361</v>
      </c>
      <c r="C29" s="15" t="n">
        <f aca="false">IF($A29&lt;Annahmen!$B$54,0,IF($A29=Annahmen!$B$54,Annahmen!$B$55,C28*(1+Annahmen!$B$56*(1-C28/Annahmen!$B$57))))</f>
        <v>369.022561203013</v>
      </c>
      <c r="D29" s="17" t="n">
        <f aca="false">C29*Annahmen!$B$58</f>
        <v>1.84511280601506</v>
      </c>
      <c r="E29" s="17" t="n">
        <f aca="false">E28*(1-Annahmen!$B$59)+D29</f>
        <v>9.52518127185707</v>
      </c>
      <c r="F29" s="17" t="n">
        <f aca="false">E29*(1-Annahmen!$B$60)</f>
        <v>6.66762689029995</v>
      </c>
      <c r="G29" s="17" t="n">
        <f aca="false">E29*Annahmen!$B$60</f>
        <v>2.85755438155712</v>
      </c>
      <c r="H29" s="23" t="n">
        <f aca="false">F29*Annahmen!$B$78+G29*Annahmen!$B$79</f>
        <v>59.6538290103229</v>
      </c>
      <c r="I29" s="17" t="n">
        <f aca="false">IF($A29&gt;=Annahmen!$B$54,Annahmen!$B$63*(1-Annahmen!$B$64),0)</f>
        <v>0.35</v>
      </c>
      <c r="J29" s="17" t="n">
        <f aca="false">IF($A29&gt;=Annahmen!$B$54,Annahmen!$B$63*Annahmen!$B$64,0)</f>
        <v>0.15</v>
      </c>
      <c r="K29" s="23" t="n">
        <f aca="false">I29*Annahmen!$B$71+J29*Annahmen!$B$72</f>
        <v>32.245</v>
      </c>
      <c r="L29" s="17" t="n">
        <f aca="false">IF($A29&gt;=Annahmen!$B$54,Annahmen!$B$65,0)</f>
        <v>0</v>
      </c>
      <c r="M29" s="23" t="n">
        <f aca="false">L29*Annahmen!$B$73</f>
        <v>0</v>
      </c>
      <c r="N29" s="23" t="n">
        <f aca="false">H29+K29+M29</f>
        <v>91.8988290103229</v>
      </c>
      <c r="O29" s="23" t="n">
        <f aca="false">N29/(1+Annahmen!$B$8)</f>
        <v>77.2259067313638</v>
      </c>
      <c r="P29" s="23" t="n">
        <f aca="false">O29*(Annahmen!$B$62*Annahmen!$B$74+(1-Annahmen!$B$62)*Annahmen!$B$75)+(E29*Annahmen!$B$61+E29*(1-Annahmen!$B$61)/12+I29+J29+L29)*(1-Annahmen!$B$62)*Annahmen!$B$76</f>
        <v>8.15426268842056</v>
      </c>
      <c r="Q29" s="17" t="n">
        <f aca="false">Annahmen!$B$66</f>
        <v>4</v>
      </c>
      <c r="R29" s="23" t="n">
        <f aca="false">Q29*Annahmen!$B$42</f>
        <v>115.483850895744</v>
      </c>
      <c r="S29" s="23" t="n">
        <f aca="false">I29*Annahmen!$B$43+(J29+L29)*Annahmen!$B$44</f>
        <v>15.6845378437918</v>
      </c>
      <c r="T29" s="23" t="n">
        <f aca="false">C29*Annahmen!$B$77</f>
        <v>3.69022561203013</v>
      </c>
      <c r="U29" s="23" t="n">
        <f aca="false">SUMPRODUCT((((Annahmen!$C$145:$C$155="monatlich")*(Annahmen!$D$145:$D$155&lt;=$A29))+((Annahmen!$C$145:$C$155="einmalig")*(Annahmen!$D$145:$D$155=$A29)))*Annahmen!$B$145:$B$155*Annahmen!$E$145:$E$155)</f>
        <v>69.9850799606897</v>
      </c>
      <c r="V29" s="23" t="n">
        <f aca="false">IF($A29&gt;=Annahmen!$B$54,Annahmen!$B$134,0)</f>
        <v>200</v>
      </c>
      <c r="W29" s="35" t="n">
        <f aca="false">MAX(0,(E29-Annahmen!$B$138)/Annahmen!$B$139)</f>
        <v>0</v>
      </c>
      <c r="X29" s="23" t="n">
        <f aca="false">W29*Annahmen!$B$137</f>
        <v>0</v>
      </c>
      <c r="Y29" s="23" t="n">
        <f aca="false">O29-P29-R29-S29-T29-U29-V29-X29</f>
        <v>-335.772050269313</v>
      </c>
      <c r="Z29" s="23" t="n">
        <f aca="false">Z28+Y29</f>
        <v>-4179.53032686286</v>
      </c>
      <c r="AA29" s="7" t="n">
        <f aca="false">IF(Y29&gt;0,1,0)</f>
        <v>0</v>
      </c>
      <c r="AB29" s="7" t="n">
        <f aca="false">IF(Z29&gt;=0,1,0)</f>
        <v>0</v>
      </c>
    </row>
    <row r="30" customFormat="false" ht="15" hidden="false" customHeight="false" outlineLevel="0" collapsed="false">
      <c r="A30" s="7" t="n">
        <v>13</v>
      </c>
      <c r="B30" s="7" t="s">
        <v>362</v>
      </c>
      <c r="C30" s="15" t="n">
        <f aca="false">IF($A30&lt;Annahmen!$B$54,0,IF($A30=Annahmen!$B$54,Annahmen!$B$55,C29*(1+Annahmen!$B$56*(1-C29/Annahmen!$B$57))))</f>
        <v>398.326481858171</v>
      </c>
      <c r="D30" s="17" t="n">
        <f aca="false">C30*Annahmen!$B$58</f>
        <v>1.99163240929086</v>
      </c>
      <c r="E30" s="17" t="n">
        <f aca="false">E29*(1-Annahmen!$B$59)+D30</f>
        <v>10.7547991793994</v>
      </c>
      <c r="F30" s="17" t="n">
        <f aca="false">E30*(1-Annahmen!$B$60)</f>
        <v>7.52835942557955</v>
      </c>
      <c r="G30" s="17" t="n">
        <f aca="false">E30*Annahmen!$B$60</f>
        <v>3.22643975381981</v>
      </c>
      <c r="H30" s="23" t="n">
        <f aca="false">F30*Annahmen!$B$78+G30*Annahmen!$B$79</f>
        <v>67.3546185607834</v>
      </c>
      <c r="I30" s="17" t="n">
        <f aca="false">IF($A30&gt;=Annahmen!$B$54,Annahmen!$B$63*(1-Annahmen!$B$64),0)</f>
        <v>0.35</v>
      </c>
      <c r="J30" s="17" t="n">
        <f aca="false">IF($A30&gt;=Annahmen!$B$54,Annahmen!$B$63*Annahmen!$B$64,0)</f>
        <v>0.15</v>
      </c>
      <c r="K30" s="23" t="n">
        <f aca="false">I30*Annahmen!$B$71+J30*Annahmen!$B$72</f>
        <v>32.245</v>
      </c>
      <c r="L30" s="17" t="n">
        <f aca="false">IF($A30&gt;=Annahmen!$B$54,Annahmen!$B$65,0)</f>
        <v>0</v>
      </c>
      <c r="M30" s="23" t="n">
        <f aca="false">L30*Annahmen!$B$73</f>
        <v>0</v>
      </c>
      <c r="N30" s="23" t="n">
        <f aca="false">H30+K30+M30</f>
        <v>99.5996185607833</v>
      </c>
      <c r="O30" s="23" t="n">
        <f aca="false">N30/(1+Annahmen!$B$8)</f>
        <v>83.6971584544398</v>
      </c>
      <c r="P30" s="23" t="n">
        <f aca="false">O30*(Annahmen!$B$62*Annahmen!$B$74+(1-Annahmen!$B$62)*Annahmen!$B$75)+(E30*Annahmen!$B$61+E30*(1-Annahmen!$B$61)/12+I30+J30+L30)*(1-Annahmen!$B$62)*Annahmen!$B$76</f>
        <v>8.86465015213267</v>
      </c>
      <c r="Q30" s="17" t="n">
        <f aca="false">Annahmen!$B$66</f>
        <v>4</v>
      </c>
      <c r="R30" s="23" t="n">
        <f aca="false">Q30*Annahmen!$B$42</f>
        <v>115.483850895744</v>
      </c>
      <c r="S30" s="23" t="n">
        <f aca="false">I30*Annahmen!$B$43+(J30+L30)*Annahmen!$B$44</f>
        <v>15.6845378437918</v>
      </c>
      <c r="T30" s="23" t="n">
        <f aca="false">C30*Annahmen!$B$77</f>
        <v>3.98326481858171</v>
      </c>
      <c r="U30" s="23" t="n">
        <f aca="false">SUMPRODUCT((((Annahmen!$C$145:$C$155="monatlich")*(Annahmen!$D$145:$D$155&lt;=$A30))+((Annahmen!$C$145:$C$155="einmalig")*(Annahmen!$D$145:$D$155=$A30)))*Annahmen!$B$145:$B$155*Annahmen!$E$145:$E$155)</f>
        <v>69.9850799606897</v>
      </c>
      <c r="V30" s="23" t="n">
        <f aca="false">IF($A30&gt;=Annahmen!$B$54,Annahmen!$B$134,0)</f>
        <v>200</v>
      </c>
      <c r="W30" s="35" t="n">
        <f aca="false">MAX(0,(E30-Annahmen!$B$138)/Annahmen!$B$139)</f>
        <v>0</v>
      </c>
      <c r="X30" s="23" t="n">
        <f aca="false">W30*Annahmen!$B$137</f>
        <v>0</v>
      </c>
      <c r="Y30" s="23" t="n">
        <f aca="false">O30-P30-R30-S30-T30-U30-V30-X30</f>
        <v>-330.3042252165</v>
      </c>
      <c r="Z30" s="23" t="n">
        <f aca="false">Z29+Y30</f>
        <v>-4509.83455207936</v>
      </c>
      <c r="AA30" s="7" t="n">
        <f aca="false">IF(Y30&gt;0,1,0)</f>
        <v>0</v>
      </c>
      <c r="AB30" s="7" t="n">
        <f aca="false">IF(Z30&gt;=0,1,0)</f>
        <v>0</v>
      </c>
    </row>
    <row r="31" customFormat="false" ht="15" hidden="false" customHeight="false" outlineLevel="0" collapsed="false">
      <c r="A31" s="7" t="n">
        <v>14</v>
      </c>
      <c r="B31" s="7" t="s">
        <v>363</v>
      </c>
      <c r="C31" s="15" t="n">
        <f aca="false">IF($A31&lt;Annahmen!$B$54,0,IF($A31=Annahmen!$B$54,Annahmen!$B$55,C30*(1+Annahmen!$B$56*(1-C30/Annahmen!$B$57))))</f>
        <v>429.938738028986</v>
      </c>
      <c r="D31" s="17" t="n">
        <f aca="false">C31*Annahmen!$B$58</f>
        <v>2.14969369014493</v>
      </c>
      <c r="E31" s="17" t="n">
        <f aca="false">E30*(1-Annahmen!$B$59)+D31</f>
        <v>12.0441089351923</v>
      </c>
      <c r="F31" s="17" t="n">
        <f aca="false">E31*(1-Annahmen!$B$60)</f>
        <v>8.43087625463464</v>
      </c>
      <c r="G31" s="17" t="n">
        <f aca="false">E31*Annahmen!$B$60</f>
        <v>3.6132326805577</v>
      </c>
      <c r="H31" s="23" t="n">
        <f aca="false">F31*Annahmen!$B$78+G31*Annahmen!$B$79</f>
        <v>75.4292432338758</v>
      </c>
      <c r="I31" s="17" t="n">
        <f aca="false">IF($A31&gt;=Annahmen!$B$54,Annahmen!$B$63*(1-Annahmen!$B$64),0)</f>
        <v>0.35</v>
      </c>
      <c r="J31" s="17" t="n">
        <f aca="false">IF($A31&gt;=Annahmen!$B$54,Annahmen!$B$63*Annahmen!$B$64,0)</f>
        <v>0.15</v>
      </c>
      <c r="K31" s="23" t="n">
        <f aca="false">I31*Annahmen!$B$71+J31*Annahmen!$B$72</f>
        <v>32.245</v>
      </c>
      <c r="L31" s="17" t="n">
        <f aca="false">IF($A31&gt;=Annahmen!$B$54,Annahmen!$B$65,0)</f>
        <v>0</v>
      </c>
      <c r="M31" s="23" t="n">
        <f aca="false">L31*Annahmen!$B$73</f>
        <v>0</v>
      </c>
      <c r="N31" s="23" t="n">
        <f aca="false">H31+K31+M31</f>
        <v>107.674243233876</v>
      </c>
      <c r="O31" s="23" t="n">
        <f aca="false">N31/(1+Annahmen!$B$8)</f>
        <v>90.4825573393915</v>
      </c>
      <c r="P31" s="23" t="n">
        <f aca="false">O31*(Annahmen!$B$62*Annahmen!$B$74+(1-Annahmen!$B$62)*Annahmen!$B$75)+(E31*Annahmen!$B$61+E31*(1-Annahmen!$B$61)/12+I31+J31+L31)*(1-Annahmen!$B$62)*Annahmen!$B$76</f>
        <v>9.60952340238302</v>
      </c>
      <c r="Q31" s="17" t="n">
        <f aca="false">Annahmen!$B$66</f>
        <v>4</v>
      </c>
      <c r="R31" s="23" t="n">
        <f aca="false">Q31*Annahmen!$B$42</f>
        <v>115.483850895744</v>
      </c>
      <c r="S31" s="23" t="n">
        <f aca="false">I31*Annahmen!$B$43+(J31+L31)*Annahmen!$B$44</f>
        <v>15.6845378437918</v>
      </c>
      <c r="T31" s="23" t="n">
        <f aca="false">C31*Annahmen!$B$77</f>
        <v>4.29938738028986</v>
      </c>
      <c r="U31" s="23" t="n">
        <f aca="false">SUMPRODUCT((((Annahmen!$C$145:$C$155="monatlich")*(Annahmen!$D$145:$D$155&lt;=$A31))+((Annahmen!$C$145:$C$155="einmalig")*(Annahmen!$D$145:$D$155=$A31)))*Annahmen!$B$145:$B$155*Annahmen!$E$145:$E$155)</f>
        <v>69.9850799606897</v>
      </c>
      <c r="V31" s="23" t="n">
        <f aca="false">IF($A31&gt;=Annahmen!$B$54,Annahmen!$B$134,0)</f>
        <v>200</v>
      </c>
      <c r="W31" s="35" t="n">
        <f aca="false">MAX(0,(E31-Annahmen!$B$138)/Annahmen!$B$139)</f>
        <v>0</v>
      </c>
      <c r="X31" s="23" t="n">
        <f aca="false">W31*Annahmen!$B$137</f>
        <v>0</v>
      </c>
      <c r="Y31" s="23" t="n">
        <f aca="false">O31-P31-R31-S31-T31-U31-V31-X31</f>
        <v>-324.579822143507</v>
      </c>
      <c r="Z31" s="23" t="n">
        <f aca="false">Z30+Y31</f>
        <v>-4834.41437422287</v>
      </c>
      <c r="AA31" s="7" t="n">
        <f aca="false">IF(Y31&gt;0,1,0)</f>
        <v>0</v>
      </c>
      <c r="AB31" s="7" t="n">
        <f aca="false">IF(Z31&gt;=0,1,0)</f>
        <v>0</v>
      </c>
    </row>
    <row r="32" customFormat="false" ht="15" hidden="false" customHeight="false" outlineLevel="0" collapsed="false">
      <c r="A32" s="7" t="n">
        <v>15</v>
      </c>
      <c r="B32" s="7" t="s">
        <v>364</v>
      </c>
      <c r="C32" s="15" t="n">
        <f aca="false">IF($A32&lt;Annahmen!$B$54,0,IF($A32=Annahmen!$B$54,Annahmen!$B$55,C31*(1+Annahmen!$B$56*(1-C31/Annahmen!$B$57))))</f>
        <v>464.038081361772</v>
      </c>
      <c r="D32" s="17" t="n">
        <f aca="false">C32*Annahmen!$B$58</f>
        <v>2.32019040680886</v>
      </c>
      <c r="E32" s="17" t="n">
        <f aca="false">E31*(1-Annahmen!$B$59)+D32</f>
        <v>13.4007706271858</v>
      </c>
      <c r="F32" s="17" t="n">
        <f aca="false">E32*(1-Annahmen!$B$60)</f>
        <v>9.38053943903007</v>
      </c>
      <c r="G32" s="17" t="n">
        <f aca="false">E32*Annahmen!$B$60</f>
        <v>4.02023118815574</v>
      </c>
      <c r="H32" s="23" t="n">
        <f aca="false">F32*Annahmen!$B$78+G32*Annahmen!$B$79</f>
        <v>83.9256762454079</v>
      </c>
      <c r="I32" s="17" t="n">
        <f aca="false">IF($A32&gt;=Annahmen!$B$54,Annahmen!$B$63*(1-Annahmen!$B$64),0)</f>
        <v>0.35</v>
      </c>
      <c r="J32" s="17" t="n">
        <f aca="false">IF($A32&gt;=Annahmen!$B$54,Annahmen!$B$63*Annahmen!$B$64,0)</f>
        <v>0.15</v>
      </c>
      <c r="K32" s="23" t="n">
        <f aca="false">I32*Annahmen!$B$71+J32*Annahmen!$B$72</f>
        <v>32.245</v>
      </c>
      <c r="L32" s="17" t="n">
        <f aca="false">IF($A32&gt;=Annahmen!$B$54,Annahmen!$B$65,0)</f>
        <v>0</v>
      </c>
      <c r="M32" s="23" t="n">
        <f aca="false">L32*Annahmen!$B$73</f>
        <v>0</v>
      </c>
      <c r="N32" s="23" t="n">
        <f aca="false">H32+K32+M32</f>
        <v>116.170676245408</v>
      </c>
      <c r="O32" s="23" t="n">
        <f aca="false">N32/(1+Annahmen!$B$8)</f>
        <v>97.6224170129478</v>
      </c>
      <c r="P32" s="23" t="n">
        <f aca="false">O32*(Annahmen!$B$62*Annahmen!$B$74+(1-Annahmen!$B$62)*Annahmen!$B$75)+(E32*Annahmen!$B$61+E32*(1-Annahmen!$B$61)/12+I32+J32+L32)*(1-Annahmen!$B$62)*Annahmen!$B$76</f>
        <v>10.393307903714</v>
      </c>
      <c r="Q32" s="17" t="n">
        <f aca="false">Annahmen!$B$66</f>
        <v>4</v>
      </c>
      <c r="R32" s="23" t="n">
        <f aca="false">Q32*Annahmen!$B$42</f>
        <v>115.483850895744</v>
      </c>
      <c r="S32" s="23" t="n">
        <f aca="false">I32*Annahmen!$B$43+(J32+L32)*Annahmen!$B$44</f>
        <v>15.6845378437918</v>
      </c>
      <c r="T32" s="23" t="n">
        <f aca="false">C32*Annahmen!$B$77</f>
        <v>4.64038081361772</v>
      </c>
      <c r="U32" s="23" t="n">
        <f aca="false">SUMPRODUCT((((Annahmen!$C$145:$C$155="monatlich")*(Annahmen!$D$145:$D$155&lt;=$A32))+((Annahmen!$C$145:$C$155="einmalig")*(Annahmen!$D$145:$D$155=$A32)))*Annahmen!$B$145:$B$155*Annahmen!$E$145:$E$155)</f>
        <v>69.9850799606897</v>
      </c>
      <c r="V32" s="23" t="n">
        <f aca="false">IF($A32&gt;=Annahmen!$B$54,Annahmen!$B$134,0)</f>
        <v>200</v>
      </c>
      <c r="W32" s="35" t="n">
        <f aca="false">MAX(0,(E32-Annahmen!$B$138)/Annahmen!$B$139)</f>
        <v>0</v>
      </c>
      <c r="X32" s="23" t="n">
        <f aca="false">W32*Annahmen!$B$137</f>
        <v>0</v>
      </c>
      <c r="Y32" s="23" t="n">
        <f aca="false">O32-P32-R32-S32-T32-U32-V32-X32</f>
        <v>-318.564740404609</v>
      </c>
      <c r="Z32" s="23" t="n">
        <f aca="false">Z31+Y32</f>
        <v>-5152.97911462748</v>
      </c>
      <c r="AA32" s="7" t="n">
        <f aca="false">IF(Y32&gt;0,1,0)</f>
        <v>0</v>
      </c>
      <c r="AB32" s="7" t="n">
        <f aca="false">IF(Z32&gt;=0,1,0)</f>
        <v>0</v>
      </c>
    </row>
    <row r="33" customFormat="false" ht="15" hidden="false" customHeight="false" outlineLevel="0" collapsed="false">
      <c r="A33" s="7" t="n">
        <v>16</v>
      </c>
      <c r="B33" s="7" t="s">
        <v>365</v>
      </c>
      <c r="C33" s="15" t="n">
        <f aca="false">IF($A33&lt;Annahmen!$B$54,0,IF($A33=Annahmen!$B$54,Annahmen!$B$55,C32*(1+Annahmen!$B$56*(1-C32/Annahmen!$B$57))))</f>
        <v>500.816597725187</v>
      </c>
      <c r="D33" s="17" t="n">
        <f aca="false">C33*Annahmen!$B$58</f>
        <v>2.50408298862594</v>
      </c>
      <c r="E33" s="17" t="n">
        <f aca="false">E32*(1-Annahmen!$B$59)+D33</f>
        <v>14.8327919656369</v>
      </c>
      <c r="F33" s="17" t="n">
        <f aca="false">E33*(1-Annahmen!$B$60)</f>
        <v>10.3829543759458</v>
      </c>
      <c r="G33" s="17" t="n">
        <f aca="false">E33*Annahmen!$B$60</f>
        <v>4.44983758969106</v>
      </c>
      <c r="H33" s="23" t="n">
        <f aca="false">F33*Annahmen!$B$78+G33*Annahmen!$B$79</f>
        <v>92.8940678827924</v>
      </c>
      <c r="I33" s="17" t="n">
        <f aca="false">IF($A33&gt;=Annahmen!$B$54,Annahmen!$B$63*(1-Annahmen!$B$64),0)</f>
        <v>0.35</v>
      </c>
      <c r="J33" s="17" t="n">
        <f aca="false">IF($A33&gt;=Annahmen!$B$54,Annahmen!$B$63*Annahmen!$B$64,0)</f>
        <v>0.15</v>
      </c>
      <c r="K33" s="23" t="n">
        <f aca="false">I33*Annahmen!$B$71+J33*Annahmen!$B$72</f>
        <v>32.245</v>
      </c>
      <c r="L33" s="17" t="n">
        <f aca="false">IF($A33&gt;=Annahmen!$B$54,Annahmen!$B$65,0)</f>
        <v>0</v>
      </c>
      <c r="M33" s="23" t="n">
        <f aca="false">L33*Annahmen!$B$73</f>
        <v>0</v>
      </c>
      <c r="N33" s="23" t="n">
        <f aca="false">H33+K33+M33</f>
        <v>125.139067882792</v>
      </c>
      <c r="O33" s="23" t="n">
        <f aca="false">N33/(1+Annahmen!$B$8)</f>
        <v>105.158880573775</v>
      </c>
      <c r="P33" s="23" t="n">
        <f aca="false">O33*(Annahmen!$B$62*Annahmen!$B$74+(1-Annahmen!$B$62)*Annahmen!$B$75)+(E33*Annahmen!$B$61+E33*(1-Annahmen!$B$61)/12+I33+J33+L33)*(1-Annahmen!$B$62)*Annahmen!$B$76</f>
        <v>11.2206299525911</v>
      </c>
      <c r="Q33" s="17" t="n">
        <f aca="false">Annahmen!$B$66</f>
        <v>4</v>
      </c>
      <c r="R33" s="23" t="n">
        <f aca="false">Q33*Annahmen!$B$42</f>
        <v>115.483850895744</v>
      </c>
      <c r="S33" s="23" t="n">
        <f aca="false">I33*Annahmen!$B$43+(J33+L33)*Annahmen!$B$44</f>
        <v>15.6845378437918</v>
      </c>
      <c r="T33" s="23" t="n">
        <f aca="false">C33*Annahmen!$B$77</f>
        <v>5.00816597725187</v>
      </c>
      <c r="U33" s="23" t="n">
        <f aca="false">SUMPRODUCT((((Annahmen!$C$145:$C$155="monatlich")*(Annahmen!$D$145:$D$155&lt;=$A33))+((Annahmen!$C$145:$C$155="einmalig")*(Annahmen!$D$145:$D$155=$A33)))*Annahmen!$B$145:$B$155*Annahmen!$E$145:$E$155)</f>
        <v>69.9850799606897</v>
      </c>
      <c r="V33" s="23" t="n">
        <f aca="false">IF($A33&gt;=Annahmen!$B$54,Annahmen!$B$134,0)</f>
        <v>200</v>
      </c>
      <c r="W33" s="35" t="n">
        <f aca="false">MAX(0,(E33-Annahmen!$B$138)/Annahmen!$B$139)</f>
        <v>0</v>
      </c>
      <c r="X33" s="23" t="n">
        <f aca="false">W33*Annahmen!$B$137</f>
        <v>0</v>
      </c>
      <c r="Y33" s="23" t="n">
        <f aca="false">O33-P33-R33-S33-T33-U33-V33-X33</f>
        <v>-312.223384056293</v>
      </c>
      <c r="Z33" s="23" t="n">
        <f aca="false">Z32+Y33</f>
        <v>-5465.20249868377</v>
      </c>
      <c r="AA33" s="7" t="n">
        <f aca="false">IF(Y33&gt;0,1,0)</f>
        <v>0</v>
      </c>
      <c r="AB33" s="7" t="n">
        <f aca="false">IF(Z33&gt;=0,1,0)</f>
        <v>0</v>
      </c>
    </row>
    <row r="34" customFormat="false" ht="15" hidden="false" customHeight="false" outlineLevel="0" collapsed="false">
      <c r="A34" s="7" t="n">
        <v>17</v>
      </c>
      <c r="B34" s="7" t="s">
        <v>366</v>
      </c>
      <c r="C34" s="15" t="n">
        <f aca="false">IF($A34&lt;Annahmen!$B$54,0,IF($A34=Annahmen!$B$54,Annahmen!$B$55,C33*(1+Annahmen!$B$56*(1-C33/Annahmen!$B$57))))</f>
        <v>540.480617919911</v>
      </c>
      <c r="D34" s="17" t="n">
        <f aca="false">C34*Annahmen!$B$58</f>
        <v>2.70240308959955</v>
      </c>
      <c r="E34" s="17" t="n">
        <f aca="false">E33*(1-Annahmen!$B$59)+D34</f>
        <v>16.3485716979855</v>
      </c>
      <c r="F34" s="17" t="n">
        <f aca="false">E34*(1-Annahmen!$B$60)</f>
        <v>11.4440001885898</v>
      </c>
      <c r="G34" s="17" t="n">
        <f aca="false">E34*Annahmen!$B$60</f>
        <v>4.90457150939565</v>
      </c>
      <c r="H34" s="23" t="n">
        <f aca="false">F34*Annahmen!$B$78+G34*Annahmen!$B$79</f>
        <v>102.387017401559</v>
      </c>
      <c r="I34" s="17" t="n">
        <f aca="false">IF($A34&gt;=Annahmen!$B$54,Annahmen!$B$63*(1-Annahmen!$B$64),0)</f>
        <v>0.35</v>
      </c>
      <c r="J34" s="17" t="n">
        <f aca="false">IF($A34&gt;=Annahmen!$B$54,Annahmen!$B$63*Annahmen!$B$64,0)</f>
        <v>0.15</v>
      </c>
      <c r="K34" s="23" t="n">
        <f aca="false">I34*Annahmen!$B$71+J34*Annahmen!$B$72</f>
        <v>32.245</v>
      </c>
      <c r="L34" s="17" t="n">
        <f aca="false">IF($A34&gt;=Annahmen!$B$54,Annahmen!$B$65,0)</f>
        <v>0</v>
      </c>
      <c r="M34" s="23" t="n">
        <f aca="false">L34*Annahmen!$B$73</f>
        <v>0</v>
      </c>
      <c r="N34" s="23" t="n">
        <f aca="false">H34+K34+M34</f>
        <v>134.632017401559</v>
      </c>
      <c r="O34" s="23" t="n">
        <f aca="false">N34/(1+Annahmen!$B$8)</f>
        <v>113.13614907694</v>
      </c>
      <c r="P34" s="23" t="n">
        <f aca="false">O34*(Annahmen!$B$62*Annahmen!$B$74+(1-Annahmen!$B$62)*Annahmen!$B$75)+(E34*Annahmen!$B$61+E34*(1-Annahmen!$B$61)/12+I34+J34+L34)*(1-Annahmen!$B$62)*Annahmen!$B$76</f>
        <v>12.0963417594902</v>
      </c>
      <c r="Q34" s="17" t="n">
        <f aca="false">Annahmen!$B$66</f>
        <v>4</v>
      </c>
      <c r="R34" s="23" t="n">
        <f aca="false">Q34*Annahmen!$B$42</f>
        <v>115.483850895744</v>
      </c>
      <c r="S34" s="23" t="n">
        <f aca="false">I34*Annahmen!$B$43+(J34+L34)*Annahmen!$B$44</f>
        <v>15.6845378437918</v>
      </c>
      <c r="T34" s="23" t="n">
        <f aca="false">C34*Annahmen!$B$77</f>
        <v>5.40480617919911</v>
      </c>
      <c r="U34" s="23" t="n">
        <f aca="false">SUMPRODUCT((((Annahmen!$C$145:$C$155="monatlich")*(Annahmen!$D$145:$D$155&lt;=$A34))+((Annahmen!$C$145:$C$155="einmalig")*(Annahmen!$D$145:$D$155=$A34)))*Annahmen!$B$145:$B$155*Annahmen!$E$145:$E$155)</f>
        <v>69.9850799606897</v>
      </c>
      <c r="V34" s="23" t="n">
        <f aca="false">IF($A34&gt;=Annahmen!$B$54,Annahmen!$B$134,0)</f>
        <v>200</v>
      </c>
      <c r="W34" s="35" t="n">
        <f aca="false">MAX(0,(E34-Annahmen!$B$138)/Annahmen!$B$139)</f>
        <v>0</v>
      </c>
      <c r="X34" s="23" t="n">
        <f aca="false">W34*Annahmen!$B$137</f>
        <v>0</v>
      </c>
      <c r="Y34" s="23" t="n">
        <f aca="false">O34-P34-R34-S34-T34-U34-V34-X34</f>
        <v>-305.518467561975</v>
      </c>
      <c r="Z34" s="23" t="n">
        <f aca="false">Z33+Y34</f>
        <v>-5770.72096624575</v>
      </c>
      <c r="AA34" s="7" t="n">
        <f aca="false">IF(Y34&gt;0,1,0)</f>
        <v>0</v>
      </c>
      <c r="AB34" s="7" t="n">
        <f aca="false">IF(Z34&gt;=0,1,0)</f>
        <v>0</v>
      </c>
    </row>
    <row r="35" customFormat="false" ht="15" hidden="false" customHeight="false" outlineLevel="0" collapsed="false">
      <c r="A35" s="7" t="n">
        <v>18</v>
      </c>
      <c r="B35" s="7" t="s">
        <v>367</v>
      </c>
      <c r="C35" s="15" t="n">
        <f aca="false">IF($A35&lt;Annahmen!$B$54,0,IF($A35=Annahmen!$B$54,Annahmen!$B$55,C34*(1+Annahmen!$B$56*(1-C34/Annahmen!$B$57))))</f>
        <v>583.251676476148</v>
      </c>
      <c r="D35" s="17" t="n">
        <f aca="false">C35*Annahmen!$B$58</f>
        <v>2.91625838238074</v>
      </c>
      <c r="E35" s="17" t="n">
        <f aca="false">E34*(1-Annahmen!$B$59)+D35</f>
        <v>17.9569443445274</v>
      </c>
      <c r="F35" s="17" t="n">
        <f aca="false">E35*(1-Annahmen!$B$60)</f>
        <v>12.5698610411692</v>
      </c>
      <c r="G35" s="17" t="n">
        <f aca="false">E35*Annahmen!$B$60</f>
        <v>5.38708330335822</v>
      </c>
      <c r="H35" s="23" t="n">
        <f aca="false">F35*Annahmen!$B$78+G35*Annahmen!$B$79</f>
        <v>112.459853193689</v>
      </c>
      <c r="I35" s="17" t="n">
        <f aca="false">IF($A35&gt;=Annahmen!$B$54,Annahmen!$B$63*(1-Annahmen!$B$64),0)</f>
        <v>0.35</v>
      </c>
      <c r="J35" s="17" t="n">
        <f aca="false">IF($A35&gt;=Annahmen!$B$54,Annahmen!$B$63*Annahmen!$B$64,0)</f>
        <v>0.15</v>
      </c>
      <c r="K35" s="23" t="n">
        <f aca="false">I35*Annahmen!$B$71+J35*Annahmen!$B$72</f>
        <v>32.245</v>
      </c>
      <c r="L35" s="17" t="n">
        <f aca="false">IF($A35&gt;=Annahmen!$B$54,Annahmen!$B$65,0)</f>
        <v>0</v>
      </c>
      <c r="M35" s="23" t="n">
        <f aca="false">L35*Annahmen!$B$73</f>
        <v>0</v>
      </c>
      <c r="N35" s="23" t="n">
        <f aca="false">H35+K35+M35</f>
        <v>144.704853193689</v>
      </c>
      <c r="O35" s="23" t="n">
        <f aca="false">N35/(1+Annahmen!$B$8)</f>
        <v>121.600716969486</v>
      </c>
      <c r="P35" s="23" t="n">
        <f aca="false">O35*(Annahmen!$B$62*Annahmen!$B$74+(1-Annahmen!$B$62)*Annahmen!$B$75)+(E35*Annahmen!$B$61+E35*(1-Annahmen!$B$61)/12+I35+J35+L35)*(1-Annahmen!$B$62)*Annahmen!$B$76</f>
        <v>13.0255472940489</v>
      </c>
      <c r="Q35" s="17" t="n">
        <f aca="false">Annahmen!$B$66</f>
        <v>4</v>
      </c>
      <c r="R35" s="23" t="n">
        <f aca="false">Q35*Annahmen!$B$42</f>
        <v>115.483850895744</v>
      </c>
      <c r="S35" s="23" t="n">
        <f aca="false">I35*Annahmen!$B$43+(J35+L35)*Annahmen!$B$44</f>
        <v>15.6845378437918</v>
      </c>
      <c r="T35" s="23" t="n">
        <f aca="false">C35*Annahmen!$B$77</f>
        <v>5.83251676476148</v>
      </c>
      <c r="U35" s="23" t="n">
        <f aca="false">SUMPRODUCT((((Annahmen!$C$145:$C$155="monatlich")*(Annahmen!$D$145:$D$155&lt;=$A35))+((Annahmen!$C$145:$C$155="einmalig")*(Annahmen!$D$145:$D$155=$A35)))*Annahmen!$B$145:$B$155*Annahmen!$E$145:$E$155)</f>
        <v>69.9850799606897</v>
      </c>
      <c r="V35" s="23" t="n">
        <f aca="false">IF($A35&gt;=Annahmen!$B$54,Annahmen!$B$134,0)</f>
        <v>200</v>
      </c>
      <c r="W35" s="35" t="n">
        <f aca="false">MAX(0,(E35-Annahmen!$B$138)/Annahmen!$B$139)</f>
        <v>0</v>
      </c>
      <c r="X35" s="23" t="n">
        <f aca="false">W35*Annahmen!$B$137</f>
        <v>0</v>
      </c>
      <c r="Y35" s="23" t="n">
        <f aca="false">O35-P35-R35-S35-T35-U35-V35-X35</f>
        <v>-298.41081578955</v>
      </c>
      <c r="Z35" s="23" t="n">
        <f aca="false">Z34+Y35</f>
        <v>-6069.1317820353</v>
      </c>
      <c r="AA35" s="7" t="n">
        <f aca="false">IF(Y35&gt;0,1,0)</f>
        <v>0</v>
      </c>
      <c r="AB35" s="7" t="n">
        <f aca="false">IF(Z35&gt;=0,1,0)</f>
        <v>0</v>
      </c>
    </row>
    <row r="36" customFormat="false" ht="15" hidden="false" customHeight="false" outlineLevel="0" collapsed="false">
      <c r="A36" s="7" t="n">
        <v>19</v>
      </c>
      <c r="B36" s="7" t="s">
        <v>368</v>
      </c>
      <c r="C36" s="15" t="n">
        <f aca="false">IF($A36&lt;Annahmen!$B$54,0,IF($A36=Annahmen!$B$54,Annahmen!$B$55,C35*(1+Annahmen!$B$56*(1-C35/Annahmen!$B$57))))</f>
        <v>629.367518565261</v>
      </c>
      <c r="D36" s="17" t="n">
        <f aca="false">C36*Annahmen!$B$58</f>
        <v>3.1468375928263</v>
      </c>
      <c r="E36" s="17" t="n">
        <f aca="false">E35*(1-Annahmen!$B$59)+D36</f>
        <v>19.6672263897915</v>
      </c>
      <c r="F36" s="17" t="n">
        <f aca="false">E36*(1-Annahmen!$B$60)</f>
        <v>13.7670584728541</v>
      </c>
      <c r="G36" s="17" t="n">
        <f aca="false">E36*Annahmen!$B$60</f>
        <v>5.90016791693745</v>
      </c>
      <c r="H36" s="23" t="n">
        <f aca="false">F36*Annahmen!$B$78+G36*Annahmen!$B$79</f>
        <v>123.170922072667</v>
      </c>
      <c r="I36" s="17" t="n">
        <f aca="false">IF($A36&gt;=Annahmen!$B$54,Annahmen!$B$63*(1-Annahmen!$B$64),0)</f>
        <v>0.35</v>
      </c>
      <c r="J36" s="17" t="n">
        <f aca="false">IF($A36&gt;=Annahmen!$B$54,Annahmen!$B$63*Annahmen!$B$64,0)</f>
        <v>0.15</v>
      </c>
      <c r="K36" s="23" t="n">
        <f aca="false">I36*Annahmen!$B$71+J36*Annahmen!$B$72</f>
        <v>32.245</v>
      </c>
      <c r="L36" s="17" t="n">
        <f aca="false">IF($A36&gt;=Annahmen!$B$54,Annahmen!$B$65,0)</f>
        <v>0</v>
      </c>
      <c r="M36" s="23" t="n">
        <f aca="false">L36*Annahmen!$B$73</f>
        <v>0</v>
      </c>
      <c r="N36" s="23" t="n">
        <f aca="false">H36+K36+M36</f>
        <v>155.415922072667</v>
      </c>
      <c r="O36" s="23" t="n">
        <f aca="false">N36/(1+Annahmen!$B$8)</f>
        <v>130.601615187115</v>
      </c>
      <c r="P36" s="23" t="n">
        <f aca="false">O36*(Annahmen!$B$62*Annahmen!$B$74+(1-Annahmen!$B$62)*Annahmen!$B$75)+(E36*Annahmen!$B$61+E36*(1-Annahmen!$B$61)/12+I36+J36+L36)*(1-Annahmen!$B$62)*Annahmen!$B$76</f>
        <v>14.0136289712229</v>
      </c>
      <c r="Q36" s="17" t="n">
        <f aca="false">Annahmen!$B$66</f>
        <v>4</v>
      </c>
      <c r="R36" s="23" t="n">
        <f aca="false">Q36*Annahmen!$B$42</f>
        <v>115.483850895744</v>
      </c>
      <c r="S36" s="23" t="n">
        <f aca="false">I36*Annahmen!$B$43+(J36+L36)*Annahmen!$B$44</f>
        <v>15.6845378437918</v>
      </c>
      <c r="T36" s="23" t="n">
        <f aca="false">C36*Annahmen!$B$77</f>
        <v>6.29367518565261</v>
      </c>
      <c r="U36" s="23" t="n">
        <f aca="false">SUMPRODUCT((((Annahmen!$C$145:$C$155="monatlich")*(Annahmen!$D$145:$D$155&lt;=$A36))+((Annahmen!$C$145:$C$155="einmalig")*(Annahmen!$D$145:$D$155=$A36)))*Annahmen!$B$145:$B$155*Annahmen!$E$145:$E$155)</f>
        <v>69.9850799606897</v>
      </c>
      <c r="V36" s="23" t="n">
        <f aca="false">IF($A36&gt;=Annahmen!$B$54,Annahmen!$B$134,0)</f>
        <v>200</v>
      </c>
      <c r="W36" s="35" t="n">
        <f aca="false">MAX(0,(E36-Annahmen!$B$138)/Annahmen!$B$139)</f>
        <v>0</v>
      </c>
      <c r="X36" s="23" t="n">
        <f aca="false">W36*Annahmen!$B$137</f>
        <v>0</v>
      </c>
      <c r="Y36" s="23" t="n">
        <f aca="false">O36-P36-R36-S36-T36-U36-V36-X36</f>
        <v>-290.859157669986</v>
      </c>
      <c r="Z36" s="23" t="n">
        <f aca="false">Z35+Y36</f>
        <v>-6359.99093970528</v>
      </c>
      <c r="AA36" s="7" t="n">
        <f aca="false">IF(Y36&gt;0,1,0)</f>
        <v>0</v>
      </c>
      <c r="AB36" s="7" t="n">
        <f aca="false">IF(Z36&gt;=0,1,0)</f>
        <v>0</v>
      </c>
    </row>
    <row r="37" customFormat="false" ht="15" hidden="false" customHeight="false" outlineLevel="0" collapsed="false">
      <c r="A37" s="7" t="n">
        <v>20</v>
      </c>
      <c r="B37" s="7" t="s">
        <v>369</v>
      </c>
      <c r="C37" s="15" t="n">
        <f aca="false">IF($A37&lt;Annahmen!$B$54,0,IF($A37=Annahmen!$B$54,Annahmen!$B$55,C36*(1+Annahmen!$B$56*(1-C36/Annahmen!$B$57))))</f>
        <v>679.083154493001</v>
      </c>
      <c r="D37" s="17" t="n">
        <f aca="false">C37*Annahmen!$B$58</f>
        <v>3.39541577246501</v>
      </c>
      <c r="E37" s="17" t="n">
        <f aca="false">E36*(1-Annahmen!$B$59)+D37</f>
        <v>21.4892640510732</v>
      </c>
      <c r="F37" s="17" t="n">
        <f aca="false">E37*(1-Annahmen!$B$60)</f>
        <v>15.0424848357512</v>
      </c>
      <c r="G37" s="17" t="n">
        <f aca="false">E37*Annahmen!$B$60</f>
        <v>6.44677921532196</v>
      </c>
      <c r="H37" s="23" t="n">
        <f aca="false">F37*Annahmen!$B$78+G37*Annahmen!$B$79</f>
        <v>134.581888435859</v>
      </c>
      <c r="I37" s="17" t="n">
        <f aca="false">IF($A37&gt;=Annahmen!$B$54,Annahmen!$B$63*(1-Annahmen!$B$64),0)</f>
        <v>0.35</v>
      </c>
      <c r="J37" s="17" t="n">
        <f aca="false">IF($A37&gt;=Annahmen!$B$54,Annahmen!$B$63*Annahmen!$B$64,0)</f>
        <v>0.15</v>
      </c>
      <c r="K37" s="23" t="n">
        <f aca="false">I37*Annahmen!$B$71+J37*Annahmen!$B$72</f>
        <v>32.245</v>
      </c>
      <c r="L37" s="17" t="n">
        <f aca="false">IF($A37&gt;=Annahmen!$B$54,Annahmen!$B$65,0)</f>
        <v>0</v>
      </c>
      <c r="M37" s="23" t="n">
        <f aca="false">L37*Annahmen!$B$73</f>
        <v>0</v>
      </c>
      <c r="N37" s="23" t="n">
        <f aca="false">H37+K37+M37</f>
        <v>166.826888435859</v>
      </c>
      <c r="O37" s="23" t="n">
        <f aca="false">N37/(1+Annahmen!$B$8)</f>
        <v>140.190662551142</v>
      </c>
      <c r="P37" s="23" t="n">
        <f aca="false">O37*(Annahmen!$B$62*Annahmen!$B$74+(1-Annahmen!$B$62)*Annahmen!$B$75)+(E37*Annahmen!$B$61+E37*(1-Annahmen!$B$61)/12+I37+J37+L37)*(1-Annahmen!$B$62)*Annahmen!$B$76</f>
        <v>15.0662752486124</v>
      </c>
      <c r="Q37" s="17" t="n">
        <f aca="false">Annahmen!$B$66</f>
        <v>4</v>
      </c>
      <c r="R37" s="23" t="n">
        <f aca="false">Q37*Annahmen!$B$42</f>
        <v>115.483850895744</v>
      </c>
      <c r="S37" s="23" t="n">
        <f aca="false">I37*Annahmen!$B$43+(J37+L37)*Annahmen!$B$44</f>
        <v>15.6845378437918</v>
      </c>
      <c r="T37" s="23" t="n">
        <f aca="false">C37*Annahmen!$B$77</f>
        <v>6.79083154493002</v>
      </c>
      <c r="U37" s="23" t="n">
        <f aca="false">SUMPRODUCT((((Annahmen!$C$145:$C$155="monatlich")*(Annahmen!$D$145:$D$155&lt;=$A37))+((Annahmen!$C$145:$C$155="einmalig")*(Annahmen!$D$145:$D$155=$A37)))*Annahmen!$B$145:$B$155*Annahmen!$E$145:$E$155)</f>
        <v>69.9850799606897</v>
      </c>
      <c r="V37" s="23" t="n">
        <f aca="false">IF($A37&gt;=Annahmen!$B$54,Annahmen!$B$134,0)</f>
        <v>200</v>
      </c>
      <c r="W37" s="35" t="n">
        <f aca="false">MAX(0,(E37-Annahmen!$B$138)/Annahmen!$B$139)</f>
        <v>0</v>
      </c>
      <c r="X37" s="23" t="n">
        <f aca="false">W37*Annahmen!$B$137</f>
        <v>0</v>
      </c>
      <c r="Y37" s="23" t="n">
        <f aca="false">O37-P37-R37-S37-T37-U37-V37-X37</f>
        <v>-282.819912942626</v>
      </c>
      <c r="Z37" s="23" t="n">
        <f aca="false">Z36+Y37</f>
        <v>-6642.81085264791</v>
      </c>
      <c r="AA37" s="7" t="n">
        <f aca="false">IF(Y37&gt;0,1,0)</f>
        <v>0</v>
      </c>
      <c r="AB37" s="7" t="n">
        <f aca="false">IF(Z37&gt;=0,1,0)</f>
        <v>0</v>
      </c>
    </row>
    <row r="38" customFormat="false" ht="15" hidden="false" customHeight="false" outlineLevel="0" collapsed="false">
      <c r="A38" s="7" t="n">
        <v>21</v>
      </c>
      <c r="B38" s="7" t="s">
        <v>370</v>
      </c>
      <c r="C38" s="15" t="n">
        <f aca="false">IF($A38&lt;Annahmen!$B$54,0,IF($A38=Annahmen!$B$54,Annahmen!$B$55,C37*(1+Annahmen!$B$56*(1-C37/Annahmen!$B$57))))</f>
        <v>732.671960563296</v>
      </c>
      <c r="D38" s="17" t="n">
        <f aca="false">C38*Annahmen!$B$58</f>
        <v>3.66335980281648</v>
      </c>
      <c r="E38" s="17" t="n">
        <f aca="false">E37*(1-Annahmen!$B$59)+D38</f>
        <v>23.4334827298038</v>
      </c>
      <c r="F38" s="17" t="n">
        <f aca="false">E38*(1-Annahmen!$B$60)</f>
        <v>16.4034379108627</v>
      </c>
      <c r="G38" s="17" t="n">
        <f aca="false">E38*Annahmen!$B$60</f>
        <v>7.03004481894114</v>
      </c>
      <c r="H38" s="23" t="n">
        <f aca="false">F38*Annahmen!$B$78+G38*Annahmen!$B$79</f>
        <v>146.758043966079</v>
      </c>
      <c r="I38" s="17" t="n">
        <f aca="false">IF($A38&gt;=Annahmen!$B$54,Annahmen!$B$63*(1-Annahmen!$B$64),0)</f>
        <v>0.35</v>
      </c>
      <c r="J38" s="17" t="n">
        <f aca="false">IF($A38&gt;=Annahmen!$B$54,Annahmen!$B$63*Annahmen!$B$64,0)</f>
        <v>0.15</v>
      </c>
      <c r="K38" s="23" t="n">
        <f aca="false">I38*Annahmen!$B$71+J38*Annahmen!$B$72</f>
        <v>32.245</v>
      </c>
      <c r="L38" s="17" t="n">
        <f aca="false">IF($A38&gt;=Annahmen!$B$54,Annahmen!$B$65,0)</f>
        <v>0</v>
      </c>
      <c r="M38" s="23" t="n">
        <f aca="false">L38*Annahmen!$B$73</f>
        <v>0</v>
      </c>
      <c r="N38" s="23" t="n">
        <f aca="false">H38+K38+M38</f>
        <v>179.003043966079</v>
      </c>
      <c r="O38" s="23" t="n">
        <f aca="false">N38/(1+Annahmen!$B$8)</f>
        <v>150.422726021915</v>
      </c>
      <c r="P38" s="23" t="n">
        <f aca="false">O38*(Annahmen!$B$62*Annahmen!$B$74+(1-Annahmen!$B$62)*Annahmen!$B$75)+(E38*Annahmen!$B$61+E38*(1-Annahmen!$B$61)/12+I38+J38+L38)*(1-Annahmen!$B$62)*Annahmen!$B$76</f>
        <v>16.1895091960146</v>
      </c>
      <c r="Q38" s="17" t="n">
        <f aca="false">Annahmen!$B$66</f>
        <v>4</v>
      </c>
      <c r="R38" s="23" t="n">
        <f aca="false">Q38*Annahmen!$B$42</f>
        <v>115.483850895744</v>
      </c>
      <c r="S38" s="23" t="n">
        <f aca="false">I38*Annahmen!$B$43+(J38+L38)*Annahmen!$B$44</f>
        <v>15.6845378437918</v>
      </c>
      <c r="T38" s="23" t="n">
        <f aca="false">C38*Annahmen!$B$77</f>
        <v>7.32671960563296</v>
      </c>
      <c r="U38" s="23" t="n">
        <f aca="false">SUMPRODUCT((((Annahmen!$C$145:$C$155="monatlich")*(Annahmen!$D$145:$D$155&lt;=$A38))+((Annahmen!$C$145:$C$155="einmalig")*(Annahmen!$D$145:$D$155=$A38)))*Annahmen!$B$145:$B$155*Annahmen!$E$145:$E$155)</f>
        <v>69.9850799606897</v>
      </c>
      <c r="V38" s="23" t="n">
        <f aca="false">IF($A38&gt;=Annahmen!$B$54,Annahmen!$B$134,0)</f>
        <v>200</v>
      </c>
      <c r="W38" s="35" t="n">
        <f aca="false">MAX(0,(E38-Annahmen!$B$138)/Annahmen!$B$139)</f>
        <v>0</v>
      </c>
      <c r="X38" s="23" t="n">
        <f aca="false">W38*Annahmen!$B$137</f>
        <v>0</v>
      </c>
      <c r="Y38" s="23" t="n">
        <f aca="false">O38-P38-R38-S38-T38-U38-V38-X38</f>
        <v>-274.246971479958</v>
      </c>
      <c r="Z38" s="23" t="n">
        <f aca="false">Z37+Y38</f>
        <v>-6917.05782412787</v>
      </c>
      <c r="AA38" s="7" t="n">
        <f aca="false">IF(Y38&gt;0,1,0)</f>
        <v>0</v>
      </c>
      <c r="AB38" s="7" t="n">
        <f aca="false">IF(Z38&gt;=0,1,0)</f>
        <v>0</v>
      </c>
    </row>
    <row r="39" customFormat="false" ht="15" hidden="false" customHeight="false" outlineLevel="0" collapsed="false">
      <c r="A39" s="7" t="n">
        <v>22</v>
      </c>
      <c r="B39" s="7" t="s">
        <v>371</v>
      </c>
      <c r="C39" s="15" t="n">
        <f aca="false">IF($A39&lt;Annahmen!$B$54,0,IF($A39=Annahmen!$B$54,Annahmen!$B$55,C38*(1+Annahmen!$B$56*(1-C38/Annahmen!$B$57))))</f>
        <v>790.426824285486</v>
      </c>
      <c r="D39" s="17" t="n">
        <f aca="false">C39*Annahmen!$B$58</f>
        <v>3.95213412142743</v>
      </c>
      <c r="E39" s="17" t="n">
        <f aca="false">E38*(1-Annahmen!$B$59)+D39</f>
        <v>25.5109382328469</v>
      </c>
      <c r="F39" s="17" t="n">
        <f aca="false">E39*(1-Annahmen!$B$60)</f>
        <v>17.8576567629929</v>
      </c>
      <c r="G39" s="17" t="n">
        <f aca="false">E39*Annahmen!$B$60</f>
        <v>7.65328146985408</v>
      </c>
      <c r="H39" s="23" t="n">
        <f aca="false">F39*Annahmen!$B$78+G39*Annahmen!$B$79</f>
        <v>159.768628417762</v>
      </c>
      <c r="I39" s="17" t="n">
        <f aca="false">IF($A39&gt;=Annahmen!$B$54,Annahmen!$B$63*(1-Annahmen!$B$64),0)</f>
        <v>0.35</v>
      </c>
      <c r="J39" s="17" t="n">
        <f aca="false">IF($A39&gt;=Annahmen!$B$54,Annahmen!$B$63*Annahmen!$B$64,0)</f>
        <v>0.15</v>
      </c>
      <c r="K39" s="23" t="n">
        <f aca="false">I39*Annahmen!$B$71+J39*Annahmen!$B$72</f>
        <v>32.245</v>
      </c>
      <c r="L39" s="17" t="n">
        <f aca="false">IF($A39&gt;=Annahmen!$B$54,Annahmen!$B$65,0)</f>
        <v>0</v>
      </c>
      <c r="M39" s="23" t="n">
        <f aca="false">L39*Annahmen!$B$73</f>
        <v>0</v>
      </c>
      <c r="N39" s="23" t="n">
        <f aca="false">H39+K39+M39</f>
        <v>192.013628417762</v>
      </c>
      <c r="O39" s="23" t="n">
        <f aca="false">N39/(1+Annahmen!$B$8)</f>
        <v>161.355990267027</v>
      </c>
      <c r="P39" s="23" t="n">
        <f aca="false">O39*(Annahmen!$B$62*Annahmen!$B$74+(1-Annahmen!$B$62)*Annahmen!$B$75)+(E39*Annahmen!$B$61+E39*(1-Annahmen!$B$61)/12+I39+J39+L39)*(1-Annahmen!$B$62)*Annahmen!$B$76</f>
        <v>17.389718087516</v>
      </c>
      <c r="Q39" s="17" t="n">
        <f aca="false">Annahmen!$B$66</f>
        <v>4</v>
      </c>
      <c r="R39" s="23" t="n">
        <f aca="false">Q39*Annahmen!$B$42</f>
        <v>115.483850895744</v>
      </c>
      <c r="S39" s="23" t="n">
        <f aca="false">I39*Annahmen!$B$43+(J39+L39)*Annahmen!$B$44</f>
        <v>15.6845378437918</v>
      </c>
      <c r="T39" s="23" t="n">
        <f aca="false">C39*Annahmen!$B$77</f>
        <v>7.90426824285486</v>
      </c>
      <c r="U39" s="23" t="n">
        <f aca="false">SUMPRODUCT((((Annahmen!$C$145:$C$155="monatlich")*(Annahmen!$D$145:$D$155&lt;=$A39))+((Annahmen!$C$145:$C$155="einmalig")*(Annahmen!$D$145:$D$155=$A39)))*Annahmen!$B$145:$B$155*Annahmen!$E$145:$E$155)</f>
        <v>69.9850799606897</v>
      </c>
      <c r="V39" s="23" t="n">
        <f aca="false">IF($A39&gt;=Annahmen!$B$54,Annahmen!$B$134,0)</f>
        <v>200</v>
      </c>
      <c r="W39" s="35" t="n">
        <f aca="false">MAX(0,(E39-Annahmen!$B$138)/Annahmen!$B$139)</f>
        <v>0</v>
      </c>
      <c r="X39" s="23" t="n">
        <f aca="false">W39*Annahmen!$B$137</f>
        <v>0</v>
      </c>
      <c r="Y39" s="23" t="n">
        <f aca="false">O39-P39-R39-S39-T39-U39-V39-X39</f>
        <v>-265.091464763569</v>
      </c>
      <c r="Z39" s="23" t="n">
        <f aca="false">Z38+Y39</f>
        <v>-7182.14928889144</v>
      </c>
      <c r="AA39" s="7" t="n">
        <f aca="false">IF(Y39&gt;0,1,0)</f>
        <v>0</v>
      </c>
      <c r="AB39" s="7" t="n">
        <f aca="false">IF(Z39&gt;=0,1,0)</f>
        <v>0</v>
      </c>
    </row>
    <row r="40" customFormat="false" ht="15" hidden="false" customHeight="false" outlineLevel="0" collapsed="false">
      <c r="A40" s="7" t="n">
        <v>23</v>
      </c>
      <c r="B40" s="7" t="s">
        <v>372</v>
      </c>
      <c r="C40" s="15" t="n">
        <f aca="false">IF($A40&lt;Annahmen!$B$54,0,IF($A40=Annahmen!$B$54,Annahmen!$B$55,C39*(1+Annahmen!$B$56*(1-C39/Annahmen!$B$57))))</f>
        <v>852.661330925045</v>
      </c>
      <c r="D40" s="17" t="n">
        <f aca="false">C40*Annahmen!$B$58</f>
        <v>4.26330665462522</v>
      </c>
      <c r="E40" s="17" t="n">
        <f aca="false">E39*(1-Annahmen!$B$59)+D40</f>
        <v>27.7333698288444</v>
      </c>
      <c r="F40" s="17" t="n">
        <f aca="false">E40*(1-Annahmen!$B$60)</f>
        <v>19.4133588801911</v>
      </c>
      <c r="G40" s="17" t="n">
        <f aca="false">E40*Annahmen!$B$60</f>
        <v>8.32001094865332</v>
      </c>
      <c r="H40" s="23" t="n">
        <f aca="false">F40*Annahmen!$B$78+G40*Annahmen!$B$79</f>
        <v>173.687161895595</v>
      </c>
      <c r="I40" s="17" t="n">
        <f aca="false">IF($A40&gt;=Annahmen!$B$54,Annahmen!$B$63*(1-Annahmen!$B$64),0)</f>
        <v>0.35</v>
      </c>
      <c r="J40" s="17" t="n">
        <f aca="false">IF($A40&gt;=Annahmen!$B$54,Annahmen!$B$63*Annahmen!$B$64,0)</f>
        <v>0.15</v>
      </c>
      <c r="K40" s="23" t="n">
        <f aca="false">I40*Annahmen!$B$71+J40*Annahmen!$B$72</f>
        <v>32.245</v>
      </c>
      <c r="L40" s="17" t="n">
        <f aca="false">IF($A40&gt;=Annahmen!$B$54,Annahmen!$B$65,0)</f>
        <v>0</v>
      </c>
      <c r="M40" s="23" t="n">
        <f aca="false">L40*Annahmen!$B$73</f>
        <v>0</v>
      </c>
      <c r="N40" s="23" t="n">
        <f aca="false">H40+K40+M40</f>
        <v>205.932161895595</v>
      </c>
      <c r="O40" s="23" t="n">
        <f aca="false">N40/(1+Annahmen!$B$8)</f>
        <v>173.052236887055</v>
      </c>
      <c r="P40" s="23" t="n">
        <f aca="false">O40*(Annahmen!$B$62*Annahmen!$B$74+(1-Annahmen!$B$62)*Annahmen!$B$75)+(E40*Annahmen!$B$61+E40*(1-Annahmen!$B$61)/12+I40+J40+L40)*(1-Annahmen!$B$62)*Annahmen!$B$76</f>
        <v>18.6736840537485</v>
      </c>
      <c r="Q40" s="17" t="n">
        <f aca="false">Annahmen!$B$66</f>
        <v>4</v>
      </c>
      <c r="R40" s="23" t="n">
        <f aca="false">Q40*Annahmen!$B$42</f>
        <v>115.483850895744</v>
      </c>
      <c r="S40" s="23" t="n">
        <f aca="false">I40*Annahmen!$B$43+(J40+L40)*Annahmen!$B$44</f>
        <v>15.6845378437918</v>
      </c>
      <c r="T40" s="23" t="n">
        <f aca="false">C40*Annahmen!$B$77</f>
        <v>8.52661330925045</v>
      </c>
      <c r="U40" s="23" t="n">
        <f aca="false">SUMPRODUCT((((Annahmen!$C$145:$C$155="monatlich")*(Annahmen!$D$145:$D$155&lt;=$A40))+((Annahmen!$C$145:$C$155="einmalig")*(Annahmen!$D$145:$D$155=$A40)))*Annahmen!$B$145:$B$155*Annahmen!$E$145:$E$155)</f>
        <v>69.9850799606897</v>
      </c>
      <c r="V40" s="23" t="n">
        <f aca="false">IF($A40&gt;=Annahmen!$B$54,Annahmen!$B$134,0)</f>
        <v>200</v>
      </c>
      <c r="W40" s="35" t="n">
        <f aca="false">MAX(0,(E40-Annahmen!$B$138)/Annahmen!$B$139)</f>
        <v>0</v>
      </c>
      <c r="X40" s="23" t="n">
        <f aca="false">W40*Annahmen!$B$137</f>
        <v>0</v>
      </c>
      <c r="Y40" s="23" t="n">
        <f aca="false">O40-P40-R40-S40-T40-U40-V40-X40</f>
        <v>-255.30152917617</v>
      </c>
      <c r="Z40" s="23" t="n">
        <f aca="false">Z39+Y40</f>
        <v>-7437.45081806761</v>
      </c>
      <c r="AA40" s="7" t="n">
        <f aca="false">IF(Y40&gt;0,1,0)</f>
        <v>0</v>
      </c>
      <c r="AB40" s="7" t="n">
        <f aca="false">IF(Z40&gt;=0,1,0)</f>
        <v>0</v>
      </c>
    </row>
    <row r="41" customFormat="false" ht="15" hidden="false" customHeight="false" outlineLevel="0" collapsed="false">
      <c r="A41" s="7" t="n">
        <v>24</v>
      </c>
      <c r="B41" s="7" t="s">
        <v>373</v>
      </c>
      <c r="C41" s="15" t="n">
        <f aca="false">IF($A41&lt;Annahmen!$B$54,0,IF($A41=Annahmen!$B$54,Annahmen!$B$55,C40*(1+Annahmen!$B$56*(1-C40/Annahmen!$B$57))))</f>
        <v>919.710987246641</v>
      </c>
      <c r="D41" s="17" t="n">
        <f aca="false">C41*Annahmen!$B$58</f>
        <v>4.5985549362332</v>
      </c>
      <c r="E41" s="17" t="n">
        <f aca="false">E40*(1-Annahmen!$B$59)+D41</f>
        <v>30.1132551787701</v>
      </c>
      <c r="F41" s="17" t="n">
        <f aca="false">E41*(1-Annahmen!$B$60)</f>
        <v>21.079278625139</v>
      </c>
      <c r="G41" s="17" t="n">
        <f aca="false">E41*Annahmen!$B$60</f>
        <v>9.03397655363102</v>
      </c>
      <c r="H41" s="23" t="n">
        <f aca="false">F41*Annahmen!$B$78+G41*Annahmen!$B$79</f>
        <v>188.591788870842</v>
      </c>
      <c r="I41" s="17" t="n">
        <f aca="false">IF($A41&gt;=Annahmen!$B$54,Annahmen!$B$63*(1-Annahmen!$B$64),0)</f>
        <v>0.35</v>
      </c>
      <c r="J41" s="17" t="n">
        <f aca="false">IF($A41&gt;=Annahmen!$B$54,Annahmen!$B$63*Annahmen!$B$64,0)</f>
        <v>0.15</v>
      </c>
      <c r="K41" s="23" t="n">
        <f aca="false">I41*Annahmen!$B$71+J41*Annahmen!$B$72</f>
        <v>32.245</v>
      </c>
      <c r="L41" s="17" t="n">
        <f aca="false">IF($A41&gt;=Annahmen!$B$54,Annahmen!$B$65,0)</f>
        <v>0</v>
      </c>
      <c r="M41" s="23" t="n">
        <f aca="false">L41*Annahmen!$B$73</f>
        <v>0</v>
      </c>
      <c r="N41" s="23" t="n">
        <f aca="false">H41+K41+M41</f>
        <v>220.836788870842</v>
      </c>
      <c r="O41" s="23" t="n">
        <f aca="false">N41/(1+Annahmen!$B$8)</f>
        <v>185.577133504909</v>
      </c>
      <c r="P41" s="23" t="n">
        <f aca="false">O41*(Annahmen!$B$62*Annahmen!$B$74+(1-Annahmen!$B$62)*Annahmen!$B$75)+(E41*Annahmen!$B$61+E41*(1-Annahmen!$B$61)/12+I41+J41+L41)*(1-Annahmen!$B$62)*Annahmen!$B$76</f>
        <v>20.0486158169321</v>
      </c>
      <c r="Q41" s="17" t="n">
        <f aca="false">Annahmen!$B$66</f>
        <v>4</v>
      </c>
      <c r="R41" s="23" t="n">
        <f aca="false">Q41*Annahmen!$B$42</f>
        <v>115.483850895744</v>
      </c>
      <c r="S41" s="23" t="n">
        <f aca="false">I41*Annahmen!$B$43+(J41+L41)*Annahmen!$B$44</f>
        <v>15.6845378437918</v>
      </c>
      <c r="T41" s="23" t="n">
        <f aca="false">C41*Annahmen!$B$77</f>
        <v>9.19710987246641</v>
      </c>
      <c r="U41" s="23" t="n">
        <f aca="false">SUMPRODUCT((((Annahmen!$C$145:$C$155="monatlich")*(Annahmen!$D$145:$D$155&lt;=$A41))+((Annahmen!$C$145:$C$155="einmalig")*(Annahmen!$D$145:$D$155=$A41)))*Annahmen!$B$145:$B$155*Annahmen!$E$145:$E$155)</f>
        <v>69.9850799606897</v>
      </c>
      <c r="V41" s="23" t="n">
        <f aca="false">IF($A41&gt;=Annahmen!$B$54,Annahmen!$B$134,0)</f>
        <v>200</v>
      </c>
      <c r="W41" s="35" t="n">
        <f aca="false">MAX(0,(E41-Annahmen!$B$138)/Annahmen!$B$139)</f>
        <v>0</v>
      </c>
      <c r="X41" s="23" t="n">
        <f aca="false">W41*Annahmen!$B$137</f>
        <v>0</v>
      </c>
      <c r="Y41" s="23" t="n">
        <f aca="false">O41-P41-R41-S41-T41-U41-V41-X41</f>
        <v>-244.822060884715</v>
      </c>
      <c r="Z41" s="23" t="n">
        <f aca="false">Z40+Y41</f>
        <v>-7682.27287895232</v>
      </c>
      <c r="AA41" s="7" t="n">
        <f aca="false">IF(Y41&gt;0,1,0)</f>
        <v>0</v>
      </c>
      <c r="AB41" s="7" t="n">
        <f aca="false">IF(Z41&gt;=0,1,0)</f>
        <v>0</v>
      </c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customFormat="false" ht="15" hidden="false" customHeight="false" outlineLevel="0" collapsed="false">
      <c r="A45" s="5" t="str">
        <f aca="false">"Szenario mittel – "&amp;Annahmen!$C$133</f>
        <v>Szenario mittel – profitabler Nebenerwerb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2"/>
      <c r="AB45" s="2"/>
    </row>
    <row r="46" customFormat="false" ht="42" hidden="false" customHeight="true" outlineLevel="0" collapsed="false">
      <c r="A46" s="34" t="s">
        <v>96</v>
      </c>
      <c r="B46" s="34" t="s">
        <v>323</v>
      </c>
      <c r="C46" s="34" t="s">
        <v>324</v>
      </c>
      <c r="D46" s="34" t="s">
        <v>325</v>
      </c>
      <c r="E46" s="34" t="s">
        <v>326</v>
      </c>
      <c r="F46" s="34" t="s">
        <v>327</v>
      </c>
      <c r="G46" s="34" t="s">
        <v>328</v>
      </c>
      <c r="H46" s="34" t="s">
        <v>329</v>
      </c>
      <c r="I46" s="34" t="s">
        <v>330</v>
      </c>
      <c r="J46" s="34" t="s">
        <v>331</v>
      </c>
      <c r="K46" s="34" t="s">
        <v>332</v>
      </c>
      <c r="L46" s="34" t="s">
        <v>333</v>
      </c>
      <c r="M46" s="34" t="s">
        <v>334</v>
      </c>
      <c r="N46" s="34" t="s">
        <v>335</v>
      </c>
      <c r="O46" s="34" t="s">
        <v>336</v>
      </c>
      <c r="P46" s="34" t="s">
        <v>337</v>
      </c>
      <c r="Q46" s="34" t="s">
        <v>338</v>
      </c>
      <c r="R46" s="34" t="s">
        <v>339</v>
      </c>
      <c r="S46" s="34" t="s">
        <v>340</v>
      </c>
      <c r="T46" s="34" t="s">
        <v>341</v>
      </c>
      <c r="U46" s="34" t="s">
        <v>342</v>
      </c>
      <c r="V46" s="34" t="s">
        <v>343</v>
      </c>
      <c r="W46" s="34" t="s">
        <v>344</v>
      </c>
      <c r="X46" s="34" t="s">
        <v>345</v>
      </c>
      <c r="Y46" s="34" t="s">
        <v>346</v>
      </c>
      <c r="Z46" s="34" t="s">
        <v>347</v>
      </c>
      <c r="AA46" s="34" t="s">
        <v>348</v>
      </c>
      <c r="AB46" s="34" t="s">
        <v>349</v>
      </c>
    </row>
    <row r="47" customFormat="false" ht="15" hidden="false" customHeight="false" outlineLevel="0" collapsed="false">
      <c r="A47" s="7" t="n">
        <v>1</v>
      </c>
      <c r="B47" s="7" t="s">
        <v>350</v>
      </c>
      <c r="C47" s="15" t="n">
        <f aca="false">IF($A47&lt;Annahmen!$C$54,0,Annahmen!$C$55)</f>
        <v>0</v>
      </c>
      <c r="D47" s="17" t="n">
        <f aca="false">C47*Annahmen!$C$58</f>
        <v>0</v>
      </c>
      <c r="E47" s="17" t="n">
        <f aca="false">D47</f>
        <v>0</v>
      </c>
      <c r="F47" s="17" t="n">
        <f aca="false">E47*(1-Annahmen!$C$60)</f>
        <v>0</v>
      </c>
      <c r="G47" s="17" t="n">
        <f aca="false">E47*Annahmen!$C$60</f>
        <v>0</v>
      </c>
      <c r="H47" s="23" t="n">
        <f aca="false">F47*Annahmen!$C$78+G47*Annahmen!$C$79</f>
        <v>0</v>
      </c>
      <c r="I47" s="17" t="n">
        <f aca="false">IF($A47&gt;=Annahmen!$C$54,Annahmen!$C$63*(1-Annahmen!$C$64),0)</f>
        <v>0</v>
      </c>
      <c r="J47" s="17" t="n">
        <f aca="false">IF($A47&gt;=Annahmen!$C$54,Annahmen!$C$63*Annahmen!$C$64,0)</f>
        <v>0</v>
      </c>
      <c r="K47" s="23" t="n">
        <f aca="false">I47*Annahmen!$B$71+J47*Annahmen!$B$72</f>
        <v>0</v>
      </c>
      <c r="L47" s="17" t="n">
        <f aca="false">IF($A47&gt;=Annahmen!$C$54,Annahmen!$C$65,0)</f>
        <v>0</v>
      </c>
      <c r="M47" s="23" t="n">
        <f aca="false">L47*Annahmen!$B$73</f>
        <v>0</v>
      </c>
      <c r="N47" s="23" t="n">
        <f aca="false">H47+K47+M47</f>
        <v>0</v>
      </c>
      <c r="O47" s="23" t="n">
        <f aca="false">N47/(1+Annahmen!$B$8)</f>
        <v>0</v>
      </c>
      <c r="P47" s="23" t="n">
        <f aca="false">O47*(Annahmen!$C$62*Annahmen!$B$74+(1-Annahmen!$C$62)*Annahmen!$B$75)+(E47*Annahmen!$C$61+E47*(1-Annahmen!$C$61)/12+I47+J47+L47)*(1-Annahmen!$C$62)*Annahmen!$B$76</f>
        <v>0</v>
      </c>
      <c r="Q47" s="17" t="n">
        <f aca="false">Annahmen!$C$66</f>
        <v>8</v>
      </c>
      <c r="R47" s="23" t="n">
        <f aca="false">Q47*Annahmen!$B$42</f>
        <v>230.967701791488</v>
      </c>
      <c r="S47" s="23" t="n">
        <f aca="false">I47*Annahmen!$B$43+(J47+L47)*Annahmen!$B$44</f>
        <v>0</v>
      </c>
      <c r="T47" s="23" t="n">
        <f aca="false">C47*Annahmen!$B$77</f>
        <v>0</v>
      </c>
      <c r="U47" s="23" t="n">
        <f aca="false">SUMPRODUCT((((Annahmen!$C$145:$C$155="monatlich")*(Annahmen!$D$145:$D$155&lt;=$A47))+((Annahmen!$C$145:$C$155="einmalig")*(Annahmen!$D$145:$D$155=$A47)))*Annahmen!$B$145:$B$155*Annahmen!$E$145:$E$155)</f>
        <v>232.38507996069</v>
      </c>
      <c r="V47" s="23" t="n">
        <f aca="false">IF($A47&gt;=Annahmen!$C$54,Annahmen!$C$134,0)</f>
        <v>0</v>
      </c>
      <c r="W47" s="35" t="n">
        <f aca="false">MAX(0,(E47-Annahmen!$B$138)/Annahmen!$B$139)</f>
        <v>0</v>
      </c>
      <c r="X47" s="23" t="n">
        <f aca="false">W47*Annahmen!$B$137</f>
        <v>0</v>
      </c>
      <c r="Y47" s="23" t="n">
        <f aca="false">O47-P47-R47-S47-T47-U47-V47-X47</f>
        <v>-463.352781752178</v>
      </c>
      <c r="Z47" s="23" t="n">
        <f aca="false">Y47</f>
        <v>-463.352781752178</v>
      </c>
      <c r="AA47" s="7" t="n">
        <f aca="false">IF(Y47&gt;0,1,0)</f>
        <v>0</v>
      </c>
      <c r="AB47" s="7" t="n">
        <f aca="false">IF(Z47&gt;=0,1,0)</f>
        <v>0</v>
      </c>
    </row>
    <row r="48" customFormat="false" ht="15" hidden="false" customHeight="false" outlineLevel="0" collapsed="false">
      <c r="A48" s="7" t="n">
        <v>2</v>
      </c>
      <c r="B48" s="7" t="s">
        <v>351</v>
      </c>
      <c r="C48" s="15" t="n">
        <f aca="false">IF($A48&lt;Annahmen!$C$54,0,IF($A48=Annahmen!$C$54,Annahmen!$C$55,C47*(1+Annahmen!$C$56*(1-C47/Annahmen!$C$57))))</f>
        <v>0</v>
      </c>
      <c r="D48" s="17" t="n">
        <f aca="false">C48*Annahmen!$C$58</f>
        <v>0</v>
      </c>
      <c r="E48" s="17" t="n">
        <f aca="false">E47*(1-Annahmen!$C$59)+D48</f>
        <v>0</v>
      </c>
      <c r="F48" s="17" t="n">
        <f aca="false">E48*(1-Annahmen!$C$60)</f>
        <v>0</v>
      </c>
      <c r="G48" s="17" t="n">
        <f aca="false">E48*Annahmen!$C$60</f>
        <v>0</v>
      </c>
      <c r="H48" s="23" t="n">
        <f aca="false">F48*Annahmen!$C$78+G48*Annahmen!$C$79</f>
        <v>0</v>
      </c>
      <c r="I48" s="17" t="n">
        <f aca="false">IF($A48&gt;=Annahmen!$C$54,Annahmen!$C$63*(1-Annahmen!$C$64),0)</f>
        <v>0</v>
      </c>
      <c r="J48" s="17" t="n">
        <f aca="false">IF($A48&gt;=Annahmen!$C$54,Annahmen!$C$63*Annahmen!$C$64,0)</f>
        <v>0</v>
      </c>
      <c r="K48" s="23" t="n">
        <f aca="false">I48*Annahmen!$B$71+J48*Annahmen!$B$72</f>
        <v>0</v>
      </c>
      <c r="L48" s="17" t="n">
        <f aca="false">IF($A48&gt;=Annahmen!$C$54,Annahmen!$C$65,0)</f>
        <v>0</v>
      </c>
      <c r="M48" s="23" t="n">
        <f aca="false">L48*Annahmen!$B$73</f>
        <v>0</v>
      </c>
      <c r="N48" s="23" t="n">
        <f aca="false">H48+K48+M48</f>
        <v>0</v>
      </c>
      <c r="O48" s="23" t="n">
        <f aca="false">N48/(1+Annahmen!$B$8)</f>
        <v>0</v>
      </c>
      <c r="P48" s="23" t="n">
        <f aca="false">O48*(Annahmen!$C$62*Annahmen!$B$74+(1-Annahmen!$C$62)*Annahmen!$B$75)+(E48*Annahmen!$C$61+E48*(1-Annahmen!$C$61)/12+I48+J48+L48)*(1-Annahmen!$C$62)*Annahmen!$B$76</f>
        <v>0</v>
      </c>
      <c r="Q48" s="17" t="n">
        <f aca="false">Annahmen!$C$66</f>
        <v>8</v>
      </c>
      <c r="R48" s="23" t="n">
        <f aca="false">Q48*Annahmen!$B$42</f>
        <v>230.967701791488</v>
      </c>
      <c r="S48" s="23" t="n">
        <f aca="false">I48*Annahmen!$B$43+(J48+L48)*Annahmen!$B$44</f>
        <v>0</v>
      </c>
      <c r="T48" s="23" t="n">
        <f aca="false">C48*Annahmen!$B$77</f>
        <v>0</v>
      </c>
      <c r="U48" s="23" t="n">
        <f aca="false">SUMPRODUCT((((Annahmen!$C$145:$C$155="monatlich")*(Annahmen!$D$145:$D$155&lt;=$A48))+((Annahmen!$C$145:$C$155="einmalig")*(Annahmen!$D$145:$D$155=$A48)))*Annahmen!$B$145:$B$155*Annahmen!$E$145:$E$155)</f>
        <v>92.3204681497364</v>
      </c>
      <c r="V48" s="23" t="n">
        <f aca="false">IF($A48&gt;=Annahmen!$C$54,Annahmen!$C$134,0)</f>
        <v>0</v>
      </c>
      <c r="W48" s="35" t="n">
        <f aca="false">MAX(0,(E48-Annahmen!$B$138)/Annahmen!$B$139)</f>
        <v>0</v>
      </c>
      <c r="X48" s="23" t="n">
        <f aca="false">W48*Annahmen!$B$137</f>
        <v>0</v>
      </c>
      <c r="Y48" s="23" t="n">
        <f aca="false">O48-P48-R48-S48-T48-U48-V48-X48</f>
        <v>-323.288169941225</v>
      </c>
      <c r="Z48" s="23" t="n">
        <f aca="false">Z47+Y48</f>
        <v>-786.640951693403</v>
      </c>
      <c r="AA48" s="7" t="n">
        <f aca="false">IF(Y48&gt;0,1,0)</f>
        <v>0</v>
      </c>
      <c r="AB48" s="7" t="n">
        <f aca="false">IF(Z48&gt;=0,1,0)</f>
        <v>0</v>
      </c>
    </row>
    <row r="49" customFormat="false" ht="15" hidden="false" customHeight="false" outlineLevel="0" collapsed="false">
      <c r="A49" s="7" t="n">
        <v>3</v>
      </c>
      <c r="B49" s="7" t="s">
        <v>352</v>
      </c>
      <c r="C49" s="15" t="n">
        <f aca="false">IF($A49&lt;Annahmen!$C$54,0,IF($A49=Annahmen!$C$54,Annahmen!$C$55,C48*(1+Annahmen!$C$56*(1-C48/Annahmen!$C$57))))</f>
        <v>500</v>
      </c>
      <c r="D49" s="17" t="n">
        <f aca="false">C49*Annahmen!$C$58</f>
        <v>5</v>
      </c>
      <c r="E49" s="17" t="n">
        <f aca="false">E48*(1-Annahmen!$C$59)+D49</f>
        <v>5</v>
      </c>
      <c r="F49" s="17" t="n">
        <f aca="false">E49*(1-Annahmen!$C$60)</f>
        <v>3</v>
      </c>
      <c r="G49" s="17" t="n">
        <f aca="false">E49*Annahmen!$C$60</f>
        <v>2</v>
      </c>
      <c r="H49" s="23" t="n">
        <f aca="false">F49*Annahmen!$C$78+G49*Annahmen!$C$79</f>
        <v>31.7016666666667</v>
      </c>
      <c r="I49" s="17" t="n">
        <f aca="false">IF($A49&gt;=Annahmen!$C$54,Annahmen!$C$63*(1-Annahmen!$C$64),0)</f>
        <v>1.2</v>
      </c>
      <c r="J49" s="17" t="n">
        <f aca="false">IF($A49&gt;=Annahmen!$C$54,Annahmen!$C$63*Annahmen!$C$64,0)</f>
        <v>0.8</v>
      </c>
      <c r="K49" s="23" t="n">
        <f aca="false">I49*Annahmen!$B$71+J49*Annahmen!$B$72</f>
        <v>131.98</v>
      </c>
      <c r="L49" s="17" t="n">
        <f aca="false">IF($A49&gt;=Annahmen!$C$54,Annahmen!$C$65,0)</f>
        <v>0.5</v>
      </c>
      <c r="M49" s="23" t="n">
        <f aca="false">L49*Annahmen!$B$73</f>
        <v>74.5</v>
      </c>
      <c r="N49" s="23" t="n">
        <f aca="false">H49+K49+M49</f>
        <v>238.181666666667</v>
      </c>
      <c r="O49" s="23" t="n">
        <f aca="false">N49/(1+Annahmen!$B$8)</f>
        <v>200.152661064426</v>
      </c>
      <c r="P49" s="23" t="n">
        <f aca="false">O49*(Annahmen!$C$62*Annahmen!$B$74+(1-Annahmen!$C$62)*Annahmen!$B$75)+(E49*Annahmen!$C$61+E49*(1-Annahmen!$C$61)/12+I49+J49+L49)*(1-Annahmen!$C$62)*Annahmen!$B$76</f>
        <v>17.2209278711485</v>
      </c>
      <c r="Q49" s="17" t="n">
        <f aca="false">Annahmen!$C$66</f>
        <v>8</v>
      </c>
      <c r="R49" s="23" t="n">
        <f aca="false">Q49*Annahmen!$B$42</f>
        <v>230.967701791488</v>
      </c>
      <c r="S49" s="23" t="n">
        <f aca="false">I49*Annahmen!$B$43+(J49+L49)*Annahmen!$B$44</f>
        <v>79.1744983854023</v>
      </c>
      <c r="T49" s="23" t="n">
        <f aca="false">C49*Annahmen!$B$77</f>
        <v>5</v>
      </c>
      <c r="U49" s="23" t="n">
        <f aca="false">SUMPRODUCT((((Annahmen!$C$145:$C$155="monatlich")*(Annahmen!$D$145:$D$155&lt;=$A49))+((Annahmen!$C$145:$C$155="einmalig")*(Annahmen!$D$145:$D$155=$A49)))*Annahmen!$B$145:$B$155*Annahmen!$E$145:$E$155)</f>
        <v>69.9850799606897</v>
      </c>
      <c r="V49" s="23" t="n">
        <f aca="false">IF($A49&gt;=Annahmen!$C$54,Annahmen!$C$134,0)</f>
        <v>500</v>
      </c>
      <c r="W49" s="35" t="n">
        <f aca="false">MAX(0,(E49-Annahmen!$B$138)/Annahmen!$B$139)</f>
        <v>0</v>
      </c>
      <c r="X49" s="23" t="n">
        <f aca="false">W49*Annahmen!$B$137</f>
        <v>0</v>
      </c>
      <c r="Y49" s="23" t="n">
        <f aca="false">O49-P49-R49-S49-T49-U49-V49-X49</f>
        <v>-702.195546944303</v>
      </c>
      <c r="Z49" s="23" t="n">
        <f aca="false">Z48+Y49</f>
        <v>-1488.83649863771</v>
      </c>
      <c r="AA49" s="7" t="n">
        <f aca="false">IF(Y49&gt;0,1,0)</f>
        <v>0</v>
      </c>
      <c r="AB49" s="7" t="n">
        <f aca="false">IF(Z49&gt;=0,1,0)</f>
        <v>0</v>
      </c>
    </row>
    <row r="50" customFormat="false" ht="15" hidden="false" customHeight="false" outlineLevel="0" collapsed="false">
      <c r="A50" s="7" t="n">
        <v>4</v>
      </c>
      <c r="B50" s="7" t="s">
        <v>353</v>
      </c>
      <c r="C50" s="15" t="n">
        <f aca="false">IF($A50&lt;Annahmen!$C$54,0,IF($A50=Annahmen!$C$54,Annahmen!$C$55,C49*(1+Annahmen!$C$56*(1-C49/Annahmen!$C$57))))</f>
        <v>574.8125</v>
      </c>
      <c r="D50" s="17" t="n">
        <f aca="false">C50*Annahmen!$C$58</f>
        <v>5.748125</v>
      </c>
      <c r="E50" s="17" t="n">
        <f aca="false">E49*(1-Annahmen!$C$59)+D50</f>
        <v>10.448125</v>
      </c>
      <c r="F50" s="17" t="n">
        <f aca="false">E50*(1-Annahmen!$C$60)</f>
        <v>6.268875</v>
      </c>
      <c r="G50" s="17" t="n">
        <f aca="false">E50*Annahmen!$C$60</f>
        <v>4.17925</v>
      </c>
      <c r="H50" s="23" t="n">
        <f aca="false">F50*Annahmen!$C$78+G50*Annahmen!$C$79</f>
        <v>66.2445952083333</v>
      </c>
      <c r="I50" s="17" t="n">
        <f aca="false">IF($A50&gt;=Annahmen!$C$54,Annahmen!$C$63*(1-Annahmen!$C$64),0)</f>
        <v>1.2</v>
      </c>
      <c r="J50" s="17" t="n">
        <f aca="false">IF($A50&gt;=Annahmen!$C$54,Annahmen!$C$63*Annahmen!$C$64,0)</f>
        <v>0.8</v>
      </c>
      <c r="K50" s="23" t="n">
        <f aca="false">I50*Annahmen!$B$71+J50*Annahmen!$B$72</f>
        <v>131.98</v>
      </c>
      <c r="L50" s="17" t="n">
        <f aca="false">IF($A50&gt;=Annahmen!$C$54,Annahmen!$C$65,0)</f>
        <v>0.5</v>
      </c>
      <c r="M50" s="23" t="n">
        <f aca="false">L50*Annahmen!$B$73</f>
        <v>74.5</v>
      </c>
      <c r="N50" s="23" t="n">
        <f aca="false">H50+K50+M50</f>
        <v>272.724595208333</v>
      </c>
      <c r="O50" s="23" t="n">
        <f aca="false">N50/(1+Annahmen!$B$8)</f>
        <v>229.180332107843</v>
      </c>
      <c r="P50" s="23" t="n">
        <f aca="false">O50*(Annahmen!$C$62*Annahmen!$B$74+(1-Annahmen!$C$62)*Annahmen!$B$75)+(E50*Annahmen!$C$61+E50*(1-Annahmen!$C$61)/12+I50+J50+L50)*(1-Annahmen!$C$62)*Annahmen!$B$76</f>
        <v>20.0470206280637</v>
      </c>
      <c r="Q50" s="17" t="n">
        <f aca="false">Annahmen!$C$66</f>
        <v>8</v>
      </c>
      <c r="R50" s="23" t="n">
        <f aca="false">Q50*Annahmen!$B$42</f>
        <v>230.967701791488</v>
      </c>
      <c r="S50" s="23" t="n">
        <f aca="false">I50*Annahmen!$B$43+(J50+L50)*Annahmen!$B$44</f>
        <v>79.1744983854023</v>
      </c>
      <c r="T50" s="23" t="n">
        <f aca="false">C50*Annahmen!$B$77</f>
        <v>5.748125</v>
      </c>
      <c r="U50" s="23" t="n">
        <f aca="false">SUMPRODUCT((((Annahmen!$C$145:$C$155="monatlich")*(Annahmen!$D$145:$D$155&lt;=$A50))+((Annahmen!$C$145:$C$155="einmalig")*(Annahmen!$D$145:$D$155=$A50)))*Annahmen!$B$145:$B$155*Annahmen!$E$145:$E$155)</f>
        <v>69.9850799606897</v>
      </c>
      <c r="V50" s="23" t="n">
        <f aca="false">IF($A50&gt;=Annahmen!$C$54,Annahmen!$C$134,0)</f>
        <v>500</v>
      </c>
      <c r="W50" s="35" t="n">
        <f aca="false">MAX(0,(E50-Annahmen!$B$138)/Annahmen!$B$139)</f>
        <v>0</v>
      </c>
      <c r="X50" s="23" t="n">
        <f aca="false">W50*Annahmen!$B$137</f>
        <v>0</v>
      </c>
      <c r="Y50" s="23" t="n">
        <f aca="false">O50-P50-R50-S50-T50-U50-V50-X50</f>
        <v>-676.742093657801</v>
      </c>
      <c r="Z50" s="23" t="n">
        <f aca="false">Z49+Y50</f>
        <v>-2165.57859229551</v>
      </c>
      <c r="AA50" s="7" t="n">
        <f aca="false">IF(Y50&gt;0,1,0)</f>
        <v>0</v>
      </c>
      <c r="AB50" s="7" t="n">
        <f aca="false">IF(Z50&gt;=0,1,0)</f>
        <v>0</v>
      </c>
    </row>
    <row r="51" customFormat="false" ht="15" hidden="false" customHeight="false" outlineLevel="0" collapsed="false">
      <c r="A51" s="7" t="n">
        <v>5</v>
      </c>
      <c r="B51" s="7" t="s">
        <v>354</v>
      </c>
      <c r="C51" s="15" t="n">
        <f aca="false">IF($A51&lt;Annahmen!$C$54,0,IF($A51=Annahmen!$C$54,Annahmen!$C$55,C50*(1+Annahmen!$C$56*(1-C50/Annahmen!$C$57))))</f>
        <v>660.786567942383</v>
      </c>
      <c r="D51" s="17" t="n">
        <f aca="false">C51*Annahmen!$C$58</f>
        <v>6.60786567942383</v>
      </c>
      <c r="E51" s="17" t="n">
        <f aca="false">E50*(1-Annahmen!$C$59)+D51</f>
        <v>16.4291031794238</v>
      </c>
      <c r="F51" s="17" t="n">
        <f aca="false">E51*(1-Annahmen!$C$60)</f>
        <v>9.8574619076543</v>
      </c>
      <c r="G51" s="17" t="n">
        <f aca="false">E51*Annahmen!$C$60</f>
        <v>6.57164127176953</v>
      </c>
      <c r="H51" s="23" t="n">
        <f aca="false">F51*Annahmen!$C$78+G51*Annahmen!$C$79</f>
        <v>104.165990525274</v>
      </c>
      <c r="I51" s="17" t="n">
        <f aca="false">IF($A51&gt;=Annahmen!$C$54,Annahmen!$C$63*(1-Annahmen!$C$64),0)</f>
        <v>1.2</v>
      </c>
      <c r="J51" s="17" t="n">
        <f aca="false">IF($A51&gt;=Annahmen!$C$54,Annahmen!$C$63*Annahmen!$C$64,0)</f>
        <v>0.8</v>
      </c>
      <c r="K51" s="23" t="n">
        <f aca="false">I51*Annahmen!$B$71+J51*Annahmen!$B$72</f>
        <v>131.98</v>
      </c>
      <c r="L51" s="17" t="n">
        <f aca="false">IF($A51&gt;=Annahmen!$C$54,Annahmen!$C$65,0)</f>
        <v>0.5</v>
      </c>
      <c r="M51" s="23" t="n">
        <f aca="false">L51*Annahmen!$B$73</f>
        <v>74.5</v>
      </c>
      <c r="N51" s="23" t="n">
        <f aca="false">H51+K51+M51</f>
        <v>310.645990525274</v>
      </c>
      <c r="O51" s="23" t="n">
        <f aca="false">N51/(1+Annahmen!$B$8)</f>
        <v>261.047050861574</v>
      </c>
      <c r="P51" s="23" t="n">
        <f aca="false">O51*(Annahmen!$C$62*Annahmen!$B$74+(1-Annahmen!$C$62)*Annahmen!$B$75)+(E51*Annahmen!$C$61+E51*(1-Annahmen!$C$61)/12+I51+J51+L51)*(1-Annahmen!$C$62)*Annahmen!$B$76</f>
        <v>23.1495190311176</v>
      </c>
      <c r="Q51" s="17" t="n">
        <f aca="false">Annahmen!$C$66</f>
        <v>8</v>
      </c>
      <c r="R51" s="23" t="n">
        <f aca="false">Q51*Annahmen!$B$42</f>
        <v>230.967701791488</v>
      </c>
      <c r="S51" s="23" t="n">
        <f aca="false">I51*Annahmen!$B$43+(J51+L51)*Annahmen!$B$44</f>
        <v>79.1744983854023</v>
      </c>
      <c r="T51" s="23" t="n">
        <f aca="false">C51*Annahmen!$B$77</f>
        <v>6.60786567942383</v>
      </c>
      <c r="U51" s="23" t="n">
        <f aca="false">SUMPRODUCT((((Annahmen!$C$145:$C$155="monatlich")*(Annahmen!$D$145:$D$155&lt;=$A51))+((Annahmen!$C$145:$C$155="einmalig")*(Annahmen!$D$145:$D$155=$A51)))*Annahmen!$B$145:$B$155*Annahmen!$E$145:$E$155)</f>
        <v>309.98507996069</v>
      </c>
      <c r="V51" s="23" t="n">
        <f aca="false">IF($A51&gt;=Annahmen!$C$54,Annahmen!$C$134,0)</f>
        <v>500</v>
      </c>
      <c r="W51" s="35" t="n">
        <f aca="false">MAX(0,(E51-Annahmen!$B$138)/Annahmen!$B$139)</f>
        <v>0</v>
      </c>
      <c r="X51" s="23" t="n">
        <f aca="false">W51*Annahmen!$B$137</f>
        <v>0</v>
      </c>
      <c r="Y51" s="23" t="n">
        <f aca="false">O51-P51-R51-S51-T51-U51-V51-X51</f>
        <v>-888.837613986547</v>
      </c>
      <c r="Z51" s="23" t="n">
        <f aca="false">Z50+Y51</f>
        <v>-3054.41620628205</v>
      </c>
      <c r="AA51" s="7" t="n">
        <f aca="false">IF(Y51&gt;0,1,0)</f>
        <v>0</v>
      </c>
      <c r="AB51" s="7" t="n">
        <f aca="false">IF(Z51&gt;=0,1,0)</f>
        <v>0</v>
      </c>
    </row>
    <row r="52" customFormat="false" ht="15" hidden="false" customHeight="false" outlineLevel="0" collapsed="false">
      <c r="A52" s="7" t="n">
        <v>6</v>
      </c>
      <c r="B52" s="7" t="s">
        <v>355</v>
      </c>
      <c r="C52" s="15" t="n">
        <f aca="false">IF($A52&lt;Annahmen!$C$54,0,IF($A52=Annahmen!$C$54,Annahmen!$C$55,C51*(1+Annahmen!$C$56*(1-C51/Annahmen!$C$57))))</f>
        <v>759.57707396746</v>
      </c>
      <c r="D52" s="17" t="n">
        <f aca="false">C52*Annahmen!$C$58</f>
        <v>7.5957707396746</v>
      </c>
      <c r="E52" s="17" t="n">
        <f aca="false">E51*(1-Annahmen!$C$59)+D52</f>
        <v>23.039127728333</v>
      </c>
      <c r="F52" s="17" t="n">
        <f aca="false">E52*(1-Annahmen!$C$60)</f>
        <v>13.8234766369998</v>
      </c>
      <c r="G52" s="17" t="n">
        <f aca="false">E52*Annahmen!$C$60</f>
        <v>9.2156510913332</v>
      </c>
      <c r="H52" s="23" t="n">
        <f aca="false">F52*Annahmen!$C$78+G52*Annahmen!$C$79</f>
        <v>146.075749506874</v>
      </c>
      <c r="I52" s="17" t="n">
        <f aca="false">IF($A52&gt;=Annahmen!$C$54,Annahmen!$C$63*(1-Annahmen!$C$64),0)</f>
        <v>1.2</v>
      </c>
      <c r="J52" s="17" t="n">
        <f aca="false">IF($A52&gt;=Annahmen!$C$54,Annahmen!$C$63*Annahmen!$C$64,0)</f>
        <v>0.8</v>
      </c>
      <c r="K52" s="23" t="n">
        <f aca="false">I52*Annahmen!$B$71+J52*Annahmen!$B$72</f>
        <v>131.98</v>
      </c>
      <c r="L52" s="17" t="n">
        <f aca="false">IF($A52&gt;=Annahmen!$C$54,Annahmen!$C$65,0)</f>
        <v>0.5</v>
      </c>
      <c r="M52" s="23" t="n">
        <f aca="false">L52*Annahmen!$B$73</f>
        <v>74.5</v>
      </c>
      <c r="N52" s="23" t="n">
        <f aca="false">H52+K52+M52</f>
        <v>352.555749506874</v>
      </c>
      <c r="O52" s="23" t="n">
        <f aca="false">N52/(1+Annahmen!$B$8)</f>
        <v>296.265335720062</v>
      </c>
      <c r="P52" s="23" t="n">
        <f aca="false">O52*(Annahmen!$C$62*Annahmen!$B$74+(1-Annahmen!$C$62)*Annahmen!$B$75)+(E52*Annahmen!$C$61+E52*(1-Annahmen!$C$61)/12+I52+J52+L52)*(1-Annahmen!$C$62)*Annahmen!$B$76</f>
        <v>26.5783211420648</v>
      </c>
      <c r="Q52" s="17" t="n">
        <f aca="false">Annahmen!$C$66</f>
        <v>8</v>
      </c>
      <c r="R52" s="23" t="n">
        <f aca="false">Q52*Annahmen!$B$42</f>
        <v>230.967701791488</v>
      </c>
      <c r="S52" s="23" t="n">
        <f aca="false">I52*Annahmen!$B$43+(J52+L52)*Annahmen!$B$44</f>
        <v>79.1744983854023</v>
      </c>
      <c r="T52" s="23" t="n">
        <f aca="false">C52*Annahmen!$B$77</f>
        <v>7.5957707396746</v>
      </c>
      <c r="U52" s="23" t="n">
        <f aca="false">SUMPRODUCT((((Annahmen!$C$145:$C$155="monatlich")*(Annahmen!$D$145:$D$155&lt;=$A52))+((Annahmen!$C$145:$C$155="einmalig")*(Annahmen!$D$145:$D$155=$A52)))*Annahmen!$B$145:$B$155*Annahmen!$E$145:$E$155)</f>
        <v>69.9850799606897</v>
      </c>
      <c r="V52" s="23" t="n">
        <f aca="false">IF($A52&gt;=Annahmen!$C$54,Annahmen!$C$134,0)</f>
        <v>500</v>
      </c>
      <c r="W52" s="35" t="n">
        <f aca="false">MAX(0,(E52-Annahmen!$B$138)/Annahmen!$B$139)</f>
        <v>0</v>
      </c>
      <c r="X52" s="23" t="n">
        <f aca="false">W52*Annahmen!$B$137</f>
        <v>0</v>
      </c>
      <c r="Y52" s="23" t="n">
        <f aca="false">O52-P52-R52-S52-T52-U52-V52-X52</f>
        <v>-618.036036299257</v>
      </c>
      <c r="Z52" s="23" t="n">
        <f aca="false">Z51+Y52</f>
        <v>-3672.45224258131</v>
      </c>
      <c r="AA52" s="7" t="n">
        <f aca="false">IF(Y52&gt;0,1,0)</f>
        <v>0</v>
      </c>
      <c r="AB52" s="7" t="n">
        <f aca="false">IF(Z52&gt;=0,1,0)</f>
        <v>0</v>
      </c>
    </row>
    <row r="53" customFormat="false" ht="15" hidden="false" customHeight="false" outlineLevel="0" collapsed="false">
      <c r="A53" s="7" t="n">
        <v>7</v>
      </c>
      <c r="B53" s="7" t="s">
        <v>356</v>
      </c>
      <c r="C53" s="15" t="n">
        <f aca="false">IF($A53&lt;Annahmen!$C$54,0,IF($A53=Annahmen!$C$54,Annahmen!$C$55,C52*(1+Annahmen!$C$56*(1-C52/Annahmen!$C$57))))</f>
        <v>873.080917064107</v>
      </c>
      <c r="D53" s="17" t="n">
        <f aca="false">C53*Annahmen!$C$58</f>
        <v>8.73080917064107</v>
      </c>
      <c r="E53" s="17" t="n">
        <f aca="false">E52*(1-Annahmen!$C$59)+D53</f>
        <v>30.3875892352741</v>
      </c>
      <c r="F53" s="17" t="n">
        <f aca="false">E53*(1-Annahmen!$C$60)</f>
        <v>18.2325535411645</v>
      </c>
      <c r="G53" s="17" t="n">
        <f aca="false">E53*Annahmen!$C$60</f>
        <v>12.1550356941096</v>
      </c>
      <c r="H53" s="23" t="n">
        <f aca="false">F53*Annahmen!$C$78+G53*Annahmen!$C$79</f>
        <v>192.667444948049</v>
      </c>
      <c r="I53" s="17" t="n">
        <f aca="false">IF($A53&gt;=Annahmen!$C$54,Annahmen!$C$63*(1-Annahmen!$C$64),0)</f>
        <v>1.2</v>
      </c>
      <c r="J53" s="17" t="n">
        <f aca="false">IF($A53&gt;=Annahmen!$C$54,Annahmen!$C$63*Annahmen!$C$64,0)</f>
        <v>0.8</v>
      </c>
      <c r="K53" s="23" t="n">
        <f aca="false">I53*Annahmen!$B$71+J53*Annahmen!$B$72</f>
        <v>131.98</v>
      </c>
      <c r="L53" s="17" t="n">
        <f aca="false">IF($A53&gt;=Annahmen!$C$54,Annahmen!$C$65,0)</f>
        <v>0.5</v>
      </c>
      <c r="M53" s="23" t="n">
        <f aca="false">L53*Annahmen!$B$73</f>
        <v>74.5</v>
      </c>
      <c r="N53" s="23" t="n">
        <f aca="false">H53+K53+M53</f>
        <v>399.14744494805</v>
      </c>
      <c r="O53" s="23" t="n">
        <f aca="false">N53/(1+Annahmen!$B$8)</f>
        <v>335.418020964748</v>
      </c>
      <c r="P53" s="23" t="n">
        <f aca="false">O53*(Annahmen!$C$62*Annahmen!$B$74+(1-Annahmen!$C$62)*Annahmen!$B$75)+(E53*Annahmen!$C$61+E53*(1-Annahmen!$C$61)/12+I53+J53+L53)*(1-Annahmen!$C$62)*Annahmen!$B$76</f>
        <v>30.3901708773842</v>
      </c>
      <c r="Q53" s="17" t="n">
        <f aca="false">Annahmen!$C$66</f>
        <v>8</v>
      </c>
      <c r="R53" s="23" t="n">
        <f aca="false">Q53*Annahmen!$B$42</f>
        <v>230.967701791488</v>
      </c>
      <c r="S53" s="23" t="n">
        <f aca="false">I53*Annahmen!$B$43+(J53+L53)*Annahmen!$B$44</f>
        <v>79.1744983854023</v>
      </c>
      <c r="T53" s="23" t="n">
        <f aca="false">C53*Annahmen!$B$77</f>
        <v>8.73080917064107</v>
      </c>
      <c r="U53" s="23" t="n">
        <f aca="false">SUMPRODUCT((((Annahmen!$C$145:$C$155="monatlich")*(Annahmen!$D$145:$D$155&lt;=$A53))+((Annahmen!$C$145:$C$155="einmalig")*(Annahmen!$D$145:$D$155=$A53)))*Annahmen!$B$145:$B$155*Annahmen!$E$145:$E$155)</f>
        <v>69.9850799606897</v>
      </c>
      <c r="V53" s="23" t="n">
        <f aca="false">IF($A53&gt;=Annahmen!$C$54,Annahmen!$C$134,0)</f>
        <v>500</v>
      </c>
      <c r="W53" s="35" t="n">
        <f aca="false">MAX(0,(E53-Annahmen!$B$138)/Annahmen!$B$139)</f>
        <v>0</v>
      </c>
      <c r="X53" s="23" t="n">
        <f aca="false">W53*Annahmen!$B$137</f>
        <v>0</v>
      </c>
      <c r="Y53" s="23" t="n">
        <f aca="false">O53-P53-R53-S53-T53-U53-V53-X53</f>
        <v>-583.830239220858</v>
      </c>
      <c r="Z53" s="23" t="n">
        <f aca="false">Z52+Y53</f>
        <v>-4256.28248180217</v>
      </c>
      <c r="AA53" s="7" t="n">
        <f aca="false">IF(Y53&gt;0,1,0)</f>
        <v>0</v>
      </c>
      <c r="AB53" s="7" t="n">
        <f aca="false">IF(Z53&gt;=0,1,0)</f>
        <v>0</v>
      </c>
    </row>
    <row r="54" customFormat="false" ht="15" hidden="false" customHeight="false" outlineLevel="0" collapsed="false">
      <c r="A54" s="7" t="n">
        <v>8</v>
      </c>
      <c r="B54" s="7" t="s">
        <v>357</v>
      </c>
      <c r="C54" s="15" t="n">
        <f aca="false">IF($A54&lt;Annahmen!$C$54,0,IF($A54=Annahmen!$C$54,Annahmen!$C$55,C53*(1+Annahmen!$C$56*(1-C53/Annahmen!$C$57))))</f>
        <v>1003.47135190792</v>
      </c>
      <c r="D54" s="17" t="n">
        <f aca="false">C54*Annahmen!$C$58</f>
        <v>10.0347135190792</v>
      </c>
      <c r="E54" s="17" t="n">
        <f aca="false">E53*(1-Annahmen!$C$59)+D54</f>
        <v>38.5990474002368</v>
      </c>
      <c r="F54" s="17" t="n">
        <f aca="false">E54*(1-Annahmen!$C$60)</f>
        <v>23.1594284401421</v>
      </c>
      <c r="G54" s="17" t="n">
        <f aca="false">E54*Annahmen!$C$60</f>
        <v>15.4396189600947</v>
      </c>
      <c r="H54" s="23" t="n">
        <f aca="false">F54*Annahmen!$C$78+G54*Annahmen!$C$79</f>
        <v>244.730826866635</v>
      </c>
      <c r="I54" s="17" t="n">
        <f aca="false">IF($A54&gt;=Annahmen!$C$54,Annahmen!$C$63*(1-Annahmen!$C$64),0)</f>
        <v>1.2</v>
      </c>
      <c r="J54" s="17" t="n">
        <f aca="false">IF($A54&gt;=Annahmen!$C$54,Annahmen!$C$63*Annahmen!$C$64,0)</f>
        <v>0.8</v>
      </c>
      <c r="K54" s="23" t="n">
        <f aca="false">I54*Annahmen!$B$71+J54*Annahmen!$B$72</f>
        <v>131.98</v>
      </c>
      <c r="L54" s="17" t="n">
        <f aca="false">IF($A54&gt;=Annahmen!$C$54,Annahmen!$C$65,0)</f>
        <v>0.5</v>
      </c>
      <c r="M54" s="23" t="n">
        <f aca="false">L54*Annahmen!$B$73</f>
        <v>74.5</v>
      </c>
      <c r="N54" s="23" t="n">
        <f aca="false">H54+K54+M54</f>
        <v>451.210826866635</v>
      </c>
      <c r="O54" s="23" t="n">
        <f aca="false">N54/(1+Annahmen!$B$8)</f>
        <v>379.168762072802</v>
      </c>
      <c r="P54" s="23" t="n">
        <f aca="false">O54*(Annahmen!$C$62*Annahmen!$B$74+(1-Annahmen!$C$62)*Annahmen!$B$75)+(E54*Annahmen!$C$61+E54*(1-Annahmen!$C$61)/12+I54+J54+L54)*(1-Annahmen!$C$62)*Annahmen!$B$76</f>
        <v>34.6496807901916</v>
      </c>
      <c r="Q54" s="17" t="n">
        <f aca="false">Annahmen!$C$66</f>
        <v>8</v>
      </c>
      <c r="R54" s="23" t="n">
        <f aca="false">Q54*Annahmen!$B$42</f>
        <v>230.967701791488</v>
      </c>
      <c r="S54" s="23" t="n">
        <f aca="false">I54*Annahmen!$B$43+(J54+L54)*Annahmen!$B$44</f>
        <v>79.1744983854023</v>
      </c>
      <c r="T54" s="23" t="n">
        <f aca="false">C54*Annahmen!$B$77</f>
        <v>10.0347135190792</v>
      </c>
      <c r="U54" s="23" t="n">
        <f aca="false">SUMPRODUCT((((Annahmen!$C$145:$C$155="monatlich")*(Annahmen!$D$145:$D$155&lt;=$A54))+((Annahmen!$C$145:$C$155="einmalig")*(Annahmen!$D$145:$D$155=$A54)))*Annahmen!$B$145:$B$155*Annahmen!$E$145:$E$155)</f>
        <v>69.9850799606897</v>
      </c>
      <c r="V54" s="23" t="n">
        <f aca="false">IF($A54&gt;=Annahmen!$C$54,Annahmen!$C$134,0)</f>
        <v>500</v>
      </c>
      <c r="W54" s="35" t="n">
        <f aca="false">MAX(0,(E54-Annahmen!$B$138)/Annahmen!$B$139)</f>
        <v>0</v>
      </c>
      <c r="X54" s="23" t="n">
        <f aca="false">W54*Annahmen!$B$137</f>
        <v>0</v>
      </c>
      <c r="Y54" s="23" t="n">
        <f aca="false">O54-P54-R54-S54-T54-U54-V54-X54</f>
        <v>-545.642912374049</v>
      </c>
      <c r="Z54" s="23" t="n">
        <f aca="false">Z53+Y54</f>
        <v>-4801.92539417622</v>
      </c>
      <c r="AA54" s="7" t="n">
        <f aca="false">IF(Y54&gt;0,1,0)</f>
        <v>0</v>
      </c>
      <c r="AB54" s="7" t="n">
        <f aca="false">IF(Z54&gt;=0,1,0)</f>
        <v>0</v>
      </c>
    </row>
    <row r="55" customFormat="false" ht="15" hidden="false" customHeight="false" outlineLevel="0" collapsed="false">
      <c r="A55" s="7" t="n">
        <v>9</v>
      </c>
      <c r="B55" s="7" t="s">
        <v>358</v>
      </c>
      <c r="C55" s="15" t="n">
        <f aca="false">IF($A55&lt;Annahmen!$C$54,0,IF($A55=Annahmen!$C$54,Annahmen!$C$55,C54*(1+Annahmen!$C$56*(1-C54/Annahmen!$C$57))))</f>
        <v>1153.23683862853</v>
      </c>
      <c r="D55" s="17" t="n">
        <f aca="false">C55*Annahmen!$C$58</f>
        <v>11.5323683862853</v>
      </c>
      <c r="E55" s="17" t="n">
        <f aca="false">E54*(1-Annahmen!$C$59)+D55</f>
        <v>47.8154729425079</v>
      </c>
      <c r="F55" s="17" t="n">
        <f aca="false">E55*(1-Annahmen!$C$60)</f>
        <v>28.6892837655047</v>
      </c>
      <c r="G55" s="17" t="n">
        <f aca="false">E55*Annahmen!$C$60</f>
        <v>19.1261891770032</v>
      </c>
      <c r="H55" s="23" t="n">
        <f aca="false">F55*Annahmen!$C$78+G55*Annahmen!$C$79</f>
        <v>303.166036946481</v>
      </c>
      <c r="I55" s="17" t="n">
        <f aca="false">IF($A55&gt;=Annahmen!$C$54,Annahmen!$C$63*(1-Annahmen!$C$64),0)</f>
        <v>1.2</v>
      </c>
      <c r="J55" s="17" t="n">
        <f aca="false">IF($A55&gt;=Annahmen!$C$54,Annahmen!$C$63*Annahmen!$C$64,0)</f>
        <v>0.8</v>
      </c>
      <c r="K55" s="23" t="n">
        <f aca="false">I55*Annahmen!$B$71+J55*Annahmen!$B$72</f>
        <v>131.98</v>
      </c>
      <c r="L55" s="17" t="n">
        <f aca="false">IF($A55&gt;=Annahmen!$C$54,Annahmen!$C$65,0)</f>
        <v>0.5</v>
      </c>
      <c r="M55" s="23" t="n">
        <f aca="false">L55*Annahmen!$B$73</f>
        <v>74.5</v>
      </c>
      <c r="N55" s="23" t="n">
        <f aca="false">H55+K55+M55</f>
        <v>509.646036946481</v>
      </c>
      <c r="O55" s="23" t="n">
        <f aca="false">N55/(1+Annahmen!$B$8)</f>
        <v>428.273980627295</v>
      </c>
      <c r="P55" s="23" t="n">
        <f aca="false">O55*(Annahmen!$C$62*Annahmen!$B$74+(1-Annahmen!$C$62)*Annahmen!$B$75)+(E55*Annahmen!$C$61+E55*(1-Annahmen!$C$61)/12+I55+J55+L55)*(1-Annahmen!$C$62)*Annahmen!$B$76</f>
        <v>39.4304950097004</v>
      </c>
      <c r="Q55" s="17" t="n">
        <f aca="false">Annahmen!$C$66</f>
        <v>8</v>
      </c>
      <c r="R55" s="23" t="n">
        <f aca="false">Q55*Annahmen!$B$42</f>
        <v>230.967701791488</v>
      </c>
      <c r="S55" s="23" t="n">
        <f aca="false">I55*Annahmen!$B$43+(J55+L55)*Annahmen!$B$44</f>
        <v>79.1744983854023</v>
      </c>
      <c r="T55" s="23" t="n">
        <f aca="false">C55*Annahmen!$B$77</f>
        <v>11.5323683862853</v>
      </c>
      <c r="U55" s="23" t="n">
        <f aca="false">SUMPRODUCT((((Annahmen!$C$145:$C$155="monatlich")*(Annahmen!$D$145:$D$155&lt;=$A55))+((Annahmen!$C$145:$C$155="einmalig")*(Annahmen!$D$145:$D$155=$A55)))*Annahmen!$B$145:$B$155*Annahmen!$E$145:$E$155)</f>
        <v>69.9850799606897</v>
      </c>
      <c r="V55" s="23" t="n">
        <f aca="false">IF($A55&gt;=Annahmen!$C$54,Annahmen!$C$134,0)</f>
        <v>500</v>
      </c>
      <c r="W55" s="35" t="n">
        <f aca="false">MAX(0,(E55-Annahmen!$B$138)/Annahmen!$B$139)</f>
        <v>0</v>
      </c>
      <c r="X55" s="23" t="n">
        <f aca="false">W55*Annahmen!$B$137</f>
        <v>0</v>
      </c>
      <c r="Y55" s="23" t="n">
        <f aca="false">O55-P55-R55-S55-T55-U55-V55-X55</f>
        <v>-502.816162906271</v>
      </c>
      <c r="Z55" s="23" t="n">
        <f aca="false">Z54+Y55</f>
        <v>-5304.74155708249</v>
      </c>
      <c r="AA55" s="7" t="n">
        <f aca="false">IF(Y55&gt;0,1,0)</f>
        <v>0</v>
      </c>
      <c r="AB55" s="7" t="n">
        <f aca="false">IF(Z55&gt;=0,1,0)</f>
        <v>0</v>
      </c>
    </row>
    <row r="56" customFormat="false" ht="15" hidden="false" customHeight="false" outlineLevel="0" collapsed="false">
      <c r="A56" s="7" t="n">
        <v>10</v>
      </c>
      <c r="B56" s="7" t="s">
        <v>359</v>
      </c>
      <c r="C56" s="15" t="n">
        <f aca="false">IF($A56&lt;Annahmen!$C$54,0,IF($A56=Annahmen!$C$54,Annahmen!$C$55,C55*(1+Annahmen!$C$56*(1-C55/Annahmen!$C$57))))</f>
        <v>1325.22489801833</v>
      </c>
      <c r="D56" s="17" t="n">
        <f aca="false">C56*Annahmen!$C$58</f>
        <v>13.2522489801833</v>
      </c>
      <c r="E56" s="17" t="n">
        <f aca="false">E55*(1-Annahmen!$C$59)+D56</f>
        <v>58.1987935461407</v>
      </c>
      <c r="F56" s="17" t="n">
        <f aca="false">E56*(1-Annahmen!$C$60)</f>
        <v>34.9192761276844</v>
      </c>
      <c r="G56" s="17" t="n">
        <f aca="false">E56*Annahmen!$C$60</f>
        <v>23.2795174184563</v>
      </c>
      <c r="H56" s="23" t="n">
        <f aca="false">F56*Annahmen!$C$78+G56*Annahmen!$C$79</f>
        <v>368.999750680381</v>
      </c>
      <c r="I56" s="17" t="n">
        <f aca="false">IF($A56&gt;=Annahmen!$C$54,Annahmen!$C$63*(1-Annahmen!$C$64),0)</f>
        <v>1.2</v>
      </c>
      <c r="J56" s="17" t="n">
        <f aca="false">IF($A56&gt;=Annahmen!$C$54,Annahmen!$C$63*Annahmen!$C$64,0)</f>
        <v>0.8</v>
      </c>
      <c r="K56" s="23" t="n">
        <f aca="false">I56*Annahmen!$B$71+J56*Annahmen!$B$72</f>
        <v>131.98</v>
      </c>
      <c r="L56" s="17" t="n">
        <f aca="false">IF($A56&gt;=Annahmen!$C$54,Annahmen!$C$65,0)</f>
        <v>0.5</v>
      </c>
      <c r="M56" s="23" t="n">
        <f aca="false">L56*Annahmen!$B$73</f>
        <v>74.5</v>
      </c>
      <c r="N56" s="23" t="n">
        <f aca="false">H56+K56+M56</f>
        <v>575.479750680381</v>
      </c>
      <c r="O56" s="23" t="n">
        <f aca="false">N56/(1+Annahmen!$B$8)</f>
        <v>483.596429143177</v>
      </c>
      <c r="P56" s="23" t="n">
        <f aca="false">O56*(Annahmen!$C$62*Annahmen!$B$74+(1-Annahmen!$C$62)*Annahmen!$B$75)+(E56*Annahmen!$C$61+E56*(1-Annahmen!$C$61)/12+I56+J56+L56)*(1-Annahmen!$C$62)*Annahmen!$B$76</f>
        <v>44.8166098933816</v>
      </c>
      <c r="Q56" s="17" t="n">
        <f aca="false">Annahmen!$C$66</f>
        <v>8</v>
      </c>
      <c r="R56" s="23" t="n">
        <f aca="false">Q56*Annahmen!$B$42</f>
        <v>230.967701791488</v>
      </c>
      <c r="S56" s="23" t="n">
        <f aca="false">I56*Annahmen!$B$43+(J56+L56)*Annahmen!$B$44</f>
        <v>79.1744983854023</v>
      </c>
      <c r="T56" s="23" t="n">
        <f aca="false">C56*Annahmen!$B$77</f>
        <v>13.2522489801833</v>
      </c>
      <c r="U56" s="23" t="n">
        <f aca="false">SUMPRODUCT((((Annahmen!$C$145:$C$155="monatlich")*(Annahmen!$D$145:$D$155&lt;=$A56))+((Annahmen!$C$145:$C$155="einmalig")*(Annahmen!$D$145:$D$155=$A56)))*Annahmen!$B$145:$B$155*Annahmen!$E$145:$E$155)</f>
        <v>69.9850799606897</v>
      </c>
      <c r="V56" s="23" t="n">
        <f aca="false">IF($A56&gt;=Annahmen!$C$54,Annahmen!$C$134,0)</f>
        <v>500</v>
      </c>
      <c r="W56" s="35" t="n">
        <f aca="false">MAX(0,(E56-Annahmen!$B$138)/Annahmen!$B$139)</f>
        <v>0</v>
      </c>
      <c r="X56" s="23" t="n">
        <f aca="false">W56*Annahmen!$B$137</f>
        <v>0</v>
      </c>
      <c r="Y56" s="23" t="n">
        <f aca="false">O56-P56-R56-S56-T56-U56-V56-X56</f>
        <v>-454.599709867968</v>
      </c>
      <c r="Z56" s="23" t="n">
        <f aca="false">Z55+Y56</f>
        <v>-5759.34126695046</v>
      </c>
      <c r="AA56" s="7" t="n">
        <f aca="false">IF(Y56&gt;0,1,0)</f>
        <v>0</v>
      </c>
      <c r="AB56" s="7" t="n">
        <f aca="false">IF(Z56&gt;=0,1,0)</f>
        <v>0</v>
      </c>
    </row>
    <row r="57" customFormat="false" ht="15" hidden="false" customHeight="false" outlineLevel="0" collapsed="false">
      <c r="A57" s="7" t="n">
        <v>11</v>
      </c>
      <c r="B57" s="7" t="s">
        <v>360</v>
      </c>
      <c r="C57" s="15" t="n">
        <f aca="false">IF($A57&lt;Annahmen!$C$54,0,IF($A57=Annahmen!$C$54,Annahmen!$C$55,C56*(1+Annahmen!$C$56*(1-C56/Annahmen!$C$57))))</f>
        <v>1522.69146694833</v>
      </c>
      <c r="D57" s="17" t="n">
        <f aca="false">C57*Annahmen!$C$58</f>
        <v>15.2269146694833</v>
      </c>
      <c r="E57" s="17" t="n">
        <f aca="false">E56*(1-Annahmen!$C$59)+D57</f>
        <v>69.9337806028556</v>
      </c>
      <c r="F57" s="17" t="n">
        <f aca="false">E57*(1-Annahmen!$C$60)</f>
        <v>41.9602683617134</v>
      </c>
      <c r="G57" s="17" t="n">
        <f aca="false">E57*Annahmen!$C$60</f>
        <v>27.9735122411423</v>
      </c>
      <c r="H57" s="23" t="n">
        <f aca="false">F57*Annahmen!$C$78+G57*Annahmen!$C$79</f>
        <v>443.403480282306</v>
      </c>
      <c r="I57" s="17" t="n">
        <f aca="false">IF($A57&gt;=Annahmen!$C$54,Annahmen!$C$63*(1-Annahmen!$C$64),0)</f>
        <v>1.2</v>
      </c>
      <c r="J57" s="17" t="n">
        <f aca="false">IF($A57&gt;=Annahmen!$C$54,Annahmen!$C$63*Annahmen!$C$64,0)</f>
        <v>0.8</v>
      </c>
      <c r="K57" s="23" t="n">
        <f aca="false">I57*Annahmen!$B$71+J57*Annahmen!$B$72</f>
        <v>131.98</v>
      </c>
      <c r="L57" s="17" t="n">
        <f aca="false">IF($A57&gt;=Annahmen!$C$54,Annahmen!$C$65,0)</f>
        <v>0.5</v>
      </c>
      <c r="M57" s="23" t="n">
        <f aca="false">L57*Annahmen!$B$73</f>
        <v>74.5</v>
      </c>
      <c r="N57" s="23" t="n">
        <f aca="false">H57+K57+M57</f>
        <v>649.883480282306</v>
      </c>
      <c r="O57" s="23" t="n">
        <f aca="false">N57/(1+Annahmen!$B$8)</f>
        <v>546.120571665803</v>
      </c>
      <c r="P57" s="23" t="n">
        <f aca="false">O57*(Annahmen!$C$62*Annahmen!$B$74+(1-Annahmen!$C$62)*Annahmen!$B$75)+(E57*Annahmen!$C$61+E57*(1-Annahmen!$C$61)/12+I57+J57+L57)*(1-Annahmen!$C$62)*Annahmen!$B$76</f>
        <v>50.9038714601548</v>
      </c>
      <c r="Q57" s="17" t="n">
        <f aca="false">Annahmen!$C$66</f>
        <v>8</v>
      </c>
      <c r="R57" s="23" t="n">
        <f aca="false">Q57*Annahmen!$B$42</f>
        <v>230.967701791488</v>
      </c>
      <c r="S57" s="23" t="n">
        <f aca="false">I57*Annahmen!$B$43+(J57+L57)*Annahmen!$B$44</f>
        <v>79.1744983854023</v>
      </c>
      <c r="T57" s="23" t="n">
        <f aca="false">C57*Annahmen!$B$77</f>
        <v>15.2269146694833</v>
      </c>
      <c r="U57" s="23" t="n">
        <f aca="false">SUMPRODUCT((((Annahmen!$C$145:$C$155="monatlich")*(Annahmen!$D$145:$D$155&lt;=$A57))+((Annahmen!$C$145:$C$155="einmalig")*(Annahmen!$D$145:$D$155=$A57)))*Annahmen!$B$145:$B$155*Annahmen!$E$145:$E$155)</f>
        <v>69.9850799606897</v>
      </c>
      <c r="V57" s="23" t="n">
        <f aca="false">IF($A57&gt;=Annahmen!$C$54,Annahmen!$C$134,0)</f>
        <v>500</v>
      </c>
      <c r="W57" s="35" t="n">
        <f aca="false">MAX(0,(E57-Annahmen!$B$138)/Annahmen!$B$139)</f>
        <v>0</v>
      </c>
      <c r="X57" s="23" t="n">
        <f aca="false">W57*Annahmen!$B$137</f>
        <v>0</v>
      </c>
      <c r="Y57" s="23" t="n">
        <f aca="false">O57-P57-R57-S57-T57-U57-V57-X57</f>
        <v>-400.137494601415</v>
      </c>
      <c r="Z57" s="23" t="n">
        <f aca="false">Z56+Y57</f>
        <v>-6159.47876155187</v>
      </c>
      <c r="AA57" s="7" t="n">
        <f aca="false">IF(Y57&gt;0,1,0)</f>
        <v>0</v>
      </c>
      <c r="AB57" s="7" t="n">
        <f aca="false">IF(Z57&gt;=0,1,0)</f>
        <v>0</v>
      </c>
    </row>
    <row r="58" customFormat="false" ht="15" hidden="false" customHeight="false" outlineLevel="0" collapsed="false">
      <c r="A58" s="7" t="n">
        <v>12</v>
      </c>
      <c r="B58" s="7" t="s">
        <v>361</v>
      </c>
      <c r="C58" s="15" t="n">
        <f aca="false">IF($A58&lt;Annahmen!$C$54,0,IF($A58=Annahmen!$C$54,Annahmen!$C$55,C57*(1+Annahmen!$C$56*(1-C57/Annahmen!$C$57))))</f>
        <v>1749.35624501295</v>
      </c>
      <c r="D58" s="17" t="n">
        <f aca="false">C58*Annahmen!$C$58</f>
        <v>17.4935624501295</v>
      </c>
      <c r="E58" s="17" t="n">
        <f aca="false">E57*(1-Annahmen!$C$59)+D58</f>
        <v>83.2313162168138</v>
      </c>
      <c r="F58" s="17" t="n">
        <f aca="false">E58*(1-Annahmen!$C$60)</f>
        <v>49.9387897300883</v>
      </c>
      <c r="G58" s="17" t="n">
        <f aca="false">E58*Annahmen!$C$60</f>
        <v>33.2925264867255</v>
      </c>
      <c r="H58" s="23" t="n">
        <f aca="false">F58*Annahmen!$C$78+G58*Annahmen!$C$79</f>
        <v>527.714288586672</v>
      </c>
      <c r="I58" s="17" t="n">
        <f aca="false">IF($A58&gt;=Annahmen!$C$54,Annahmen!$C$63*(1-Annahmen!$C$64),0)</f>
        <v>1.2</v>
      </c>
      <c r="J58" s="17" t="n">
        <f aca="false">IF($A58&gt;=Annahmen!$C$54,Annahmen!$C$63*Annahmen!$C$64,0)</f>
        <v>0.8</v>
      </c>
      <c r="K58" s="23" t="n">
        <f aca="false">I58*Annahmen!$B$71+J58*Annahmen!$B$72</f>
        <v>131.98</v>
      </c>
      <c r="L58" s="17" t="n">
        <f aca="false">IF($A58&gt;=Annahmen!$C$54,Annahmen!$C$65,0)</f>
        <v>0.5</v>
      </c>
      <c r="M58" s="23" t="n">
        <f aca="false">L58*Annahmen!$B$73</f>
        <v>74.5</v>
      </c>
      <c r="N58" s="23" t="n">
        <f aca="false">H58+K58+M58</f>
        <v>734.194288586672</v>
      </c>
      <c r="O58" s="23" t="n">
        <f aca="false">N58/(1+Annahmen!$B$8)</f>
        <v>616.969990408968</v>
      </c>
      <c r="P58" s="23" t="n">
        <f aca="false">O58*(Annahmen!$C$62*Annahmen!$B$74+(1-Annahmen!$C$62)*Annahmen!$B$75)+(E58*Annahmen!$C$61+E58*(1-Annahmen!$C$61)/12+I58+J58+L58)*(1-Annahmen!$C$62)*Annahmen!$B$76</f>
        <v>57.8016700759042</v>
      </c>
      <c r="Q58" s="17" t="n">
        <f aca="false">Annahmen!$C$66</f>
        <v>8</v>
      </c>
      <c r="R58" s="23" t="n">
        <f aca="false">Q58*Annahmen!$B$42</f>
        <v>230.967701791488</v>
      </c>
      <c r="S58" s="23" t="n">
        <f aca="false">I58*Annahmen!$B$43+(J58+L58)*Annahmen!$B$44</f>
        <v>79.1744983854023</v>
      </c>
      <c r="T58" s="23" t="n">
        <f aca="false">C58*Annahmen!$B$77</f>
        <v>17.4935624501295</v>
      </c>
      <c r="U58" s="23" t="n">
        <f aca="false">SUMPRODUCT((((Annahmen!$C$145:$C$155="monatlich")*(Annahmen!$D$145:$D$155&lt;=$A58))+((Annahmen!$C$145:$C$155="einmalig")*(Annahmen!$D$145:$D$155=$A58)))*Annahmen!$B$145:$B$155*Annahmen!$E$145:$E$155)</f>
        <v>69.9850799606897</v>
      </c>
      <c r="V58" s="23" t="n">
        <f aca="false">IF($A58&gt;=Annahmen!$C$54,Annahmen!$C$134,0)</f>
        <v>500</v>
      </c>
      <c r="W58" s="35" t="n">
        <f aca="false">MAX(0,(E58-Annahmen!$B$138)/Annahmen!$B$139)</f>
        <v>0</v>
      </c>
      <c r="X58" s="23" t="n">
        <f aca="false">W58*Annahmen!$B$137</f>
        <v>0</v>
      </c>
      <c r="Y58" s="23" t="n">
        <f aca="false">O58-P58-R58-S58-T58-U58-V58-X58</f>
        <v>-338.452522254646</v>
      </c>
      <c r="Z58" s="23" t="n">
        <f aca="false">Z57+Y58</f>
        <v>-6497.93128380652</v>
      </c>
      <c r="AA58" s="7" t="n">
        <f aca="false">IF(Y58&gt;0,1,0)</f>
        <v>0</v>
      </c>
      <c r="AB58" s="7" t="n">
        <f aca="false">IF(Z58&gt;=0,1,0)</f>
        <v>0</v>
      </c>
    </row>
    <row r="59" customFormat="false" ht="15" hidden="false" customHeight="false" outlineLevel="0" collapsed="false">
      <c r="A59" s="7" t="n">
        <v>13</v>
      </c>
      <c r="B59" s="7" t="s">
        <v>362</v>
      </c>
      <c r="C59" s="15" t="n">
        <f aca="false">IF($A59&lt;Annahmen!$C$54,0,IF($A59=Annahmen!$C$54,Annahmen!$C$55,C58*(1+Annahmen!$C$56*(1-C58/Annahmen!$C$57))))</f>
        <v>2009.46449631091</v>
      </c>
      <c r="D59" s="17" t="n">
        <f aca="false">C59*Annahmen!$C$58</f>
        <v>20.0946449631091</v>
      </c>
      <c r="E59" s="17" t="n">
        <f aca="false">E58*(1-Annahmen!$C$59)+D59</f>
        <v>98.3320822069141</v>
      </c>
      <c r="F59" s="17" t="n">
        <f aca="false">E59*(1-Annahmen!$C$60)</f>
        <v>58.9992493241484</v>
      </c>
      <c r="G59" s="17" t="n">
        <f aca="false">E59*Annahmen!$C$60</f>
        <v>39.3328328827656</v>
      </c>
      <c r="H59" s="23" t="n">
        <f aca="false">F59*Annahmen!$C$78+G59*Annahmen!$C$79</f>
        <v>623.458178552571</v>
      </c>
      <c r="I59" s="17" t="n">
        <f aca="false">IF($A59&gt;=Annahmen!$C$54,Annahmen!$C$63*(1-Annahmen!$C$64),0)</f>
        <v>1.2</v>
      </c>
      <c r="J59" s="17" t="n">
        <f aca="false">IF($A59&gt;=Annahmen!$C$54,Annahmen!$C$63*Annahmen!$C$64,0)</f>
        <v>0.8</v>
      </c>
      <c r="K59" s="23" t="n">
        <f aca="false">I59*Annahmen!$B$71+J59*Annahmen!$B$72</f>
        <v>131.98</v>
      </c>
      <c r="L59" s="17" t="n">
        <f aca="false">IF($A59&gt;=Annahmen!$C$54,Annahmen!$C$65,0)</f>
        <v>0.5</v>
      </c>
      <c r="M59" s="23" t="n">
        <f aca="false">L59*Annahmen!$B$73</f>
        <v>74.5</v>
      </c>
      <c r="N59" s="23" t="n">
        <f aca="false">H59+K59+M59</f>
        <v>829.938178552571</v>
      </c>
      <c r="O59" s="23" t="n">
        <f aca="false">N59/(1+Annahmen!$B$8)</f>
        <v>697.42704080048</v>
      </c>
      <c r="P59" s="23" t="n">
        <f aca="false">O59*(Annahmen!$C$62*Annahmen!$B$74+(1-Annahmen!$C$62)*Annahmen!$B$75)+(E59*Annahmen!$C$61+E59*(1-Annahmen!$C$61)/12+I59+J59+L59)*(1-Annahmen!$C$62)*Annahmen!$B$76</f>
        <v>65.6348540407536</v>
      </c>
      <c r="Q59" s="17" t="n">
        <f aca="false">Annahmen!$C$66</f>
        <v>8</v>
      </c>
      <c r="R59" s="23" t="n">
        <f aca="false">Q59*Annahmen!$B$42</f>
        <v>230.967701791488</v>
      </c>
      <c r="S59" s="23" t="n">
        <f aca="false">I59*Annahmen!$B$43+(J59+L59)*Annahmen!$B$44</f>
        <v>79.1744983854023</v>
      </c>
      <c r="T59" s="23" t="n">
        <f aca="false">C59*Annahmen!$B$77</f>
        <v>20.0946449631091</v>
      </c>
      <c r="U59" s="23" t="n">
        <f aca="false">SUMPRODUCT((((Annahmen!$C$145:$C$155="monatlich")*(Annahmen!$D$145:$D$155&lt;=$A59))+((Annahmen!$C$145:$C$155="einmalig")*(Annahmen!$D$145:$D$155=$A59)))*Annahmen!$B$145:$B$155*Annahmen!$E$145:$E$155)</f>
        <v>69.9850799606897</v>
      </c>
      <c r="V59" s="23" t="n">
        <f aca="false">IF($A59&gt;=Annahmen!$C$54,Annahmen!$C$134,0)</f>
        <v>500</v>
      </c>
      <c r="W59" s="35" t="n">
        <f aca="false">MAX(0,(E59-Annahmen!$B$138)/Annahmen!$B$139)</f>
        <v>0</v>
      </c>
      <c r="X59" s="23" t="n">
        <f aca="false">W59*Annahmen!$B$137</f>
        <v>0</v>
      </c>
      <c r="Y59" s="23" t="n">
        <f aca="false">O59-P59-R59-S59-T59-U59-V59-X59</f>
        <v>-268.429738340963</v>
      </c>
      <c r="Z59" s="23" t="n">
        <f aca="false">Z58+Y59</f>
        <v>-6766.36102214748</v>
      </c>
      <c r="AA59" s="7" t="n">
        <f aca="false">IF(Y59&gt;0,1,0)</f>
        <v>0</v>
      </c>
      <c r="AB59" s="7" t="n">
        <f aca="false">IF(Z59&gt;=0,1,0)</f>
        <v>0</v>
      </c>
    </row>
    <row r="60" customFormat="false" ht="15" hidden="false" customHeight="false" outlineLevel="0" collapsed="false">
      <c r="A60" s="7" t="n">
        <v>14</v>
      </c>
      <c r="B60" s="7" t="s">
        <v>363</v>
      </c>
      <c r="C60" s="15" t="n">
        <f aca="false">IF($A60&lt;Annahmen!$C$54,0,IF($A60=Annahmen!$C$54,Annahmen!$C$55,C59*(1+Annahmen!$C$56*(1-C59/Annahmen!$C$57))))</f>
        <v>2307.8557100861</v>
      </c>
      <c r="D60" s="17" t="n">
        <f aca="false">C60*Annahmen!$C$58</f>
        <v>23.078557100861</v>
      </c>
      <c r="E60" s="17" t="n">
        <f aca="false">E59*(1-Annahmen!$C$59)+D60</f>
        <v>115.51071437536</v>
      </c>
      <c r="F60" s="17" t="n">
        <f aca="false">E60*(1-Annahmen!$C$60)</f>
        <v>69.3064286252161</v>
      </c>
      <c r="G60" s="17" t="n">
        <f aca="false">E60*Annahmen!$C$60</f>
        <v>46.2042857501441</v>
      </c>
      <c r="H60" s="23" t="n">
        <f aca="false">F60*Annahmen!$C$78+G60*Annahmen!$C$79</f>
        <v>732.376432711242</v>
      </c>
      <c r="I60" s="17" t="n">
        <f aca="false">IF($A60&gt;=Annahmen!$C$54,Annahmen!$C$63*(1-Annahmen!$C$64),0)</f>
        <v>1.2</v>
      </c>
      <c r="J60" s="17" t="n">
        <f aca="false">IF($A60&gt;=Annahmen!$C$54,Annahmen!$C$63*Annahmen!$C$64,0)</f>
        <v>0.8</v>
      </c>
      <c r="K60" s="23" t="n">
        <f aca="false">I60*Annahmen!$B$71+J60*Annahmen!$B$72</f>
        <v>131.98</v>
      </c>
      <c r="L60" s="17" t="n">
        <f aca="false">IF($A60&gt;=Annahmen!$C$54,Annahmen!$C$65,0)</f>
        <v>0.5</v>
      </c>
      <c r="M60" s="23" t="n">
        <f aca="false">L60*Annahmen!$B$73</f>
        <v>74.5</v>
      </c>
      <c r="N60" s="23" t="n">
        <f aca="false">H60+K60+M60</f>
        <v>938.856432711242</v>
      </c>
      <c r="O60" s="23" t="n">
        <f aca="false">N60/(1+Annahmen!$B$8)</f>
        <v>788.954985471632</v>
      </c>
      <c r="P60" s="23" t="n">
        <f aca="false">O60*(Annahmen!$C$62*Annahmen!$B$74+(1-Annahmen!$C$62)*Annahmen!$B$75)+(E60*Annahmen!$C$61+E60*(1-Annahmen!$C$61)/12+I60+J60+L60)*(1-Annahmen!$C$62)*Annahmen!$B$76</f>
        <v>74.5458845227923</v>
      </c>
      <c r="Q60" s="17" t="n">
        <f aca="false">Annahmen!$C$66</f>
        <v>8</v>
      </c>
      <c r="R60" s="23" t="n">
        <f aca="false">Q60*Annahmen!$B$42</f>
        <v>230.967701791488</v>
      </c>
      <c r="S60" s="23" t="n">
        <f aca="false">I60*Annahmen!$B$43+(J60+L60)*Annahmen!$B$44</f>
        <v>79.1744983854023</v>
      </c>
      <c r="T60" s="23" t="n">
        <f aca="false">C60*Annahmen!$B$77</f>
        <v>23.078557100861</v>
      </c>
      <c r="U60" s="23" t="n">
        <f aca="false">SUMPRODUCT((((Annahmen!$C$145:$C$155="monatlich")*(Annahmen!$D$145:$D$155&lt;=$A60))+((Annahmen!$C$145:$C$155="einmalig")*(Annahmen!$D$145:$D$155=$A60)))*Annahmen!$B$145:$B$155*Annahmen!$E$145:$E$155)</f>
        <v>69.9850799606897</v>
      </c>
      <c r="V60" s="23" t="n">
        <f aca="false">IF($A60&gt;=Annahmen!$C$54,Annahmen!$C$134,0)</f>
        <v>500</v>
      </c>
      <c r="W60" s="35" t="n">
        <f aca="false">MAX(0,(E60-Annahmen!$B$138)/Annahmen!$B$139)</f>
        <v>0</v>
      </c>
      <c r="X60" s="23" t="n">
        <f aca="false">W60*Annahmen!$B$137</f>
        <v>0</v>
      </c>
      <c r="Y60" s="23" t="n">
        <f aca="false">O60-P60-R60-S60-T60-U60-V60-X60</f>
        <v>-188.796736289601</v>
      </c>
      <c r="Z60" s="23" t="n">
        <f aca="false">Z59+Y60</f>
        <v>-6955.15775843708</v>
      </c>
      <c r="AA60" s="7" t="n">
        <f aca="false">IF(Y60&gt;0,1,0)</f>
        <v>0</v>
      </c>
      <c r="AB60" s="7" t="n">
        <f aca="false">IF(Z60&gt;=0,1,0)</f>
        <v>0</v>
      </c>
    </row>
    <row r="61" customFormat="false" ht="15" hidden="false" customHeight="false" outlineLevel="0" collapsed="false">
      <c r="A61" s="7" t="n">
        <v>15</v>
      </c>
      <c r="B61" s="7" t="s">
        <v>364</v>
      </c>
      <c r="C61" s="15" t="n">
        <f aca="false">IF($A61&lt;Annahmen!$C$54,0,IF($A61=Annahmen!$C$54,Annahmen!$C$55,C60*(1+Annahmen!$C$56*(1-C60/Annahmen!$C$57))))</f>
        <v>2650.03941811508</v>
      </c>
      <c r="D61" s="17" t="n">
        <f aca="false">C61*Annahmen!$C$58</f>
        <v>26.5003941811508</v>
      </c>
      <c r="E61" s="17" t="n">
        <f aca="false">E60*(1-Annahmen!$C$59)+D61</f>
        <v>135.080465693989</v>
      </c>
      <c r="F61" s="17" t="n">
        <f aca="false">E61*(1-Annahmen!$C$60)</f>
        <v>81.0482794163937</v>
      </c>
      <c r="G61" s="17" t="n">
        <f aca="false">E61*Annahmen!$C$60</f>
        <v>54.0321862775958</v>
      </c>
      <c r="H61" s="23" t="n">
        <f aca="false">F61*Annahmen!$C$78+G61*Annahmen!$C$79</f>
        <v>856.455179321791</v>
      </c>
      <c r="I61" s="17" t="n">
        <f aca="false">IF($A61&gt;=Annahmen!$C$54,Annahmen!$C$63*(1-Annahmen!$C$64),0)</f>
        <v>1.2</v>
      </c>
      <c r="J61" s="17" t="n">
        <f aca="false">IF($A61&gt;=Annahmen!$C$54,Annahmen!$C$63*Annahmen!$C$64,0)</f>
        <v>0.8</v>
      </c>
      <c r="K61" s="23" t="n">
        <f aca="false">I61*Annahmen!$B$71+J61*Annahmen!$B$72</f>
        <v>131.98</v>
      </c>
      <c r="L61" s="17" t="n">
        <f aca="false">IF($A61&gt;=Annahmen!$C$54,Annahmen!$C$65,0)</f>
        <v>0.5</v>
      </c>
      <c r="M61" s="23" t="n">
        <f aca="false">L61*Annahmen!$B$73</f>
        <v>74.5</v>
      </c>
      <c r="N61" s="23" t="n">
        <f aca="false">H61+K61+M61</f>
        <v>1062.93517932179</v>
      </c>
      <c r="O61" s="23" t="n">
        <f aca="false">N61/(1+Annahmen!$B$8)</f>
        <v>893.222839766211</v>
      </c>
      <c r="P61" s="23" t="n">
        <f aca="false">O61*(Annahmen!$C$62*Annahmen!$B$74+(1-Annahmen!$C$62)*Annahmen!$B$75)+(E61*Annahmen!$C$61+E61*(1-Annahmen!$C$61)/12+I61+J61+L61)*(1-Annahmen!$C$62)*Annahmen!$B$76</f>
        <v>84.6972544814866</v>
      </c>
      <c r="Q61" s="17" t="n">
        <f aca="false">Annahmen!$C$66</f>
        <v>8</v>
      </c>
      <c r="R61" s="23" t="n">
        <f aca="false">Q61*Annahmen!$B$42</f>
        <v>230.967701791488</v>
      </c>
      <c r="S61" s="23" t="n">
        <f aca="false">I61*Annahmen!$B$43+(J61+L61)*Annahmen!$B$44</f>
        <v>79.1744983854023</v>
      </c>
      <c r="T61" s="23" t="n">
        <f aca="false">C61*Annahmen!$B$77</f>
        <v>26.5003941811508</v>
      </c>
      <c r="U61" s="23" t="n">
        <f aca="false">SUMPRODUCT((((Annahmen!$C$145:$C$155="monatlich")*(Annahmen!$D$145:$D$155&lt;=$A61))+((Annahmen!$C$145:$C$155="einmalig")*(Annahmen!$D$145:$D$155=$A61)))*Annahmen!$B$145:$B$155*Annahmen!$E$145:$E$155)</f>
        <v>69.9850799606897</v>
      </c>
      <c r="V61" s="23" t="n">
        <f aca="false">IF($A61&gt;=Annahmen!$C$54,Annahmen!$C$134,0)</f>
        <v>500</v>
      </c>
      <c r="W61" s="35" t="n">
        <f aca="false">MAX(0,(E61-Annahmen!$B$138)/Annahmen!$B$139)</f>
        <v>0</v>
      </c>
      <c r="X61" s="23" t="n">
        <f aca="false">W61*Annahmen!$B$137</f>
        <v>0</v>
      </c>
      <c r="Y61" s="23" t="n">
        <f aca="false">O61-P61-R61-S61-T61-U61-V61-X61</f>
        <v>-98.1020890340064</v>
      </c>
      <c r="Z61" s="23" t="n">
        <f aca="false">Z60+Y61</f>
        <v>-7053.25984747109</v>
      </c>
      <c r="AA61" s="7" t="n">
        <f aca="false">IF(Y61&gt;0,1,0)</f>
        <v>0</v>
      </c>
      <c r="AB61" s="7" t="n">
        <f aca="false">IF(Z61&gt;=0,1,0)</f>
        <v>0</v>
      </c>
    </row>
    <row r="62" customFormat="false" ht="15" hidden="false" customHeight="false" outlineLevel="0" collapsed="false">
      <c r="A62" s="7" t="n">
        <v>16</v>
      </c>
      <c r="B62" s="7" t="s">
        <v>365</v>
      </c>
      <c r="C62" s="15" t="n">
        <f aca="false">IF($A62&lt;Annahmen!$C$54,0,IF($A62=Annahmen!$C$54,Annahmen!$C$55,C61*(1+Annahmen!$C$56*(1-C61/Annahmen!$C$57))))</f>
        <v>3042.27829914417</v>
      </c>
      <c r="D62" s="17" t="n">
        <f aca="false">C62*Annahmen!$C$58</f>
        <v>30.4227829914417</v>
      </c>
      <c r="E62" s="17" t="n">
        <f aca="false">E61*(1-Annahmen!$C$59)+D62</f>
        <v>157.398420743792</v>
      </c>
      <c r="F62" s="17" t="n">
        <f aca="false">E62*(1-Annahmen!$C$60)</f>
        <v>94.4390524462751</v>
      </c>
      <c r="G62" s="17" t="n">
        <f aca="false">E62*Annahmen!$C$60</f>
        <v>62.9593682975167</v>
      </c>
      <c r="H62" s="23" t="n">
        <f aca="false">F62*Annahmen!$C$78+G62*Annahmen!$C$79</f>
        <v>997.958453655888</v>
      </c>
      <c r="I62" s="17" t="n">
        <f aca="false">IF($A62&gt;=Annahmen!$C$54,Annahmen!$C$63*(1-Annahmen!$C$64),0)</f>
        <v>1.2</v>
      </c>
      <c r="J62" s="17" t="n">
        <f aca="false">IF($A62&gt;=Annahmen!$C$54,Annahmen!$C$63*Annahmen!$C$64,0)</f>
        <v>0.8</v>
      </c>
      <c r="K62" s="23" t="n">
        <f aca="false">I62*Annahmen!$B$71+J62*Annahmen!$B$72</f>
        <v>131.98</v>
      </c>
      <c r="L62" s="17" t="n">
        <f aca="false">IF($A62&gt;=Annahmen!$C$54,Annahmen!$C$65,0)</f>
        <v>0.5</v>
      </c>
      <c r="M62" s="23" t="n">
        <f aca="false">L62*Annahmen!$B$73</f>
        <v>74.5</v>
      </c>
      <c r="N62" s="23" t="n">
        <f aca="false">H62+K62+M62</f>
        <v>1204.43845365589</v>
      </c>
      <c r="O62" s="23" t="n">
        <f aca="false">N62/(1+Annahmen!$B$8)</f>
        <v>1012.13315433268</v>
      </c>
      <c r="P62" s="23" t="n">
        <f aca="false">O62*(Annahmen!$C$62*Annahmen!$B$74+(1-Annahmen!$C$62)*Annahmen!$B$75)+(E62*Annahmen!$C$61+E62*(1-Annahmen!$C$61)/12+I62+J62+L62)*(1-Annahmen!$C$62)*Annahmen!$B$76</f>
        <v>96.2741935413295</v>
      </c>
      <c r="Q62" s="17" t="n">
        <f aca="false">Annahmen!$C$66</f>
        <v>8</v>
      </c>
      <c r="R62" s="23" t="n">
        <f aca="false">Q62*Annahmen!$B$42</f>
        <v>230.967701791488</v>
      </c>
      <c r="S62" s="23" t="n">
        <f aca="false">I62*Annahmen!$B$43+(J62+L62)*Annahmen!$B$44</f>
        <v>79.1744983854023</v>
      </c>
      <c r="T62" s="23" t="n">
        <f aca="false">C62*Annahmen!$B$77</f>
        <v>30.4227829914417</v>
      </c>
      <c r="U62" s="23" t="n">
        <f aca="false">SUMPRODUCT((((Annahmen!$C$145:$C$155="monatlich")*(Annahmen!$D$145:$D$155&lt;=$A62))+((Annahmen!$C$145:$C$155="einmalig")*(Annahmen!$D$145:$D$155=$A62)))*Annahmen!$B$145:$B$155*Annahmen!$E$145:$E$155)</f>
        <v>69.9850799606897</v>
      </c>
      <c r="V62" s="23" t="n">
        <f aca="false">IF($A62&gt;=Annahmen!$C$54,Annahmen!$C$134,0)</f>
        <v>500</v>
      </c>
      <c r="W62" s="35" t="n">
        <f aca="false">MAX(0,(E62-Annahmen!$B$138)/Annahmen!$B$139)</f>
        <v>0</v>
      </c>
      <c r="X62" s="23" t="n">
        <f aca="false">W62*Annahmen!$B$137</f>
        <v>0</v>
      </c>
      <c r="Y62" s="23" t="n">
        <f aca="false">O62-P62-R62-S62-T62-U62-V62-X62</f>
        <v>5.3088976623277</v>
      </c>
      <c r="Z62" s="23" t="n">
        <f aca="false">Z61+Y62</f>
        <v>-7047.95094980876</v>
      </c>
      <c r="AA62" s="7" t="n">
        <f aca="false">IF(Y62&gt;0,1,0)</f>
        <v>1</v>
      </c>
      <c r="AB62" s="7" t="n">
        <f aca="false">IF(Z62&gt;=0,1,0)</f>
        <v>0</v>
      </c>
    </row>
    <row r="63" customFormat="false" ht="15" hidden="false" customHeight="false" outlineLevel="0" collapsed="false">
      <c r="A63" s="7" t="n">
        <v>17</v>
      </c>
      <c r="B63" s="7" t="s">
        <v>366</v>
      </c>
      <c r="C63" s="15" t="n">
        <f aca="false">IF($A63&lt;Annahmen!$C$54,0,IF($A63=Annahmen!$C$54,Annahmen!$C$55,C62*(1+Annahmen!$C$56*(1-C62/Annahmen!$C$57))))</f>
        <v>3491.67845107872</v>
      </c>
      <c r="D63" s="17" t="n">
        <f aca="false">C63*Annahmen!$C$58</f>
        <v>34.9167845107872</v>
      </c>
      <c r="E63" s="17" t="n">
        <f aca="false">E62*(1-Annahmen!$C$59)+D63</f>
        <v>182.871300009951</v>
      </c>
      <c r="F63" s="17" t="n">
        <f aca="false">E63*(1-Annahmen!$C$60)</f>
        <v>109.722780005971</v>
      </c>
      <c r="G63" s="17" t="n">
        <f aca="false">E63*Annahmen!$C$60</f>
        <v>73.1485200039806</v>
      </c>
      <c r="H63" s="23" t="n">
        <f aca="false">F63*Annahmen!$C$78+G63*Annahmen!$C$79</f>
        <v>1159.4649991631</v>
      </c>
      <c r="I63" s="17" t="n">
        <f aca="false">IF($A63&gt;=Annahmen!$C$54,Annahmen!$C$63*(1-Annahmen!$C$64),0)</f>
        <v>1.2</v>
      </c>
      <c r="J63" s="17" t="n">
        <f aca="false">IF($A63&gt;=Annahmen!$C$54,Annahmen!$C$63*Annahmen!$C$64,0)</f>
        <v>0.8</v>
      </c>
      <c r="K63" s="23" t="n">
        <f aca="false">I63*Annahmen!$B$71+J63*Annahmen!$B$72</f>
        <v>131.98</v>
      </c>
      <c r="L63" s="17" t="n">
        <f aca="false">IF($A63&gt;=Annahmen!$C$54,Annahmen!$C$65,0)</f>
        <v>0.5</v>
      </c>
      <c r="M63" s="23" t="n">
        <f aca="false">L63*Annahmen!$B$73</f>
        <v>74.5</v>
      </c>
      <c r="N63" s="23" t="n">
        <f aca="false">H63+K63+M63</f>
        <v>1365.9449991631</v>
      </c>
      <c r="O63" s="23" t="n">
        <f aca="false">N63/(1+Annahmen!$B$8)</f>
        <v>1147.85294047319</v>
      </c>
      <c r="P63" s="23" t="n">
        <f aca="false">O63*(Annahmen!$C$62*Annahmen!$B$74+(1-Annahmen!$C$62)*Annahmen!$B$75)+(E63*Annahmen!$C$61+E63*(1-Annahmen!$C$61)/12+I63+J63+L63)*(1-Annahmen!$C$62)*Annahmen!$B$76</f>
        <v>109.487678839826</v>
      </c>
      <c r="Q63" s="17" t="n">
        <f aca="false">Annahmen!$C$66</f>
        <v>8</v>
      </c>
      <c r="R63" s="23" t="n">
        <f aca="false">Q63*Annahmen!$B$42</f>
        <v>230.967701791488</v>
      </c>
      <c r="S63" s="23" t="n">
        <f aca="false">I63*Annahmen!$B$43+(J63+L63)*Annahmen!$B$44</f>
        <v>79.1744983854023</v>
      </c>
      <c r="T63" s="23" t="n">
        <f aca="false">C63*Annahmen!$B$77</f>
        <v>34.9167845107872</v>
      </c>
      <c r="U63" s="23" t="n">
        <f aca="false">SUMPRODUCT((((Annahmen!$C$145:$C$155="monatlich")*(Annahmen!$D$145:$D$155&lt;=$A63))+((Annahmen!$C$145:$C$155="einmalig")*(Annahmen!$D$145:$D$155=$A63)))*Annahmen!$B$145:$B$155*Annahmen!$E$145:$E$155)</f>
        <v>69.9850799606897</v>
      </c>
      <c r="V63" s="23" t="n">
        <f aca="false">IF($A63&gt;=Annahmen!$C$54,Annahmen!$C$134,0)</f>
        <v>500</v>
      </c>
      <c r="W63" s="35" t="n">
        <f aca="false">MAX(0,(E63-Annahmen!$B$138)/Annahmen!$B$139)</f>
        <v>0</v>
      </c>
      <c r="X63" s="23" t="n">
        <f aca="false">W63*Annahmen!$B$137</f>
        <v>0</v>
      </c>
      <c r="Y63" s="23" t="n">
        <f aca="false">O63-P63-R63-S63-T63-U63-V63-X63</f>
        <v>123.321196984996</v>
      </c>
      <c r="Z63" s="23" t="n">
        <f aca="false">Z62+Y63</f>
        <v>-6924.62975282377</v>
      </c>
      <c r="AA63" s="7" t="n">
        <f aca="false">IF(Y63&gt;0,1,0)</f>
        <v>1</v>
      </c>
      <c r="AB63" s="7" t="n">
        <f aca="false">IF(Z63&gt;=0,1,0)</f>
        <v>0</v>
      </c>
    </row>
    <row r="64" customFormat="false" ht="15" hidden="false" customHeight="false" outlineLevel="0" collapsed="false">
      <c r="A64" s="7" t="n">
        <v>18</v>
      </c>
      <c r="B64" s="7" t="s">
        <v>367</v>
      </c>
      <c r="C64" s="15" t="n">
        <f aca="false">IF($A64&lt;Annahmen!$C$54,0,IF($A64=Annahmen!$C$54,Annahmen!$C$55,C63*(1+Annahmen!$C$56*(1-C63/Annahmen!$C$57))))</f>
        <v>4006.28635493623</v>
      </c>
      <c r="D64" s="17" t="n">
        <f aca="false">C64*Annahmen!$C$58</f>
        <v>40.0628635493623</v>
      </c>
      <c r="E64" s="17" t="n">
        <f aca="false">E63*(1-Annahmen!$C$59)+D64</f>
        <v>211.961885558717</v>
      </c>
      <c r="F64" s="17" t="n">
        <f aca="false">E64*(1-Annahmen!$C$60)</f>
        <v>127.17713133523</v>
      </c>
      <c r="G64" s="17" t="n">
        <f aca="false">E64*Annahmen!$C$60</f>
        <v>84.7847542234867</v>
      </c>
      <c r="H64" s="23" t="n">
        <f aca="false">F64*Annahmen!$C$78+G64*Annahmen!$C$79</f>
        <v>1343.90900840412</v>
      </c>
      <c r="I64" s="17" t="n">
        <f aca="false">IF($A64&gt;=Annahmen!$C$54,Annahmen!$C$63*(1-Annahmen!$C$64),0)</f>
        <v>1.2</v>
      </c>
      <c r="J64" s="17" t="n">
        <f aca="false">IF($A64&gt;=Annahmen!$C$54,Annahmen!$C$63*Annahmen!$C$64,0)</f>
        <v>0.8</v>
      </c>
      <c r="K64" s="23" t="n">
        <f aca="false">I64*Annahmen!$B$71+J64*Annahmen!$B$72</f>
        <v>131.98</v>
      </c>
      <c r="L64" s="17" t="n">
        <f aca="false">IF($A64&gt;=Annahmen!$C$54,Annahmen!$C$65,0)</f>
        <v>0.5</v>
      </c>
      <c r="M64" s="23" t="n">
        <f aca="false">L64*Annahmen!$B$73</f>
        <v>74.5</v>
      </c>
      <c r="N64" s="23" t="n">
        <f aca="false">H64+K64+M64</f>
        <v>1550.38900840412</v>
      </c>
      <c r="O64" s="23" t="n">
        <f aca="false">N64/(1+Annahmen!$B$8)</f>
        <v>1302.84790622195</v>
      </c>
      <c r="P64" s="23" t="n">
        <f aca="false">O64*(Annahmen!$C$62*Annahmen!$B$74+(1-Annahmen!$C$62)*Annahmen!$B$75)+(E64*Annahmen!$C$61+E64*(1-Annahmen!$C$61)/12+I64+J64+L64)*(1-Annahmen!$C$62)*Annahmen!$B$76</f>
        <v>124.577768203376</v>
      </c>
      <c r="Q64" s="17" t="n">
        <f aca="false">Annahmen!$C$66</f>
        <v>8</v>
      </c>
      <c r="R64" s="23" t="n">
        <f aca="false">Q64*Annahmen!$B$42</f>
        <v>230.967701791488</v>
      </c>
      <c r="S64" s="23" t="n">
        <f aca="false">I64*Annahmen!$B$43+(J64+L64)*Annahmen!$B$44</f>
        <v>79.1744983854023</v>
      </c>
      <c r="T64" s="23" t="n">
        <f aca="false">C64*Annahmen!$B$77</f>
        <v>40.0628635493623</v>
      </c>
      <c r="U64" s="23" t="n">
        <f aca="false">SUMPRODUCT((((Annahmen!$C$145:$C$155="monatlich")*(Annahmen!$D$145:$D$155&lt;=$A64))+((Annahmen!$C$145:$C$155="einmalig")*(Annahmen!$D$145:$D$155=$A64)))*Annahmen!$B$145:$B$155*Annahmen!$E$145:$E$155)</f>
        <v>69.9850799606897</v>
      </c>
      <c r="V64" s="23" t="n">
        <f aca="false">IF($A64&gt;=Annahmen!$C$54,Annahmen!$C$134,0)</f>
        <v>500</v>
      </c>
      <c r="W64" s="35" t="n">
        <f aca="false">MAX(0,(E64-Annahmen!$B$138)/Annahmen!$B$139)</f>
        <v>0</v>
      </c>
      <c r="X64" s="23" t="n">
        <f aca="false">W64*Annahmen!$B$137</f>
        <v>0</v>
      </c>
      <c r="Y64" s="23" t="n">
        <f aca="false">O64-P64-R64-S64-T64-U64-V64-X64</f>
        <v>258.079994331628</v>
      </c>
      <c r="Z64" s="23" t="n">
        <f aca="false">Z63+Y64</f>
        <v>-6666.54975849214</v>
      </c>
      <c r="AA64" s="7" t="n">
        <f aca="false">IF(Y64&gt;0,1,0)</f>
        <v>1</v>
      </c>
      <c r="AB64" s="7" t="n">
        <f aca="false">IF(Z64&gt;=0,1,0)</f>
        <v>0</v>
      </c>
    </row>
    <row r="65" customFormat="false" ht="15" hidden="false" customHeight="false" outlineLevel="0" collapsed="false">
      <c r="A65" s="7" t="n">
        <v>19</v>
      </c>
      <c r="B65" s="7" t="s">
        <v>368</v>
      </c>
      <c r="C65" s="15" t="n">
        <f aca="false">IF($A65&lt;Annahmen!$C$54,0,IF($A65=Annahmen!$C$54,Annahmen!$C$55,C64*(1+Annahmen!$C$56*(1-C64/Annahmen!$C$57))))</f>
        <v>4595.19156040835</v>
      </c>
      <c r="D65" s="17" t="n">
        <f aca="false">C65*Annahmen!$C$58</f>
        <v>45.9519156040835</v>
      </c>
      <c r="E65" s="17" t="n">
        <f aca="false">E64*(1-Annahmen!$C$59)+D65</f>
        <v>245.196088029277</v>
      </c>
      <c r="F65" s="17" t="n">
        <f aca="false">E65*(1-Annahmen!$C$60)</f>
        <v>147.117652817566</v>
      </c>
      <c r="G65" s="17" t="n">
        <f aca="false">E65*Annahmen!$C$60</f>
        <v>98.0784352117109</v>
      </c>
      <c r="H65" s="23" t="n">
        <f aca="false">F65*Annahmen!$C$78+G65*Annahmen!$C$79</f>
        <v>1554.62493013496</v>
      </c>
      <c r="I65" s="17" t="n">
        <f aca="false">IF($A65&gt;=Annahmen!$C$54,Annahmen!$C$63*(1-Annahmen!$C$64),0)</f>
        <v>1.2</v>
      </c>
      <c r="J65" s="17" t="n">
        <f aca="false">IF($A65&gt;=Annahmen!$C$54,Annahmen!$C$63*Annahmen!$C$64,0)</f>
        <v>0.8</v>
      </c>
      <c r="K65" s="23" t="n">
        <f aca="false">I65*Annahmen!$B$71+J65*Annahmen!$B$72</f>
        <v>131.98</v>
      </c>
      <c r="L65" s="17" t="n">
        <f aca="false">IF($A65&gt;=Annahmen!$C$54,Annahmen!$C$65,0)</f>
        <v>0.5</v>
      </c>
      <c r="M65" s="23" t="n">
        <f aca="false">L65*Annahmen!$B$73</f>
        <v>74.5</v>
      </c>
      <c r="N65" s="23" t="n">
        <f aca="false">H65+K65+M65</f>
        <v>1761.10493013496</v>
      </c>
      <c r="O65" s="23" t="n">
        <f aca="false">N65/(1+Annahmen!$B$8)</f>
        <v>1479.92010935711</v>
      </c>
      <c r="P65" s="23" t="n">
        <f aca="false">O65*(Annahmen!$C$62*Annahmen!$B$74+(1-Annahmen!$C$62)*Annahmen!$B$75)+(E65*Annahmen!$C$61+E65*(1-Annahmen!$C$61)/12+I65+J65+L65)*(1-Annahmen!$C$62)*Annahmen!$B$76</f>
        <v>141.817265990946</v>
      </c>
      <c r="Q65" s="17" t="n">
        <f aca="false">Annahmen!$C$66</f>
        <v>8</v>
      </c>
      <c r="R65" s="23" t="n">
        <f aca="false">Q65*Annahmen!$B$42</f>
        <v>230.967701791488</v>
      </c>
      <c r="S65" s="23" t="n">
        <f aca="false">I65*Annahmen!$B$43+(J65+L65)*Annahmen!$B$44</f>
        <v>79.1744983854023</v>
      </c>
      <c r="T65" s="23" t="n">
        <f aca="false">C65*Annahmen!$B$77</f>
        <v>45.9519156040835</v>
      </c>
      <c r="U65" s="23" t="n">
        <f aca="false">SUMPRODUCT((((Annahmen!$C$145:$C$155="monatlich")*(Annahmen!$D$145:$D$155&lt;=$A65))+((Annahmen!$C$145:$C$155="einmalig")*(Annahmen!$D$145:$D$155=$A65)))*Annahmen!$B$145:$B$155*Annahmen!$E$145:$E$155)</f>
        <v>69.9850799606897</v>
      </c>
      <c r="V65" s="23" t="n">
        <f aca="false">IF($A65&gt;=Annahmen!$C$54,Annahmen!$C$134,0)</f>
        <v>500</v>
      </c>
      <c r="W65" s="35" t="n">
        <f aca="false">MAX(0,(E65-Annahmen!$B$138)/Annahmen!$B$139)</f>
        <v>0</v>
      </c>
      <c r="X65" s="23" t="n">
        <f aca="false">W65*Annahmen!$B$137</f>
        <v>0</v>
      </c>
      <c r="Y65" s="23" t="n">
        <f aca="false">O65-P65-R65-S65-T65-U65-V65-X65</f>
        <v>412.0236476245</v>
      </c>
      <c r="Z65" s="23" t="n">
        <f aca="false">Z64+Y65</f>
        <v>-6254.52611086764</v>
      </c>
      <c r="AA65" s="7" t="n">
        <f aca="false">IF(Y65&gt;0,1,0)</f>
        <v>1</v>
      </c>
      <c r="AB65" s="7" t="n">
        <f aca="false">IF(Z65&gt;=0,1,0)</f>
        <v>0</v>
      </c>
    </row>
    <row r="66" customFormat="false" ht="15" hidden="false" customHeight="false" outlineLevel="0" collapsed="false">
      <c r="A66" s="7" t="n">
        <v>20</v>
      </c>
      <c r="B66" s="7" t="s">
        <v>369</v>
      </c>
      <c r="C66" s="15" t="n">
        <f aca="false">IF($A66&lt;Annahmen!$C$54,0,IF($A66=Annahmen!$C$54,Annahmen!$C$55,C65*(1+Annahmen!$C$56*(1-C65/Annahmen!$C$57))))</f>
        <v>5268.63345536197</v>
      </c>
      <c r="D66" s="17" t="n">
        <f aca="false">C66*Annahmen!$C$58</f>
        <v>52.6863345536197</v>
      </c>
      <c r="E66" s="17" t="n">
        <f aca="false">E65*(1-Annahmen!$C$59)+D66</f>
        <v>283.17065730114</v>
      </c>
      <c r="F66" s="17" t="n">
        <f aca="false">E66*(1-Annahmen!$C$60)</f>
        <v>169.902394380684</v>
      </c>
      <c r="G66" s="17" t="n">
        <f aca="false">E66*Annahmen!$C$60</f>
        <v>113.268262920456</v>
      </c>
      <c r="H66" s="23" t="n">
        <f aca="false">F66*Annahmen!$C$78+G66*Annahmen!$C$79</f>
        <v>1795.39635750833</v>
      </c>
      <c r="I66" s="17" t="n">
        <f aca="false">IF($A66&gt;=Annahmen!$C$54,Annahmen!$C$63*(1-Annahmen!$C$64),0)</f>
        <v>1.2</v>
      </c>
      <c r="J66" s="17" t="n">
        <f aca="false">IF($A66&gt;=Annahmen!$C$54,Annahmen!$C$63*Annahmen!$C$64,0)</f>
        <v>0.8</v>
      </c>
      <c r="K66" s="23" t="n">
        <f aca="false">I66*Annahmen!$B$71+J66*Annahmen!$B$72</f>
        <v>131.98</v>
      </c>
      <c r="L66" s="17" t="n">
        <f aca="false">IF($A66&gt;=Annahmen!$C$54,Annahmen!$C$65,0)</f>
        <v>0.5</v>
      </c>
      <c r="M66" s="23" t="n">
        <f aca="false">L66*Annahmen!$B$73</f>
        <v>74.5</v>
      </c>
      <c r="N66" s="23" t="n">
        <f aca="false">H66+K66+M66</f>
        <v>2001.87635750833</v>
      </c>
      <c r="O66" s="23" t="n">
        <f aca="false">N66/(1+Annahmen!$B$8)</f>
        <v>1682.24903992297</v>
      </c>
      <c r="P66" s="23" t="n">
        <f aca="false">O66*(Annahmen!$C$62*Annahmen!$B$74+(1-Annahmen!$C$62)*Annahmen!$B$75)+(E66*Annahmen!$C$61+E66*(1-Annahmen!$C$61)/12+I66+J66+L66)*(1-Annahmen!$C$62)*Annahmen!$B$76</f>
        <v>161.515722829985</v>
      </c>
      <c r="Q66" s="17" t="n">
        <f aca="false">Annahmen!$C$66</f>
        <v>8</v>
      </c>
      <c r="R66" s="23" t="n">
        <f aca="false">Q66*Annahmen!$B$42</f>
        <v>230.967701791488</v>
      </c>
      <c r="S66" s="23" t="n">
        <f aca="false">I66*Annahmen!$B$43+(J66+L66)*Annahmen!$B$44</f>
        <v>79.1744983854023</v>
      </c>
      <c r="T66" s="23" t="n">
        <f aca="false">C66*Annahmen!$B$77</f>
        <v>52.6863345536197</v>
      </c>
      <c r="U66" s="23" t="n">
        <f aca="false">SUMPRODUCT((((Annahmen!$C$145:$C$155="monatlich")*(Annahmen!$D$145:$D$155&lt;=$A66))+((Annahmen!$C$145:$C$155="einmalig")*(Annahmen!$D$145:$D$155=$A66)))*Annahmen!$B$145:$B$155*Annahmen!$E$145:$E$155)</f>
        <v>69.9850799606897</v>
      </c>
      <c r="V66" s="23" t="n">
        <f aca="false">IF($A66&gt;=Annahmen!$C$54,Annahmen!$C$134,0)</f>
        <v>500</v>
      </c>
      <c r="W66" s="35" t="n">
        <f aca="false">MAX(0,(E66-Annahmen!$B$138)/Annahmen!$B$139)</f>
        <v>0</v>
      </c>
      <c r="X66" s="23" t="n">
        <f aca="false">W66*Annahmen!$B$137</f>
        <v>0</v>
      </c>
      <c r="Y66" s="23" t="n">
        <f aca="false">O66-P66-R66-S66-T66-U66-V66-X66</f>
        <v>587.919702401781</v>
      </c>
      <c r="Z66" s="23" t="n">
        <f aca="false">Z65+Y66</f>
        <v>-5666.60640846586</v>
      </c>
      <c r="AA66" s="7" t="n">
        <f aca="false">IF(Y66&gt;0,1,0)</f>
        <v>1</v>
      </c>
      <c r="AB66" s="7" t="n">
        <f aca="false">IF(Z66&gt;=0,1,0)</f>
        <v>0</v>
      </c>
    </row>
    <row r="67" customFormat="false" ht="15" hidden="false" customHeight="false" outlineLevel="0" collapsed="false">
      <c r="A67" s="7" t="n">
        <v>21</v>
      </c>
      <c r="B67" s="7" t="s">
        <v>370</v>
      </c>
      <c r="C67" s="15" t="n">
        <f aca="false">IF($A67&lt;Annahmen!$C$54,0,IF($A67=Annahmen!$C$54,Annahmen!$C$55,C66*(1+Annahmen!$C$56*(1-C66/Annahmen!$C$57))))</f>
        <v>6038.10959980104</v>
      </c>
      <c r="D67" s="17" t="n">
        <f aca="false">C67*Annahmen!$C$58</f>
        <v>60.3810959980104</v>
      </c>
      <c r="E67" s="17" t="n">
        <f aca="false">E66*(1-Annahmen!$C$59)+D67</f>
        <v>326.561513861082</v>
      </c>
      <c r="F67" s="17" t="n">
        <f aca="false">E67*(1-Annahmen!$C$60)</f>
        <v>195.936908316649</v>
      </c>
      <c r="G67" s="17" t="n">
        <f aca="false">E67*Annahmen!$C$60</f>
        <v>130.624605544433</v>
      </c>
      <c r="H67" s="23" t="n">
        <f aca="false">F67*Annahmen!$C$78+G67*Annahmen!$C$79</f>
        <v>2070.50885171721</v>
      </c>
      <c r="I67" s="17" t="n">
        <f aca="false">IF($A67&gt;=Annahmen!$C$54,Annahmen!$C$63*(1-Annahmen!$C$64),0)</f>
        <v>1.2</v>
      </c>
      <c r="J67" s="17" t="n">
        <f aca="false">IF($A67&gt;=Annahmen!$C$54,Annahmen!$C$63*Annahmen!$C$64,0)</f>
        <v>0.8</v>
      </c>
      <c r="K67" s="23" t="n">
        <f aca="false">I67*Annahmen!$B$71+J67*Annahmen!$B$72</f>
        <v>131.98</v>
      </c>
      <c r="L67" s="17" t="n">
        <f aca="false">IF($A67&gt;=Annahmen!$C$54,Annahmen!$C$65,0)</f>
        <v>0.5</v>
      </c>
      <c r="M67" s="23" t="n">
        <f aca="false">L67*Annahmen!$B$73</f>
        <v>74.5</v>
      </c>
      <c r="N67" s="23" t="n">
        <f aca="false">H67+K67+M67</f>
        <v>2276.98885171721</v>
      </c>
      <c r="O67" s="23" t="n">
        <f aca="false">N67/(1+Annahmen!$B$8)</f>
        <v>1913.4360098464</v>
      </c>
      <c r="P67" s="23" t="n">
        <f aca="false">O67*(Annahmen!$C$62*Annahmen!$B$74+(1-Annahmen!$C$62)*Annahmen!$B$75)+(E67*Annahmen!$C$61+E67*(1-Annahmen!$C$61)/12+I67+J67+L67)*(1-Annahmen!$C$62)*Annahmen!$B$76</f>
        <v>184.02375732633</v>
      </c>
      <c r="Q67" s="17" t="n">
        <f aca="false">Annahmen!$C$66</f>
        <v>8</v>
      </c>
      <c r="R67" s="23" t="n">
        <f aca="false">Q67*Annahmen!$B$42</f>
        <v>230.967701791488</v>
      </c>
      <c r="S67" s="23" t="n">
        <f aca="false">I67*Annahmen!$B$43+(J67+L67)*Annahmen!$B$44</f>
        <v>79.1744983854023</v>
      </c>
      <c r="T67" s="23" t="n">
        <f aca="false">C67*Annahmen!$B$77</f>
        <v>60.3810959980104</v>
      </c>
      <c r="U67" s="23" t="n">
        <f aca="false">SUMPRODUCT((((Annahmen!$C$145:$C$155="monatlich")*(Annahmen!$D$145:$D$155&lt;=$A67))+((Annahmen!$C$145:$C$155="einmalig")*(Annahmen!$D$145:$D$155=$A67)))*Annahmen!$B$145:$B$155*Annahmen!$E$145:$E$155)</f>
        <v>69.9850799606897</v>
      </c>
      <c r="V67" s="23" t="n">
        <f aca="false">IF($A67&gt;=Annahmen!$C$54,Annahmen!$C$134,0)</f>
        <v>500</v>
      </c>
      <c r="W67" s="35" t="n">
        <f aca="false">MAX(0,(E67-Annahmen!$B$138)/Annahmen!$B$139)</f>
        <v>0</v>
      </c>
      <c r="X67" s="23" t="n">
        <f aca="false">W67*Annahmen!$B$137</f>
        <v>0</v>
      </c>
      <c r="Y67" s="23" t="n">
        <f aca="false">O67-P67-R67-S67-T67-U67-V67-X67</f>
        <v>788.903876384478</v>
      </c>
      <c r="Z67" s="23" t="n">
        <f aca="false">Z66+Y67</f>
        <v>-4877.70253208138</v>
      </c>
      <c r="AA67" s="7" t="n">
        <f aca="false">IF(Y67&gt;0,1,0)</f>
        <v>1</v>
      </c>
      <c r="AB67" s="7" t="n">
        <f aca="false">IF(Z67&gt;=0,1,0)</f>
        <v>0</v>
      </c>
    </row>
    <row r="68" customFormat="false" ht="15" hidden="false" customHeight="false" outlineLevel="0" collapsed="false">
      <c r="A68" s="7" t="n">
        <v>22</v>
      </c>
      <c r="B68" s="7" t="s">
        <v>371</v>
      </c>
      <c r="C68" s="15" t="n">
        <f aca="false">IF($A68&lt;Annahmen!$C$54,0,IF($A68=Annahmen!$C$54,Annahmen!$C$55,C67*(1+Annahmen!$C$56*(1-C67/Annahmen!$C$57))))</f>
        <v>6916.48196411679</v>
      </c>
      <c r="D68" s="17" t="n">
        <f aca="false">C68*Annahmen!$C$58</f>
        <v>69.1648196411679</v>
      </c>
      <c r="E68" s="17" t="n">
        <f aca="false">E67*(1-Annahmen!$C$59)+D68</f>
        <v>376.132642670585</v>
      </c>
      <c r="F68" s="17" t="n">
        <f aca="false">E68*(1-Annahmen!$C$60)</f>
        <v>225.679585602351</v>
      </c>
      <c r="G68" s="17" t="n">
        <f aca="false">E68*Annahmen!$C$60</f>
        <v>150.453057068234</v>
      </c>
      <c r="H68" s="23" t="n">
        <f aca="false">F68*Annahmen!$C$78+G68*Annahmen!$C$79</f>
        <v>2384.80633207907</v>
      </c>
      <c r="I68" s="17" t="n">
        <f aca="false">IF($A68&gt;=Annahmen!$C$54,Annahmen!$C$63*(1-Annahmen!$C$64),0)</f>
        <v>1.2</v>
      </c>
      <c r="J68" s="17" t="n">
        <f aca="false">IF($A68&gt;=Annahmen!$C$54,Annahmen!$C$63*Annahmen!$C$64,0)</f>
        <v>0.8</v>
      </c>
      <c r="K68" s="23" t="n">
        <f aca="false">I68*Annahmen!$B$71+J68*Annahmen!$B$72</f>
        <v>131.98</v>
      </c>
      <c r="L68" s="17" t="n">
        <f aca="false">IF($A68&gt;=Annahmen!$C$54,Annahmen!$C$65,0)</f>
        <v>0.5</v>
      </c>
      <c r="M68" s="23" t="n">
        <f aca="false">L68*Annahmen!$B$73</f>
        <v>74.5</v>
      </c>
      <c r="N68" s="23" t="n">
        <f aca="false">H68+K68+M68</f>
        <v>2591.28633207907</v>
      </c>
      <c r="O68" s="23" t="n">
        <f aca="false">N68/(1+Annahmen!$B$8)</f>
        <v>2177.55153956224</v>
      </c>
      <c r="P68" s="23" t="n">
        <f aca="false">O68*(Annahmen!$C$62*Annahmen!$B$74+(1-Annahmen!$C$62)*Annahmen!$B$75)+(E68*Annahmen!$C$61+E68*(1-Annahmen!$C$61)/12+I68+J68+L68)*(1-Annahmen!$C$62)*Annahmen!$B$76</f>
        <v>209.73766955864</v>
      </c>
      <c r="Q68" s="17" t="n">
        <f aca="false">Annahmen!$C$66</f>
        <v>8</v>
      </c>
      <c r="R68" s="23" t="n">
        <f aca="false">Q68*Annahmen!$B$42</f>
        <v>230.967701791488</v>
      </c>
      <c r="S68" s="23" t="n">
        <f aca="false">I68*Annahmen!$B$43+(J68+L68)*Annahmen!$B$44</f>
        <v>79.1744983854023</v>
      </c>
      <c r="T68" s="23" t="n">
        <f aca="false">C68*Annahmen!$B$77</f>
        <v>69.1648196411679</v>
      </c>
      <c r="U68" s="23" t="n">
        <f aca="false">SUMPRODUCT((((Annahmen!$C$145:$C$155="monatlich")*(Annahmen!$D$145:$D$155&lt;=$A68))+((Annahmen!$C$145:$C$155="einmalig")*(Annahmen!$D$145:$D$155=$A68)))*Annahmen!$B$145:$B$155*Annahmen!$E$145:$E$155)</f>
        <v>69.9850799606897</v>
      </c>
      <c r="V68" s="23" t="n">
        <f aca="false">IF($A68&gt;=Annahmen!$C$54,Annahmen!$C$134,0)</f>
        <v>500</v>
      </c>
      <c r="W68" s="35" t="n">
        <f aca="false">MAX(0,(E68-Annahmen!$B$138)/Annahmen!$B$139)</f>
        <v>0</v>
      </c>
      <c r="X68" s="23" t="n">
        <f aca="false">W68*Annahmen!$B$137</f>
        <v>0</v>
      </c>
      <c r="Y68" s="23" t="n">
        <f aca="false">O68-P68-R68-S68-T68-U68-V68-X68</f>
        <v>1018.52177022485</v>
      </c>
      <c r="Z68" s="23" t="n">
        <f aca="false">Z67+Y68</f>
        <v>-3859.18076185653</v>
      </c>
      <c r="AA68" s="7" t="n">
        <f aca="false">IF(Y68&gt;0,1,0)</f>
        <v>1</v>
      </c>
      <c r="AB68" s="7" t="n">
        <f aca="false">IF(Z68&gt;=0,1,0)</f>
        <v>0</v>
      </c>
    </row>
    <row r="69" customFormat="false" ht="15" hidden="false" customHeight="false" outlineLevel="0" collapsed="false">
      <c r="A69" s="7" t="n">
        <v>23</v>
      </c>
      <c r="B69" s="7" t="s">
        <v>372</v>
      </c>
      <c r="C69" s="15" t="n">
        <f aca="false">IF($A69&lt;Annahmen!$C$54,0,IF($A69=Annahmen!$C$54,Annahmen!$C$55,C68*(1+Annahmen!$C$56*(1-C68/Annahmen!$C$57))))</f>
        <v>7918.07596666435</v>
      </c>
      <c r="D69" s="17" t="n">
        <f aca="false">C69*Annahmen!$C$58</f>
        <v>79.1807596666435</v>
      </c>
      <c r="E69" s="17" t="n">
        <f aca="false">E68*(1-Annahmen!$C$59)+D69</f>
        <v>432.745443776994</v>
      </c>
      <c r="F69" s="17" t="n">
        <f aca="false">E69*(1-Annahmen!$C$60)</f>
        <v>259.647266266196</v>
      </c>
      <c r="G69" s="17" t="n">
        <f aca="false">E69*Annahmen!$C$60</f>
        <v>173.098177510797</v>
      </c>
      <c r="H69" s="23" t="n">
        <f aca="false">F69*Annahmen!$C$78+G69*Annahmen!$C$79</f>
        <v>2743.7503620274</v>
      </c>
      <c r="I69" s="17" t="n">
        <f aca="false">IF($A69&gt;=Annahmen!$C$54,Annahmen!$C$63*(1-Annahmen!$C$64),0)</f>
        <v>1.2</v>
      </c>
      <c r="J69" s="17" t="n">
        <f aca="false">IF($A69&gt;=Annahmen!$C$54,Annahmen!$C$63*Annahmen!$C$64,0)</f>
        <v>0.8</v>
      </c>
      <c r="K69" s="23" t="n">
        <f aca="false">I69*Annahmen!$B$71+J69*Annahmen!$B$72</f>
        <v>131.98</v>
      </c>
      <c r="L69" s="17" t="n">
        <f aca="false">IF($A69&gt;=Annahmen!$C$54,Annahmen!$C$65,0)</f>
        <v>0.5</v>
      </c>
      <c r="M69" s="23" t="n">
        <f aca="false">L69*Annahmen!$B$73</f>
        <v>74.5</v>
      </c>
      <c r="N69" s="23" t="n">
        <f aca="false">H69+K69+M69</f>
        <v>2950.2303620274</v>
      </c>
      <c r="O69" s="23" t="n">
        <f aca="false">N69/(1+Annahmen!$B$8)</f>
        <v>2479.18517817428</v>
      </c>
      <c r="P69" s="23" t="n">
        <f aca="false">O69*(Annahmen!$C$62*Annahmen!$B$74+(1-Annahmen!$C$62)*Annahmen!$B$75)+(E69*Annahmen!$C$61+E69*(1-Annahmen!$C$61)/12+I69+J69+L69)*(1-Annahmen!$C$62)*Annahmen!$B$76</f>
        <v>239.10429149839</v>
      </c>
      <c r="Q69" s="17" t="n">
        <f aca="false">Annahmen!$C$66</f>
        <v>8</v>
      </c>
      <c r="R69" s="23" t="n">
        <f aca="false">Q69*Annahmen!$B$42</f>
        <v>230.967701791488</v>
      </c>
      <c r="S69" s="23" t="n">
        <f aca="false">I69*Annahmen!$B$43+(J69+L69)*Annahmen!$B$44</f>
        <v>79.1744983854023</v>
      </c>
      <c r="T69" s="23" t="n">
        <f aca="false">C69*Annahmen!$B$77</f>
        <v>79.1807596666435</v>
      </c>
      <c r="U69" s="23" t="n">
        <f aca="false">SUMPRODUCT((((Annahmen!$C$145:$C$155="monatlich")*(Annahmen!$D$145:$D$155&lt;=$A69))+((Annahmen!$C$145:$C$155="einmalig")*(Annahmen!$D$145:$D$155=$A69)))*Annahmen!$B$145:$B$155*Annahmen!$E$145:$E$155)</f>
        <v>69.9850799606897</v>
      </c>
      <c r="V69" s="23" t="n">
        <f aca="false">IF($A69&gt;=Annahmen!$C$54,Annahmen!$C$134,0)</f>
        <v>500</v>
      </c>
      <c r="W69" s="35" t="n">
        <f aca="false">MAX(0,(E69-Annahmen!$B$138)/Annahmen!$B$139)</f>
        <v>0</v>
      </c>
      <c r="X69" s="23" t="n">
        <f aca="false">W69*Annahmen!$B$137</f>
        <v>0</v>
      </c>
      <c r="Y69" s="23" t="n">
        <f aca="false">O69-P69-R69-S69-T69-U69-V69-X69</f>
        <v>1280.77284687167</v>
      </c>
      <c r="Z69" s="23" t="n">
        <f aca="false">Z68+Y69</f>
        <v>-2578.40791498486</v>
      </c>
      <c r="AA69" s="7" t="n">
        <f aca="false">IF(Y69&gt;0,1,0)</f>
        <v>1</v>
      </c>
      <c r="AB69" s="7" t="n">
        <f aca="false">IF(Z69&gt;=0,1,0)</f>
        <v>0</v>
      </c>
    </row>
    <row r="70" customFormat="false" ht="15" hidden="false" customHeight="false" outlineLevel="0" collapsed="false">
      <c r="A70" s="7" t="n">
        <v>24</v>
      </c>
      <c r="B70" s="7" t="s">
        <v>373</v>
      </c>
      <c r="C70" s="15" t="n">
        <f aca="false">IF($A70&lt;Annahmen!$C$54,0,IF($A70=Annahmen!$C$54,Annahmen!$C$55,C69*(1+Annahmen!$C$56*(1-C69/Annahmen!$C$57))))</f>
        <v>9058.7654164036</v>
      </c>
      <c r="D70" s="17" t="n">
        <f aca="false">C70*Annahmen!$C$58</f>
        <v>90.587654164036</v>
      </c>
      <c r="E70" s="17" t="n">
        <f aca="false">E69*(1-Annahmen!$C$59)+D70</f>
        <v>497.36837131441</v>
      </c>
      <c r="F70" s="17" t="n">
        <f aca="false">E70*(1-Annahmen!$C$60)</f>
        <v>298.421022788646</v>
      </c>
      <c r="G70" s="17" t="n">
        <f aca="false">E70*Annahmen!$C$60</f>
        <v>198.947348525764</v>
      </c>
      <c r="H70" s="23" t="n">
        <f aca="false">F70*Annahmen!$C$78+G70*Annahmen!$C$79</f>
        <v>3153.48126359046</v>
      </c>
      <c r="I70" s="17" t="n">
        <f aca="false">IF($A70&gt;=Annahmen!$C$54,Annahmen!$C$63*(1-Annahmen!$C$64),0)</f>
        <v>1.2</v>
      </c>
      <c r="J70" s="17" t="n">
        <f aca="false">IF($A70&gt;=Annahmen!$C$54,Annahmen!$C$63*Annahmen!$C$64,0)</f>
        <v>0.8</v>
      </c>
      <c r="K70" s="23" t="n">
        <f aca="false">I70*Annahmen!$B$71+J70*Annahmen!$B$72</f>
        <v>131.98</v>
      </c>
      <c r="L70" s="17" t="n">
        <f aca="false">IF($A70&gt;=Annahmen!$C$54,Annahmen!$C$65,0)</f>
        <v>0.5</v>
      </c>
      <c r="M70" s="23" t="n">
        <f aca="false">L70*Annahmen!$B$73</f>
        <v>74.5</v>
      </c>
      <c r="N70" s="23" t="n">
        <f aca="false">H70+K70+M70</f>
        <v>3359.96126359046</v>
      </c>
      <c r="O70" s="23" t="n">
        <f aca="false">N70/(1+Annahmen!$B$8)</f>
        <v>2823.49686016005</v>
      </c>
      <c r="P70" s="23" t="n">
        <f aca="false">O70*(Annahmen!$C$62*Annahmen!$B$74+(1-Annahmen!$C$62)*Annahmen!$B$75)+(E70*Annahmen!$C$61+E70*(1-Annahmen!$C$61)/12+I70+J70+L70)*(1-Annahmen!$C$62)*Annahmen!$B$76</f>
        <v>272.625987025595</v>
      </c>
      <c r="Q70" s="17" t="n">
        <f aca="false">Annahmen!$C$66</f>
        <v>8</v>
      </c>
      <c r="R70" s="23" t="n">
        <f aca="false">Q70*Annahmen!$B$42</f>
        <v>230.967701791488</v>
      </c>
      <c r="S70" s="23" t="n">
        <f aca="false">I70*Annahmen!$B$43+(J70+L70)*Annahmen!$B$44</f>
        <v>79.1744983854023</v>
      </c>
      <c r="T70" s="23" t="n">
        <f aca="false">C70*Annahmen!$B$77</f>
        <v>90.587654164036</v>
      </c>
      <c r="U70" s="23" t="n">
        <f aca="false">SUMPRODUCT((((Annahmen!$C$145:$C$155="monatlich")*(Annahmen!$D$145:$D$155&lt;=$A70))+((Annahmen!$C$145:$C$155="einmalig")*(Annahmen!$D$145:$D$155=$A70)))*Annahmen!$B$145:$B$155*Annahmen!$E$145:$E$155)</f>
        <v>69.9850799606897</v>
      </c>
      <c r="V70" s="23" t="n">
        <f aca="false">IF($A70&gt;=Annahmen!$C$54,Annahmen!$C$134,0)</f>
        <v>500</v>
      </c>
      <c r="W70" s="35" t="n">
        <f aca="false">MAX(0,(E70-Annahmen!$B$138)/Annahmen!$B$139)</f>
        <v>0</v>
      </c>
      <c r="X70" s="23" t="n">
        <f aca="false">W70*Annahmen!$B$137</f>
        <v>0</v>
      </c>
      <c r="Y70" s="23" t="n">
        <f aca="false">O70-P70-R70-S70-T70-U70-V70-X70</f>
        <v>1580.15593883284</v>
      </c>
      <c r="Z70" s="23" t="n">
        <f aca="false">Z69+Y70</f>
        <v>-998.251976152014</v>
      </c>
      <c r="AA70" s="7" t="n">
        <f aca="false">IF(Y70&gt;0,1,0)</f>
        <v>1</v>
      </c>
      <c r="AB70" s="7" t="n">
        <f aca="false">IF(Z70&gt;=0,1,0)</f>
        <v>0</v>
      </c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customFormat="false" ht="15" hidden="false" customHeight="false" outlineLevel="0" collapsed="false">
      <c r="A74" s="5" t="str">
        <f aca="false">"Szenario stark – "&amp;Annahmen!$D$133</f>
        <v>Szenario stark – skalierbares Business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2"/>
      <c r="AB74" s="2"/>
    </row>
    <row r="75" customFormat="false" ht="42" hidden="false" customHeight="true" outlineLevel="0" collapsed="false">
      <c r="A75" s="34" t="s">
        <v>96</v>
      </c>
      <c r="B75" s="34" t="s">
        <v>323</v>
      </c>
      <c r="C75" s="34" t="s">
        <v>324</v>
      </c>
      <c r="D75" s="34" t="s">
        <v>325</v>
      </c>
      <c r="E75" s="34" t="s">
        <v>326</v>
      </c>
      <c r="F75" s="34" t="s">
        <v>327</v>
      </c>
      <c r="G75" s="34" t="s">
        <v>328</v>
      </c>
      <c r="H75" s="34" t="s">
        <v>329</v>
      </c>
      <c r="I75" s="34" t="s">
        <v>330</v>
      </c>
      <c r="J75" s="34" t="s">
        <v>331</v>
      </c>
      <c r="K75" s="34" t="s">
        <v>332</v>
      </c>
      <c r="L75" s="34" t="s">
        <v>333</v>
      </c>
      <c r="M75" s="34" t="s">
        <v>334</v>
      </c>
      <c r="N75" s="34" t="s">
        <v>335</v>
      </c>
      <c r="O75" s="34" t="s">
        <v>336</v>
      </c>
      <c r="P75" s="34" t="s">
        <v>337</v>
      </c>
      <c r="Q75" s="34" t="s">
        <v>338</v>
      </c>
      <c r="R75" s="34" t="s">
        <v>339</v>
      </c>
      <c r="S75" s="34" t="s">
        <v>340</v>
      </c>
      <c r="T75" s="34" t="s">
        <v>341</v>
      </c>
      <c r="U75" s="34" t="s">
        <v>342</v>
      </c>
      <c r="V75" s="34" t="s">
        <v>343</v>
      </c>
      <c r="W75" s="34" t="s">
        <v>344</v>
      </c>
      <c r="X75" s="34" t="s">
        <v>345</v>
      </c>
      <c r="Y75" s="34" t="s">
        <v>346</v>
      </c>
      <c r="Z75" s="34" t="s">
        <v>347</v>
      </c>
      <c r="AA75" s="34" t="s">
        <v>348</v>
      </c>
      <c r="AB75" s="34" t="s">
        <v>349</v>
      </c>
    </row>
    <row r="76" customFormat="false" ht="15" hidden="false" customHeight="false" outlineLevel="0" collapsed="false">
      <c r="A76" s="7" t="n">
        <v>1</v>
      </c>
      <c r="B76" s="7" t="s">
        <v>350</v>
      </c>
      <c r="C76" s="15" t="n">
        <f aca="false">IF($A76&lt;Annahmen!$D$54,0,Annahmen!$D$55)</f>
        <v>0</v>
      </c>
      <c r="D76" s="17" t="n">
        <f aca="false">C76*Annahmen!$D$58</f>
        <v>0</v>
      </c>
      <c r="E76" s="17" t="n">
        <f aca="false">D76</f>
        <v>0</v>
      </c>
      <c r="F76" s="17" t="n">
        <f aca="false">E76*(1-Annahmen!$D$60)</f>
        <v>0</v>
      </c>
      <c r="G76" s="17" t="n">
        <f aca="false">E76*Annahmen!$D$60</f>
        <v>0</v>
      </c>
      <c r="H76" s="23" t="n">
        <f aca="false">F76*Annahmen!$D$78+G76*Annahmen!$D$79</f>
        <v>0</v>
      </c>
      <c r="I76" s="17" t="n">
        <f aca="false">IF($A76&gt;=Annahmen!$D$54,Annahmen!$D$63*(1-Annahmen!$D$64),0)</f>
        <v>0</v>
      </c>
      <c r="J76" s="17" t="n">
        <f aca="false">IF($A76&gt;=Annahmen!$D$54,Annahmen!$D$63*Annahmen!$D$64,0)</f>
        <v>0</v>
      </c>
      <c r="K76" s="23" t="n">
        <f aca="false">I76*Annahmen!$B$71+J76*Annahmen!$B$72</f>
        <v>0</v>
      </c>
      <c r="L76" s="17" t="n">
        <f aca="false">IF($A76&gt;=Annahmen!$D$54,Annahmen!$D$65,0)</f>
        <v>0</v>
      </c>
      <c r="M76" s="23" t="n">
        <f aca="false">L76*Annahmen!$B$73</f>
        <v>0</v>
      </c>
      <c r="N76" s="23" t="n">
        <f aca="false">H76+K76+M76</f>
        <v>0</v>
      </c>
      <c r="O76" s="23" t="n">
        <f aca="false">N76/(1+Annahmen!$B$8)</f>
        <v>0</v>
      </c>
      <c r="P76" s="23" t="n">
        <f aca="false">O76*(Annahmen!$D$62*Annahmen!$B$74+(1-Annahmen!$D$62)*Annahmen!$B$75)+(E76*Annahmen!$D$61+E76*(1-Annahmen!$D$61)/12+I76+J76+L76)*(1-Annahmen!$D$62)*Annahmen!$B$76</f>
        <v>0</v>
      </c>
      <c r="Q76" s="17" t="n">
        <f aca="false">Annahmen!$D$66</f>
        <v>12</v>
      </c>
      <c r="R76" s="23" t="n">
        <f aca="false">Q76*Annahmen!$B$42</f>
        <v>346.451552687232</v>
      </c>
      <c r="S76" s="23" t="n">
        <f aca="false">I76*Annahmen!$B$43+(J76+L76)*Annahmen!$B$44</f>
        <v>0</v>
      </c>
      <c r="T76" s="23" t="n">
        <f aca="false">C76*Annahmen!$B$77</f>
        <v>0</v>
      </c>
      <c r="U76" s="23" t="n">
        <f aca="false">SUMPRODUCT((((Annahmen!$C$145:$C$155="monatlich")*(Annahmen!$D$145:$D$155&lt;=$A76))+((Annahmen!$C$145:$C$155="einmalig")*(Annahmen!$D$145:$D$155=$A76)))*Annahmen!$B$145:$B$155*Annahmen!$E$145:$E$155)</f>
        <v>232.38507996069</v>
      </c>
      <c r="V76" s="23" t="n">
        <f aca="false">IF($A76&gt;=Annahmen!$D$54,Annahmen!$D$134,0)</f>
        <v>0</v>
      </c>
      <c r="W76" s="35" t="n">
        <f aca="false">MAX(0,(E76-Annahmen!$B$138)/Annahmen!$B$139)</f>
        <v>0</v>
      </c>
      <c r="X76" s="23" t="n">
        <f aca="false">W76*Annahmen!$B$137</f>
        <v>0</v>
      </c>
      <c r="Y76" s="23" t="n">
        <f aca="false">O76-P76-R76-S76-T76-U76-V76-X76</f>
        <v>-578.836632647922</v>
      </c>
      <c r="Z76" s="23" t="n">
        <f aca="false">Y76</f>
        <v>-578.836632647922</v>
      </c>
      <c r="AA76" s="7" t="n">
        <f aca="false">IF(Y76&gt;0,1,0)</f>
        <v>0</v>
      </c>
      <c r="AB76" s="7" t="n">
        <f aca="false">IF(Z76&gt;=0,1,0)</f>
        <v>0</v>
      </c>
    </row>
    <row r="77" customFormat="false" ht="15" hidden="false" customHeight="false" outlineLevel="0" collapsed="false">
      <c r="A77" s="7" t="n">
        <v>2</v>
      </c>
      <c r="B77" s="7" t="s">
        <v>351</v>
      </c>
      <c r="C77" s="15" t="n">
        <f aca="false">IF($A77&lt;Annahmen!$D$54,0,IF($A77=Annahmen!$D$54,Annahmen!$D$55,C76*(1+Annahmen!$D$56*(1-C76/Annahmen!$D$57))))</f>
        <v>1000</v>
      </c>
      <c r="D77" s="17" t="n">
        <f aca="false">C77*Annahmen!$D$58</f>
        <v>15</v>
      </c>
      <c r="E77" s="17" t="n">
        <f aca="false">E76*(1-Annahmen!$D$59)+D77</f>
        <v>15</v>
      </c>
      <c r="F77" s="17" t="n">
        <f aca="false">E77*(1-Annahmen!$D$60)</f>
        <v>7.5</v>
      </c>
      <c r="G77" s="17" t="n">
        <f aca="false">E77*Annahmen!$D$60</f>
        <v>7.5</v>
      </c>
      <c r="H77" s="23" t="n">
        <f aca="false">F77*Annahmen!$D$78+G77*Annahmen!$D$79</f>
        <v>96.16875</v>
      </c>
      <c r="I77" s="17" t="n">
        <f aca="false">IF($A77&gt;=Annahmen!$D$54,Annahmen!$D$63*(1-Annahmen!$D$64),0)</f>
        <v>2.5</v>
      </c>
      <c r="J77" s="17" t="n">
        <f aca="false">IF($A77&gt;=Annahmen!$D$54,Annahmen!$D$63*Annahmen!$D$64,0)</f>
        <v>2.5</v>
      </c>
      <c r="K77" s="23" t="n">
        <f aca="false">I77*Annahmen!$B$71+J77*Annahmen!$B$72</f>
        <v>337.45</v>
      </c>
      <c r="L77" s="17" t="n">
        <f aca="false">IF($A77&gt;=Annahmen!$D$54,Annahmen!$D$65,0)</f>
        <v>1</v>
      </c>
      <c r="M77" s="23" t="n">
        <f aca="false">L77*Annahmen!$B$73</f>
        <v>149</v>
      </c>
      <c r="N77" s="23" t="n">
        <f aca="false">H77+K77+M77</f>
        <v>582.61875</v>
      </c>
      <c r="O77" s="23" t="n">
        <f aca="false">N77/(1+Annahmen!$B$8)</f>
        <v>489.595588235294</v>
      </c>
      <c r="P77" s="23" t="n">
        <f aca="false">O77*(Annahmen!$D$62*Annahmen!$B$74+(1-Annahmen!$D$62)*Annahmen!$B$75)+(E77*Annahmen!$D$61+E77*(1-Annahmen!$D$61)/12+I77+J77+L77)*(1-Annahmen!$D$62)*Annahmen!$B$76</f>
        <v>35.9008455882353</v>
      </c>
      <c r="Q77" s="17" t="n">
        <f aca="false">Annahmen!$D$66</f>
        <v>12</v>
      </c>
      <c r="R77" s="23" t="n">
        <f aca="false">Q77*Annahmen!$B$42</f>
        <v>346.451552687232</v>
      </c>
      <c r="S77" s="23" t="n">
        <f aca="false">I77*Annahmen!$B$43+(J77+L77)*Annahmen!$B$44</f>
        <v>190.53822791269</v>
      </c>
      <c r="T77" s="23" t="n">
        <f aca="false">C77*Annahmen!$B$77</f>
        <v>10</v>
      </c>
      <c r="U77" s="23" t="n">
        <f aca="false">SUMPRODUCT((((Annahmen!$C$145:$C$155="monatlich")*(Annahmen!$D$145:$D$155&lt;=$A77))+((Annahmen!$C$145:$C$155="einmalig")*(Annahmen!$D$145:$D$155=$A77)))*Annahmen!$B$145:$B$155*Annahmen!$E$145:$E$155)</f>
        <v>92.3204681497364</v>
      </c>
      <c r="V77" s="23" t="n">
        <f aca="false">IF($A77&gt;=Annahmen!$D$54,Annahmen!$D$134,0)</f>
        <v>2000</v>
      </c>
      <c r="W77" s="35" t="n">
        <f aca="false">MAX(0,(E77-Annahmen!$B$138)/Annahmen!$B$139)</f>
        <v>0</v>
      </c>
      <c r="X77" s="23" t="n">
        <f aca="false">W77*Annahmen!$B$137</f>
        <v>0</v>
      </c>
      <c r="Y77" s="23" t="n">
        <f aca="false">O77-P77-R77-S77-T77-U77-V77-X77</f>
        <v>-2185.6155061026</v>
      </c>
      <c r="Z77" s="23" t="n">
        <f aca="false">Z76+Y77</f>
        <v>-2764.45213875052</v>
      </c>
      <c r="AA77" s="7" t="n">
        <f aca="false">IF(Y77&gt;0,1,0)</f>
        <v>0</v>
      </c>
      <c r="AB77" s="7" t="n">
        <f aca="false">IF(Z77&gt;=0,1,0)</f>
        <v>0</v>
      </c>
    </row>
    <row r="78" customFormat="false" ht="15" hidden="false" customHeight="false" outlineLevel="0" collapsed="false">
      <c r="A78" s="7" t="n">
        <v>3</v>
      </c>
      <c r="B78" s="7" t="s">
        <v>352</v>
      </c>
      <c r="C78" s="15" t="n">
        <f aca="false">IF($A78&lt;Annahmen!$D$54,0,IF($A78=Annahmen!$D$54,Annahmen!$D$55,C77*(1+Annahmen!$D$56*(1-C77/Annahmen!$D$57))))</f>
        <v>1219.56</v>
      </c>
      <c r="D78" s="17" t="n">
        <f aca="false">C78*Annahmen!$D$58</f>
        <v>18.2934</v>
      </c>
      <c r="E78" s="17" t="n">
        <f aca="false">E77*(1-Annahmen!$D$59)+D78</f>
        <v>32.6934</v>
      </c>
      <c r="F78" s="17" t="n">
        <f aca="false">E78*(1-Annahmen!$D$60)</f>
        <v>16.3467</v>
      </c>
      <c r="G78" s="17" t="n">
        <f aca="false">E78*Annahmen!$D$60</f>
        <v>16.3467</v>
      </c>
      <c r="H78" s="23" t="n">
        <f aca="false">F78*Annahmen!$D$78+G78*Annahmen!$D$79</f>
        <v>209.60556075</v>
      </c>
      <c r="I78" s="17" t="n">
        <f aca="false">IF($A78&gt;=Annahmen!$D$54,Annahmen!$D$63*(1-Annahmen!$D$64),0)</f>
        <v>2.5</v>
      </c>
      <c r="J78" s="17" t="n">
        <f aca="false">IF($A78&gt;=Annahmen!$D$54,Annahmen!$D$63*Annahmen!$D$64,0)</f>
        <v>2.5</v>
      </c>
      <c r="K78" s="23" t="n">
        <f aca="false">I78*Annahmen!$B$71+J78*Annahmen!$B$72</f>
        <v>337.45</v>
      </c>
      <c r="L78" s="17" t="n">
        <f aca="false">IF($A78&gt;=Annahmen!$D$54,Annahmen!$D$65,0)</f>
        <v>1</v>
      </c>
      <c r="M78" s="23" t="n">
        <f aca="false">L78*Annahmen!$B$73</f>
        <v>149</v>
      </c>
      <c r="N78" s="23" t="n">
        <f aca="false">H78+K78+M78</f>
        <v>696.05556075</v>
      </c>
      <c r="O78" s="23" t="n">
        <f aca="false">N78/(1+Annahmen!$B$8)</f>
        <v>584.920639285714</v>
      </c>
      <c r="P78" s="23" t="n">
        <f aca="false">O78*(Annahmen!$D$62*Annahmen!$B$74+(1-Annahmen!$D$62)*Annahmen!$B$75)+(E78*Annahmen!$D$61+E78*(1-Annahmen!$D$61)/12+I78+J78+L78)*(1-Annahmen!$D$62)*Annahmen!$B$76</f>
        <v>43.9158628607143</v>
      </c>
      <c r="Q78" s="17" t="n">
        <f aca="false">Annahmen!$D$66</f>
        <v>12</v>
      </c>
      <c r="R78" s="23" t="n">
        <f aca="false">Q78*Annahmen!$B$42</f>
        <v>346.451552687232</v>
      </c>
      <c r="S78" s="23" t="n">
        <f aca="false">I78*Annahmen!$B$43+(J78+L78)*Annahmen!$B$44</f>
        <v>190.53822791269</v>
      </c>
      <c r="T78" s="23" t="n">
        <f aca="false">C78*Annahmen!$B$77</f>
        <v>12.1956</v>
      </c>
      <c r="U78" s="23" t="n">
        <f aca="false">SUMPRODUCT((((Annahmen!$C$145:$C$155="monatlich")*(Annahmen!$D$145:$D$155&lt;=$A78))+((Annahmen!$C$145:$C$155="einmalig")*(Annahmen!$D$145:$D$155=$A78)))*Annahmen!$B$145:$B$155*Annahmen!$E$145:$E$155)</f>
        <v>69.9850799606897</v>
      </c>
      <c r="V78" s="23" t="n">
        <f aca="false">IF($A78&gt;=Annahmen!$D$54,Annahmen!$D$134,0)</f>
        <v>2000</v>
      </c>
      <c r="W78" s="35" t="n">
        <f aca="false">MAX(0,(E78-Annahmen!$B$138)/Annahmen!$B$139)</f>
        <v>0</v>
      </c>
      <c r="X78" s="23" t="n">
        <f aca="false">W78*Annahmen!$B$137</f>
        <v>0</v>
      </c>
      <c r="Y78" s="23" t="n">
        <f aca="false">O78-P78-R78-S78-T78-U78-V78-X78</f>
        <v>-2078.16568413561</v>
      </c>
      <c r="Z78" s="23" t="n">
        <f aca="false">Z77+Y78</f>
        <v>-4842.61782288613</v>
      </c>
      <c r="AA78" s="7" t="n">
        <f aca="false">IF(Y78&gt;0,1,0)</f>
        <v>0</v>
      </c>
      <c r="AB78" s="7" t="n">
        <f aca="false">IF(Z78&gt;=0,1,0)</f>
        <v>0</v>
      </c>
    </row>
    <row r="79" customFormat="false" ht="15" hidden="false" customHeight="false" outlineLevel="0" collapsed="false">
      <c r="A79" s="7" t="n">
        <v>4</v>
      </c>
      <c r="B79" s="7" t="s">
        <v>353</v>
      </c>
      <c r="C79" s="15" t="n">
        <f aca="false">IF($A79&lt;Annahmen!$D$54,0,IF($A79=Annahmen!$D$54,Annahmen!$D$55,C78*(1+Annahmen!$D$56*(1-C78/Annahmen!$D$57))))</f>
        <v>1487.20877629882</v>
      </c>
      <c r="D79" s="17" t="n">
        <f aca="false">C79*Annahmen!$D$58</f>
        <v>22.3081316444822</v>
      </c>
      <c r="E79" s="17" t="n">
        <f aca="false">E78*(1-Annahmen!$D$59)+D79</f>
        <v>53.6937956444822</v>
      </c>
      <c r="F79" s="17" t="n">
        <f aca="false">E79*(1-Annahmen!$D$60)</f>
        <v>26.8468978222411</v>
      </c>
      <c r="G79" s="17" t="n">
        <f aca="false">E79*Annahmen!$D$60</f>
        <v>26.8468978222411</v>
      </c>
      <c r="H79" s="23" t="n">
        <f aca="false">F79*Annahmen!$D$78+G79*Annahmen!$D$79</f>
        <v>344.244347325687</v>
      </c>
      <c r="I79" s="17" t="n">
        <f aca="false">IF($A79&gt;=Annahmen!$D$54,Annahmen!$D$63*(1-Annahmen!$D$64),0)</f>
        <v>2.5</v>
      </c>
      <c r="J79" s="17" t="n">
        <f aca="false">IF($A79&gt;=Annahmen!$D$54,Annahmen!$D$63*Annahmen!$D$64,0)</f>
        <v>2.5</v>
      </c>
      <c r="K79" s="23" t="n">
        <f aca="false">I79*Annahmen!$B$71+J79*Annahmen!$B$72</f>
        <v>337.45</v>
      </c>
      <c r="L79" s="17" t="n">
        <f aca="false">IF($A79&gt;=Annahmen!$D$54,Annahmen!$D$65,0)</f>
        <v>1</v>
      </c>
      <c r="M79" s="23" t="n">
        <f aca="false">L79*Annahmen!$B$73</f>
        <v>149</v>
      </c>
      <c r="N79" s="23" t="n">
        <f aca="false">H79+K79+M79</f>
        <v>830.694347325687</v>
      </c>
      <c r="O79" s="23" t="n">
        <f aca="false">N79/(1+Annahmen!$B$8)</f>
        <v>698.062476744275</v>
      </c>
      <c r="P79" s="23" t="n">
        <f aca="false">O79*(Annahmen!$D$62*Annahmen!$B$74+(1-Annahmen!$D$62)*Annahmen!$B$75)+(E79*Annahmen!$D$61+E79*(1-Annahmen!$D$61)/12+I79+J79+L79)*(1-Annahmen!$D$62)*Annahmen!$B$76</f>
        <v>53.4289317914691</v>
      </c>
      <c r="Q79" s="17" t="n">
        <f aca="false">Annahmen!$D$66</f>
        <v>12</v>
      </c>
      <c r="R79" s="23" t="n">
        <f aca="false">Q79*Annahmen!$B$42</f>
        <v>346.451552687232</v>
      </c>
      <c r="S79" s="23" t="n">
        <f aca="false">I79*Annahmen!$B$43+(J79+L79)*Annahmen!$B$44</f>
        <v>190.53822791269</v>
      </c>
      <c r="T79" s="23" t="n">
        <f aca="false">C79*Annahmen!$B$77</f>
        <v>14.8720877629882</v>
      </c>
      <c r="U79" s="23" t="n">
        <f aca="false">SUMPRODUCT((((Annahmen!$C$145:$C$155="monatlich")*(Annahmen!$D$145:$D$155&lt;=$A79))+((Annahmen!$C$145:$C$155="einmalig")*(Annahmen!$D$145:$D$155=$A79)))*Annahmen!$B$145:$B$155*Annahmen!$E$145:$E$155)</f>
        <v>69.9850799606897</v>
      </c>
      <c r="V79" s="23" t="n">
        <f aca="false">IF($A79&gt;=Annahmen!$D$54,Annahmen!$D$134,0)</f>
        <v>2000</v>
      </c>
      <c r="W79" s="35" t="n">
        <f aca="false">MAX(0,(E79-Annahmen!$B$138)/Annahmen!$B$139)</f>
        <v>0</v>
      </c>
      <c r="X79" s="23" t="n">
        <f aca="false">W79*Annahmen!$B$137</f>
        <v>0</v>
      </c>
      <c r="Y79" s="23" t="n">
        <f aca="false">O79-P79-R79-S79-T79-U79-V79-X79</f>
        <v>-1977.21340337079</v>
      </c>
      <c r="Z79" s="23" t="n">
        <f aca="false">Z78+Y79</f>
        <v>-6819.83122625693</v>
      </c>
      <c r="AA79" s="7" t="n">
        <f aca="false">IF(Y79&gt;0,1,0)</f>
        <v>0</v>
      </c>
      <c r="AB79" s="7" t="n">
        <f aca="false">IF(Z79&gt;=0,1,0)</f>
        <v>0</v>
      </c>
    </row>
    <row r="80" customFormat="false" ht="15" hidden="false" customHeight="false" outlineLevel="0" collapsed="false">
      <c r="A80" s="7" t="n">
        <v>5</v>
      </c>
      <c r="B80" s="7" t="s">
        <v>354</v>
      </c>
      <c r="C80" s="15" t="n">
        <f aca="false">IF($A80&lt;Annahmen!$D$54,0,IF($A80=Annahmen!$D$54,Annahmen!$D$55,C79*(1+Annahmen!$D$56*(1-C79/Annahmen!$D$57))))</f>
        <v>1813.42151950906</v>
      </c>
      <c r="D80" s="17" t="n">
        <f aca="false">C80*Annahmen!$D$58</f>
        <v>27.2013227926359</v>
      </c>
      <c r="E80" s="17" t="n">
        <f aca="false">E79*(1-Annahmen!$D$59)+D80</f>
        <v>78.7473666113389</v>
      </c>
      <c r="F80" s="17" t="n">
        <f aca="false">E80*(1-Annahmen!$D$60)</f>
        <v>39.3736833056694</v>
      </c>
      <c r="G80" s="17" t="n">
        <f aca="false">E80*Annahmen!$D$60</f>
        <v>39.3736833056694</v>
      </c>
      <c r="H80" s="23" t="n">
        <f aca="false">F80*Annahmen!$D$78+G80*Annahmen!$D$79</f>
        <v>504.869054186946</v>
      </c>
      <c r="I80" s="17" t="n">
        <f aca="false">IF($A80&gt;=Annahmen!$D$54,Annahmen!$D$63*(1-Annahmen!$D$64),0)</f>
        <v>2.5</v>
      </c>
      <c r="J80" s="17" t="n">
        <f aca="false">IF($A80&gt;=Annahmen!$D$54,Annahmen!$D$63*Annahmen!$D$64,0)</f>
        <v>2.5</v>
      </c>
      <c r="K80" s="23" t="n">
        <f aca="false">I80*Annahmen!$B$71+J80*Annahmen!$B$72</f>
        <v>337.45</v>
      </c>
      <c r="L80" s="17" t="n">
        <f aca="false">IF($A80&gt;=Annahmen!$D$54,Annahmen!$D$65,0)</f>
        <v>1</v>
      </c>
      <c r="M80" s="23" t="n">
        <f aca="false">L80*Annahmen!$B$73</f>
        <v>149</v>
      </c>
      <c r="N80" s="23" t="n">
        <f aca="false">H80+K80+M80</f>
        <v>991.319054186947</v>
      </c>
      <c r="O80" s="23" t="n">
        <f aca="false">N80/(1+Annahmen!$B$8)</f>
        <v>833.041222005837</v>
      </c>
      <c r="P80" s="23" t="n">
        <f aca="false">O80*(Annahmen!$D$62*Annahmen!$B$74+(1-Annahmen!$D$62)*Annahmen!$B$75)+(E80*Annahmen!$D$61+E80*(1-Annahmen!$D$61)/12+I80+J80+L80)*(1-Annahmen!$D$62)*Annahmen!$B$76</f>
        <v>64.7780678555741</v>
      </c>
      <c r="Q80" s="17" t="n">
        <f aca="false">Annahmen!$D$66</f>
        <v>12</v>
      </c>
      <c r="R80" s="23" t="n">
        <f aca="false">Q80*Annahmen!$B$42</f>
        <v>346.451552687232</v>
      </c>
      <c r="S80" s="23" t="n">
        <f aca="false">I80*Annahmen!$B$43+(J80+L80)*Annahmen!$B$44</f>
        <v>190.53822791269</v>
      </c>
      <c r="T80" s="23" t="n">
        <f aca="false">C80*Annahmen!$B$77</f>
        <v>18.1342151950906</v>
      </c>
      <c r="U80" s="23" t="n">
        <f aca="false">SUMPRODUCT((((Annahmen!$C$145:$C$155="monatlich")*(Annahmen!$D$145:$D$155&lt;=$A80))+((Annahmen!$C$145:$C$155="einmalig")*(Annahmen!$D$145:$D$155=$A80)))*Annahmen!$B$145:$B$155*Annahmen!$E$145:$E$155)</f>
        <v>309.98507996069</v>
      </c>
      <c r="V80" s="23" t="n">
        <f aca="false">IF($A80&gt;=Annahmen!$D$54,Annahmen!$D$134,0)</f>
        <v>2000</v>
      </c>
      <c r="W80" s="35" t="n">
        <f aca="false">MAX(0,(E80-Annahmen!$B$138)/Annahmen!$B$139)</f>
        <v>0</v>
      </c>
      <c r="X80" s="23" t="n">
        <f aca="false">W80*Annahmen!$B$137</f>
        <v>0</v>
      </c>
      <c r="Y80" s="23" t="n">
        <f aca="false">O80-P80-R80-S80-T80-U80-V80-X80</f>
        <v>-2096.84592160544</v>
      </c>
      <c r="Z80" s="23" t="n">
        <f aca="false">Z79+Y80</f>
        <v>-8916.67714786237</v>
      </c>
      <c r="AA80" s="7" t="n">
        <f aca="false">IF(Y80&gt;0,1,0)</f>
        <v>0</v>
      </c>
      <c r="AB80" s="7" t="n">
        <f aca="false">IF(Z80&gt;=0,1,0)</f>
        <v>0</v>
      </c>
    </row>
    <row r="81" customFormat="false" ht="15" hidden="false" customHeight="false" outlineLevel="0" collapsed="false">
      <c r="A81" s="7" t="n">
        <v>6</v>
      </c>
      <c r="B81" s="7" t="s">
        <v>355</v>
      </c>
      <c r="C81" s="15" t="n">
        <f aca="false">IF($A81&lt;Annahmen!$D$54,0,IF($A81=Annahmen!$D$54,Annahmen!$D$55,C80*(1+Annahmen!$D$56*(1-C80/Annahmen!$D$57))))</f>
        <v>2210.92731485379</v>
      </c>
      <c r="D81" s="17" t="n">
        <f aca="false">C81*Annahmen!$D$58</f>
        <v>33.1639097228069</v>
      </c>
      <c r="E81" s="17" t="n">
        <f aca="false">E80*(1-Annahmen!$D$59)+D81</f>
        <v>108.761381669692</v>
      </c>
      <c r="F81" s="17" t="n">
        <f aca="false">E81*(1-Annahmen!$D$60)</f>
        <v>54.3806908348461</v>
      </c>
      <c r="G81" s="17" t="n">
        <f aca="false">E81*Annahmen!$D$60</f>
        <v>54.3806908348461</v>
      </c>
      <c r="H81" s="23" t="n">
        <f aca="false">F81*Annahmen!$D$78+G81*Annahmen!$D$79</f>
        <v>697.296408229814</v>
      </c>
      <c r="I81" s="17" t="n">
        <f aca="false">IF($A81&gt;=Annahmen!$D$54,Annahmen!$D$63*(1-Annahmen!$D$64),0)</f>
        <v>2.5</v>
      </c>
      <c r="J81" s="17" t="n">
        <f aca="false">IF($A81&gt;=Annahmen!$D$54,Annahmen!$D$63*Annahmen!$D$64,0)</f>
        <v>2.5</v>
      </c>
      <c r="K81" s="23" t="n">
        <f aca="false">I81*Annahmen!$B$71+J81*Annahmen!$B$72</f>
        <v>337.45</v>
      </c>
      <c r="L81" s="17" t="n">
        <f aca="false">IF($A81&gt;=Annahmen!$D$54,Annahmen!$D$65,0)</f>
        <v>1</v>
      </c>
      <c r="M81" s="23" t="n">
        <f aca="false">L81*Annahmen!$B$73</f>
        <v>149</v>
      </c>
      <c r="N81" s="23" t="n">
        <f aca="false">H81+K81+M81</f>
        <v>1183.74640822981</v>
      </c>
      <c r="O81" s="23" t="n">
        <f aca="false">N81/(1+Annahmen!$B$8)</f>
        <v>994.74488086539</v>
      </c>
      <c r="P81" s="23" t="n">
        <f aca="false">O81*(Annahmen!$D$62*Annahmen!$B$74+(1-Annahmen!$D$62)*Annahmen!$B$75)+(E81*Annahmen!$D$61+E81*(1-Annahmen!$D$61)/12+I81+J81+L81)*(1-Annahmen!$D$62)*Annahmen!$B$76</f>
        <v>78.3742590403744</v>
      </c>
      <c r="Q81" s="17" t="n">
        <f aca="false">Annahmen!$D$66</f>
        <v>12</v>
      </c>
      <c r="R81" s="23" t="n">
        <f aca="false">Q81*Annahmen!$B$42</f>
        <v>346.451552687232</v>
      </c>
      <c r="S81" s="23" t="n">
        <f aca="false">I81*Annahmen!$B$43+(J81+L81)*Annahmen!$B$44</f>
        <v>190.53822791269</v>
      </c>
      <c r="T81" s="23" t="n">
        <f aca="false">C81*Annahmen!$B$77</f>
        <v>22.1092731485379</v>
      </c>
      <c r="U81" s="23" t="n">
        <f aca="false">SUMPRODUCT((((Annahmen!$C$145:$C$155="monatlich")*(Annahmen!$D$145:$D$155&lt;=$A81))+((Annahmen!$C$145:$C$155="einmalig")*(Annahmen!$D$145:$D$155=$A81)))*Annahmen!$B$145:$B$155*Annahmen!$E$145:$E$155)</f>
        <v>69.9850799606897</v>
      </c>
      <c r="V81" s="23" t="n">
        <f aca="false">IF($A81&gt;=Annahmen!$D$54,Annahmen!$D$134,0)</f>
        <v>2000</v>
      </c>
      <c r="W81" s="35" t="n">
        <f aca="false">MAX(0,(E81-Annahmen!$B$138)/Annahmen!$B$139)</f>
        <v>0</v>
      </c>
      <c r="X81" s="23" t="n">
        <f aca="false">W81*Annahmen!$B$137</f>
        <v>0</v>
      </c>
      <c r="Y81" s="23" t="n">
        <f aca="false">O81-P81-R81-S81-T81-U81-V81-X81</f>
        <v>-1712.71351188413</v>
      </c>
      <c r="Z81" s="23" t="n">
        <f aca="false">Z80+Y81</f>
        <v>-10629.3906597465</v>
      </c>
      <c r="AA81" s="7" t="n">
        <f aca="false">IF(Y81&gt;0,1,0)</f>
        <v>0</v>
      </c>
      <c r="AB81" s="7" t="n">
        <f aca="false">IF(Z81&gt;=0,1,0)</f>
        <v>0</v>
      </c>
    </row>
    <row r="82" customFormat="false" ht="15" hidden="false" customHeight="false" outlineLevel="0" collapsed="false">
      <c r="A82" s="7" t="n">
        <v>7</v>
      </c>
      <c r="B82" s="7" t="s">
        <v>356</v>
      </c>
      <c r="C82" s="15" t="n">
        <f aca="false">IF($A82&lt;Annahmen!$D$54,0,IF($A82=Annahmen!$D$54,Annahmen!$D$55,C81*(1+Annahmen!$D$56*(1-C81/Annahmen!$D$57))))</f>
        <v>2695.18051630134</v>
      </c>
      <c r="D82" s="17" t="n">
        <f aca="false">C82*Annahmen!$D$58</f>
        <v>40.4277077445201</v>
      </c>
      <c r="E82" s="17" t="n">
        <f aca="false">E81*(1-Annahmen!$D$59)+D82</f>
        <v>144.838634147425</v>
      </c>
      <c r="F82" s="17" t="n">
        <f aca="false">E82*(1-Annahmen!$D$60)</f>
        <v>72.4193170737123</v>
      </c>
      <c r="G82" s="17" t="n">
        <f aca="false">E82*Annahmen!$D$60</f>
        <v>72.4193170737123</v>
      </c>
      <c r="H82" s="23" t="n">
        <f aca="false">F82*Annahmen!$D$78+G82*Annahmen!$D$79</f>
        <v>928.596693177676</v>
      </c>
      <c r="I82" s="17" t="n">
        <f aca="false">IF($A82&gt;=Annahmen!$D$54,Annahmen!$D$63*(1-Annahmen!$D$64),0)</f>
        <v>2.5</v>
      </c>
      <c r="J82" s="17" t="n">
        <f aca="false">IF($A82&gt;=Annahmen!$D$54,Annahmen!$D$63*Annahmen!$D$64,0)</f>
        <v>2.5</v>
      </c>
      <c r="K82" s="23" t="n">
        <f aca="false">I82*Annahmen!$B$71+J82*Annahmen!$B$72</f>
        <v>337.45</v>
      </c>
      <c r="L82" s="17" t="n">
        <f aca="false">IF($A82&gt;=Annahmen!$D$54,Annahmen!$D$65,0)</f>
        <v>1</v>
      </c>
      <c r="M82" s="23" t="n">
        <f aca="false">L82*Annahmen!$B$73</f>
        <v>149</v>
      </c>
      <c r="N82" s="23" t="n">
        <f aca="false">H82+K82+M82</f>
        <v>1415.04669317768</v>
      </c>
      <c r="O82" s="23" t="n">
        <f aca="false">N82/(1+Annahmen!$B$8)</f>
        <v>1189.11486821653</v>
      </c>
      <c r="P82" s="23" t="n">
        <f aca="false">O82*(Annahmen!$D$62*Annahmen!$B$74+(1-Annahmen!$D$62)*Annahmen!$B$75)+(E82*Annahmen!$D$61+E82*(1-Annahmen!$D$61)/12+I82+J82+L82)*(1-Annahmen!$D$62)*Annahmen!$B$76</f>
        <v>94.7170649314191</v>
      </c>
      <c r="Q82" s="17" t="n">
        <f aca="false">Annahmen!$D$66</f>
        <v>12</v>
      </c>
      <c r="R82" s="23" t="n">
        <f aca="false">Q82*Annahmen!$B$42</f>
        <v>346.451552687232</v>
      </c>
      <c r="S82" s="23" t="n">
        <f aca="false">I82*Annahmen!$B$43+(J82+L82)*Annahmen!$B$44</f>
        <v>190.53822791269</v>
      </c>
      <c r="T82" s="23" t="n">
        <f aca="false">C82*Annahmen!$B$77</f>
        <v>26.9518051630134</v>
      </c>
      <c r="U82" s="23" t="n">
        <f aca="false">SUMPRODUCT((((Annahmen!$C$145:$C$155="monatlich")*(Annahmen!$D$145:$D$155&lt;=$A82))+((Annahmen!$C$145:$C$155="einmalig")*(Annahmen!$D$145:$D$155=$A82)))*Annahmen!$B$145:$B$155*Annahmen!$E$145:$E$155)</f>
        <v>69.9850799606897</v>
      </c>
      <c r="V82" s="23" t="n">
        <f aca="false">IF($A82&gt;=Annahmen!$D$54,Annahmen!$D$134,0)</f>
        <v>2000</v>
      </c>
      <c r="W82" s="35" t="n">
        <f aca="false">MAX(0,(E82-Annahmen!$B$138)/Annahmen!$B$139)</f>
        <v>0</v>
      </c>
      <c r="X82" s="23" t="n">
        <f aca="false">W82*Annahmen!$B$137</f>
        <v>0</v>
      </c>
      <c r="Y82" s="23" t="n">
        <f aca="false">O82-P82-R82-S82-T82-U82-V82-X82</f>
        <v>-1539.52886243851</v>
      </c>
      <c r="Z82" s="23" t="n">
        <f aca="false">Z81+Y82</f>
        <v>-12168.919522185</v>
      </c>
      <c r="AA82" s="7" t="n">
        <f aca="false">IF(Y82&gt;0,1,0)</f>
        <v>0</v>
      </c>
      <c r="AB82" s="7" t="n">
        <f aca="false">IF(Z82&gt;=0,1,0)</f>
        <v>0</v>
      </c>
    </row>
    <row r="83" customFormat="false" ht="15" hidden="false" customHeight="false" outlineLevel="0" collapsed="false">
      <c r="A83" s="7" t="n">
        <v>8</v>
      </c>
      <c r="B83" s="7" t="s">
        <v>357</v>
      </c>
      <c r="C83" s="15" t="n">
        <f aca="false">IF($A83&lt;Annahmen!$D$54,0,IF($A83=Annahmen!$D$54,Annahmen!$D$55,C82*(1+Annahmen!$D$56*(1-C82/Annahmen!$D$57))))</f>
        <v>3284.92407076083</v>
      </c>
      <c r="D83" s="17" t="n">
        <f aca="false">C83*Annahmen!$D$58</f>
        <v>49.2738610614125</v>
      </c>
      <c r="E83" s="17" t="n">
        <f aca="false">E82*(1-Annahmen!$D$59)+D83</f>
        <v>188.31894984294</v>
      </c>
      <c r="F83" s="17" t="n">
        <f aca="false">E83*(1-Annahmen!$D$60)</f>
        <v>94.1594749214701</v>
      </c>
      <c r="G83" s="17" t="n">
        <f aca="false">E83*Annahmen!$D$60</f>
        <v>94.1594749214701</v>
      </c>
      <c r="H83" s="23" t="n">
        <f aca="false">F83*Annahmen!$D$78+G83*Annahmen!$D$79</f>
        <v>1207.35986718055</v>
      </c>
      <c r="I83" s="17" t="n">
        <f aca="false">IF($A83&gt;=Annahmen!$D$54,Annahmen!$D$63*(1-Annahmen!$D$64),0)</f>
        <v>2.5</v>
      </c>
      <c r="J83" s="17" t="n">
        <f aca="false">IF($A83&gt;=Annahmen!$D$54,Annahmen!$D$63*Annahmen!$D$64,0)</f>
        <v>2.5</v>
      </c>
      <c r="K83" s="23" t="n">
        <f aca="false">I83*Annahmen!$B$71+J83*Annahmen!$B$72</f>
        <v>337.45</v>
      </c>
      <c r="L83" s="17" t="n">
        <f aca="false">IF($A83&gt;=Annahmen!$D$54,Annahmen!$D$65,0)</f>
        <v>1</v>
      </c>
      <c r="M83" s="23" t="n">
        <f aca="false">L83*Annahmen!$B$73</f>
        <v>149</v>
      </c>
      <c r="N83" s="23" t="n">
        <f aca="false">H83+K83+M83</f>
        <v>1693.80986718055</v>
      </c>
      <c r="O83" s="23" t="n">
        <f aca="false">N83/(1+Annahmen!$B$8)</f>
        <v>1423.36963628618</v>
      </c>
      <c r="P83" s="23" t="n">
        <f aca="false">O83*(Annahmen!$D$62*Annahmen!$B$74+(1-Annahmen!$D$62)*Annahmen!$B$75)+(E83*Annahmen!$D$61+E83*(1-Annahmen!$D$61)/12+I83+J83+L83)*(1-Annahmen!$D$62)*Annahmen!$B$76</f>
        <v>114.413419578485</v>
      </c>
      <c r="Q83" s="17" t="n">
        <f aca="false">Annahmen!$D$66</f>
        <v>12</v>
      </c>
      <c r="R83" s="23" t="n">
        <f aca="false">Q83*Annahmen!$B$42</f>
        <v>346.451552687232</v>
      </c>
      <c r="S83" s="23" t="n">
        <f aca="false">I83*Annahmen!$B$43+(J83+L83)*Annahmen!$B$44</f>
        <v>190.53822791269</v>
      </c>
      <c r="T83" s="23" t="n">
        <f aca="false">C83*Annahmen!$B$77</f>
        <v>32.8492407076083</v>
      </c>
      <c r="U83" s="23" t="n">
        <f aca="false">SUMPRODUCT((((Annahmen!$C$145:$C$155="monatlich")*(Annahmen!$D$145:$D$155&lt;=$A83))+((Annahmen!$C$145:$C$155="einmalig")*(Annahmen!$D$145:$D$155=$A83)))*Annahmen!$B$145:$B$155*Annahmen!$E$145:$E$155)</f>
        <v>69.9850799606897</v>
      </c>
      <c r="V83" s="23" t="n">
        <f aca="false">IF($A83&gt;=Annahmen!$D$54,Annahmen!$D$134,0)</f>
        <v>2000</v>
      </c>
      <c r="W83" s="35" t="n">
        <f aca="false">MAX(0,(E83-Annahmen!$B$138)/Annahmen!$B$139)</f>
        <v>0</v>
      </c>
      <c r="X83" s="23" t="n">
        <f aca="false">W83*Annahmen!$B$137</f>
        <v>0</v>
      </c>
      <c r="Y83" s="23" t="n">
        <f aca="false">O83-P83-R83-S83-T83-U83-V83-X83</f>
        <v>-1330.86788456053</v>
      </c>
      <c r="Z83" s="23" t="n">
        <f aca="false">Z82+Y83</f>
        <v>-13499.7874067455</v>
      </c>
      <c r="AA83" s="7" t="n">
        <f aca="false">IF(Y83&gt;0,1,0)</f>
        <v>0</v>
      </c>
      <c r="AB83" s="7" t="n">
        <f aca="false">IF(Z83&gt;=0,1,0)</f>
        <v>0</v>
      </c>
    </row>
    <row r="84" customFormat="false" ht="15" hidden="false" customHeight="false" outlineLevel="0" collapsed="false">
      <c r="A84" s="7" t="n">
        <v>9</v>
      </c>
      <c r="B84" s="7" t="s">
        <v>358</v>
      </c>
      <c r="C84" s="15" t="n">
        <f aca="false">IF($A84&lt;Annahmen!$D$54,0,IF($A84=Annahmen!$D$54,Annahmen!$D$55,C83*(1+Annahmen!$D$56*(1-C83/Annahmen!$D$57))))</f>
        <v>4002.85944682193</v>
      </c>
      <c r="D84" s="17" t="n">
        <f aca="false">C84*Annahmen!$D$58</f>
        <v>60.0428917023289</v>
      </c>
      <c r="E84" s="17" t="n">
        <f aca="false">E83*(1-Annahmen!$D$59)+D84</f>
        <v>240.829083551551</v>
      </c>
      <c r="F84" s="17" t="n">
        <f aca="false">E84*(1-Annahmen!$D$60)</f>
        <v>120.414541775776</v>
      </c>
      <c r="G84" s="17" t="n">
        <f aca="false">E84*Annahmen!$D$60</f>
        <v>120.414541775776</v>
      </c>
      <c r="H84" s="23" t="n">
        <f aca="false">F84*Annahmen!$D$78+G84*Annahmen!$D$79</f>
        <v>1544.01546191988</v>
      </c>
      <c r="I84" s="17" t="n">
        <f aca="false">IF($A84&gt;=Annahmen!$D$54,Annahmen!$D$63*(1-Annahmen!$D$64),0)</f>
        <v>2.5</v>
      </c>
      <c r="J84" s="17" t="n">
        <f aca="false">IF($A84&gt;=Annahmen!$D$54,Annahmen!$D$63*Annahmen!$D$64,0)</f>
        <v>2.5</v>
      </c>
      <c r="K84" s="23" t="n">
        <f aca="false">I84*Annahmen!$B$71+J84*Annahmen!$B$72</f>
        <v>337.45</v>
      </c>
      <c r="L84" s="17" t="n">
        <f aca="false">IF($A84&gt;=Annahmen!$D$54,Annahmen!$D$65,0)</f>
        <v>1</v>
      </c>
      <c r="M84" s="23" t="n">
        <f aca="false">L84*Annahmen!$B$73</f>
        <v>149</v>
      </c>
      <c r="N84" s="23" t="n">
        <f aca="false">H84+K84+M84</f>
        <v>2030.46546191988</v>
      </c>
      <c r="O84" s="23" t="n">
        <f aca="false">N84/(1+Annahmen!$B$8)</f>
        <v>1706.27349741167</v>
      </c>
      <c r="P84" s="23" t="n">
        <f aca="false">O84*(Annahmen!$D$62*Annahmen!$B$74+(1-Annahmen!$D$62)*Annahmen!$B$75)+(E84*Annahmen!$D$61+E84*(1-Annahmen!$D$61)/12+I84+J84+L84)*(1-Annahmen!$D$62)*Annahmen!$B$76</f>
        <v>138.200234359969</v>
      </c>
      <c r="Q84" s="17" t="n">
        <f aca="false">Annahmen!$D$66</f>
        <v>12</v>
      </c>
      <c r="R84" s="23" t="n">
        <f aca="false">Q84*Annahmen!$B$42</f>
        <v>346.451552687232</v>
      </c>
      <c r="S84" s="23" t="n">
        <f aca="false">I84*Annahmen!$B$43+(J84+L84)*Annahmen!$B$44</f>
        <v>190.53822791269</v>
      </c>
      <c r="T84" s="23" t="n">
        <f aca="false">C84*Annahmen!$B$77</f>
        <v>40.0285944682193</v>
      </c>
      <c r="U84" s="23" t="n">
        <f aca="false">SUMPRODUCT((((Annahmen!$C$145:$C$155="monatlich")*(Annahmen!$D$145:$D$155&lt;=$A84))+((Annahmen!$C$145:$C$155="einmalig")*(Annahmen!$D$145:$D$155=$A84)))*Annahmen!$B$145:$B$155*Annahmen!$E$145:$E$155)</f>
        <v>69.9850799606897</v>
      </c>
      <c r="V84" s="23" t="n">
        <f aca="false">IF($A84&gt;=Annahmen!$D$54,Annahmen!$D$134,0)</f>
        <v>2000</v>
      </c>
      <c r="W84" s="35" t="n">
        <f aca="false">MAX(0,(E84-Annahmen!$B$138)/Annahmen!$B$139)</f>
        <v>0</v>
      </c>
      <c r="X84" s="23" t="n">
        <f aca="false">W84*Annahmen!$B$137</f>
        <v>0</v>
      </c>
      <c r="Y84" s="23" t="n">
        <f aca="false">O84-P84-R84-S84-T84-U84-V84-X84</f>
        <v>-1078.93019197713</v>
      </c>
      <c r="Z84" s="23" t="n">
        <f aca="false">Z83+Y84</f>
        <v>-14578.7175987227</v>
      </c>
      <c r="AA84" s="7" t="n">
        <f aca="false">IF(Y84&gt;0,1,0)</f>
        <v>0</v>
      </c>
      <c r="AB84" s="7" t="n">
        <f aca="false">IF(Z84&gt;=0,1,0)</f>
        <v>0</v>
      </c>
    </row>
    <row r="85" customFormat="false" ht="15" hidden="false" customHeight="false" outlineLevel="0" collapsed="false">
      <c r="A85" s="7" t="n">
        <v>10</v>
      </c>
      <c r="B85" s="7" t="s">
        <v>359</v>
      </c>
      <c r="C85" s="15" t="n">
        <f aca="false">IF($A85&lt;Annahmen!$D$54,0,IF($A85=Annahmen!$D$54,Annahmen!$D$55,C84*(1+Annahmen!$D$56*(1-C84/Annahmen!$D$57))))</f>
        <v>4876.4384562723</v>
      </c>
      <c r="D85" s="17" t="n">
        <f aca="false">C85*Annahmen!$D$58</f>
        <v>73.1465768440846</v>
      </c>
      <c r="E85" s="17" t="n">
        <f aca="false">E84*(1-Annahmen!$D$59)+D85</f>
        <v>304.342497053574</v>
      </c>
      <c r="F85" s="17" t="n">
        <f aca="false">E85*(1-Annahmen!$D$60)</f>
        <v>152.171248526787</v>
      </c>
      <c r="G85" s="17" t="n">
        <f aca="false">E85*Annahmen!$D$60</f>
        <v>152.171248526787</v>
      </c>
      <c r="H85" s="23" t="n">
        <f aca="false">F85*Annahmen!$D$78+G85*Annahmen!$D$79</f>
        <v>1951.21583423473</v>
      </c>
      <c r="I85" s="17" t="n">
        <f aca="false">IF($A85&gt;=Annahmen!$D$54,Annahmen!$D$63*(1-Annahmen!$D$64),0)</f>
        <v>2.5</v>
      </c>
      <c r="J85" s="17" t="n">
        <f aca="false">IF($A85&gt;=Annahmen!$D$54,Annahmen!$D$63*Annahmen!$D$64,0)</f>
        <v>2.5</v>
      </c>
      <c r="K85" s="23" t="n">
        <f aca="false">I85*Annahmen!$B$71+J85*Annahmen!$B$72</f>
        <v>337.45</v>
      </c>
      <c r="L85" s="17" t="n">
        <f aca="false">IF($A85&gt;=Annahmen!$D$54,Annahmen!$D$65,0)</f>
        <v>1</v>
      </c>
      <c r="M85" s="23" t="n">
        <f aca="false">L85*Annahmen!$B$73</f>
        <v>149</v>
      </c>
      <c r="N85" s="23" t="n">
        <f aca="false">H85+K85+M85</f>
        <v>2437.66583423473</v>
      </c>
      <c r="O85" s="23" t="n">
        <f aca="false">N85/(1+Annahmen!$B$8)</f>
        <v>2048.45868423086</v>
      </c>
      <c r="P85" s="23" t="n">
        <f aca="false">O85*(Annahmen!$D$62*Annahmen!$B$74+(1-Annahmen!$D$62)*Annahmen!$B$75)+(E85*Annahmen!$D$61+E85*(1-Annahmen!$D$61)/12+I85+J85+L85)*(1-Annahmen!$D$62)*Annahmen!$B$76</f>
        <v>166.971477097532</v>
      </c>
      <c r="Q85" s="17" t="n">
        <f aca="false">Annahmen!$D$66</f>
        <v>12</v>
      </c>
      <c r="R85" s="23" t="n">
        <f aca="false">Q85*Annahmen!$B$42</f>
        <v>346.451552687232</v>
      </c>
      <c r="S85" s="23" t="n">
        <f aca="false">I85*Annahmen!$B$43+(J85+L85)*Annahmen!$B$44</f>
        <v>190.53822791269</v>
      </c>
      <c r="T85" s="23" t="n">
        <f aca="false">C85*Annahmen!$B$77</f>
        <v>48.764384562723</v>
      </c>
      <c r="U85" s="23" t="n">
        <f aca="false">SUMPRODUCT((((Annahmen!$C$145:$C$155="monatlich")*(Annahmen!$D$145:$D$155&lt;=$A85))+((Annahmen!$C$145:$C$155="einmalig")*(Annahmen!$D$145:$D$155=$A85)))*Annahmen!$B$145:$B$155*Annahmen!$E$145:$E$155)</f>
        <v>69.9850799606897</v>
      </c>
      <c r="V85" s="23" t="n">
        <f aca="false">IF($A85&gt;=Annahmen!$D$54,Annahmen!$D$134,0)</f>
        <v>2000</v>
      </c>
      <c r="W85" s="35" t="n">
        <f aca="false">MAX(0,(E85-Annahmen!$B$138)/Annahmen!$B$139)</f>
        <v>0</v>
      </c>
      <c r="X85" s="23" t="n">
        <f aca="false">W85*Annahmen!$B$137</f>
        <v>0</v>
      </c>
      <c r="Y85" s="23" t="n">
        <f aca="false">O85-P85-R85-S85-T85-U85-V85-X85</f>
        <v>-774.252037990005</v>
      </c>
      <c r="Z85" s="23" t="n">
        <f aca="false">Z84+Y85</f>
        <v>-15352.9696367127</v>
      </c>
      <c r="AA85" s="7" t="n">
        <f aca="false">IF(Y85&gt;0,1,0)</f>
        <v>0</v>
      </c>
      <c r="AB85" s="7" t="n">
        <f aca="false">IF(Z85&gt;=0,1,0)</f>
        <v>0</v>
      </c>
    </row>
    <row r="86" customFormat="false" ht="15" hidden="false" customHeight="false" outlineLevel="0" collapsed="false">
      <c r="A86" s="7" t="n">
        <v>11</v>
      </c>
      <c r="B86" s="7" t="s">
        <v>360</v>
      </c>
      <c r="C86" s="15" t="n">
        <f aca="false">IF($A86&lt;Annahmen!$D$54,0,IF($A86=Annahmen!$D$54,Annahmen!$D$55,C85*(1+Annahmen!$D$56*(1-C85/Annahmen!$D$57))))</f>
        <v>5938.79186976437</v>
      </c>
      <c r="D86" s="17" t="n">
        <f aca="false">C86*Annahmen!$D$58</f>
        <v>89.0818780464656</v>
      </c>
      <c r="E86" s="17" t="n">
        <f aca="false">E85*(1-Annahmen!$D$59)+D86</f>
        <v>381.250675217897</v>
      </c>
      <c r="F86" s="17" t="n">
        <f aca="false">E86*(1-Annahmen!$D$60)</f>
        <v>190.625337608948</v>
      </c>
      <c r="G86" s="17" t="n">
        <f aca="false">E86*Annahmen!$D$60</f>
        <v>190.625337608948</v>
      </c>
      <c r="H86" s="23" t="n">
        <f aca="false">F86*Annahmen!$D$78+G86*Annahmen!$D$79</f>
        <v>2444.29339149074</v>
      </c>
      <c r="I86" s="17" t="n">
        <f aca="false">IF($A86&gt;=Annahmen!$D$54,Annahmen!$D$63*(1-Annahmen!$D$64),0)</f>
        <v>2.5</v>
      </c>
      <c r="J86" s="17" t="n">
        <f aca="false">IF($A86&gt;=Annahmen!$D$54,Annahmen!$D$63*Annahmen!$D$64,0)</f>
        <v>2.5</v>
      </c>
      <c r="K86" s="23" t="n">
        <f aca="false">I86*Annahmen!$B$71+J86*Annahmen!$B$72</f>
        <v>337.45</v>
      </c>
      <c r="L86" s="17" t="n">
        <f aca="false">IF($A86&gt;=Annahmen!$D$54,Annahmen!$D$65,0)</f>
        <v>1</v>
      </c>
      <c r="M86" s="23" t="n">
        <f aca="false">L86*Annahmen!$B$73</f>
        <v>149</v>
      </c>
      <c r="N86" s="23" t="n">
        <f aca="false">H86+K86+M86</f>
        <v>2930.74339149074</v>
      </c>
      <c r="O86" s="23" t="n">
        <f aca="false">N86/(1+Annahmen!$B$8)</f>
        <v>2462.80957268129</v>
      </c>
      <c r="P86" s="23" t="n">
        <f aca="false">O86*(Annahmen!$D$62*Annahmen!$B$74+(1-Annahmen!$D$62)*Annahmen!$B$75)+(E86*Annahmen!$D$61+E86*(1-Annahmen!$D$61)/12+I86+J86+L86)*(1-Annahmen!$D$62)*Annahmen!$B$76</f>
        <v>201.810477876463</v>
      </c>
      <c r="Q86" s="17" t="n">
        <f aca="false">Annahmen!$D$66</f>
        <v>12</v>
      </c>
      <c r="R86" s="23" t="n">
        <f aca="false">Q86*Annahmen!$B$42</f>
        <v>346.451552687232</v>
      </c>
      <c r="S86" s="23" t="n">
        <f aca="false">I86*Annahmen!$B$43+(J86+L86)*Annahmen!$B$44</f>
        <v>190.53822791269</v>
      </c>
      <c r="T86" s="23" t="n">
        <f aca="false">C86*Annahmen!$B$77</f>
        <v>59.3879186976437</v>
      </c>
      <c r="U86" s="23" t="n">
        <f aca="false">SUMPRODUCT((((Annahmen!$C$145:$C$155="monatlich")*(Annahmen!$D$145:$D$155&lt;=$A86))+((Annahmen!$C$145:$C$155="einmalig")*(Annahmen!$D$145:$D$155=$A86)))*Annahmen!$B$145:$B$155*Annahmen!$E$145:$E$155)</f>
        <v>69.9850799606897</v>
      </c>
      <c r="V86" s="23" t="n">
        <f aca="false">IF($A86&gt;=Annahmen!$D$54,Annahmen!$D$134,0)</f>
        <v>2000</v>
      </c>
      <c r="W86" s="35" t="n">
        <f aca="false">MAX(0,(E86-Annahmen!$B$138)/Annahmen!$B$139)</f>
        <v>0</v>
      </c>
      <c r="X86" s="23" t="n">
        <f aca="false">W86*Annahmen!$B$137</f>
        <v>0</v>
      </c>
      <c r="Y86" s="23" t="n">
        <f aca="false">O86-P86-R86-S86-T86-U86-V86-X86</f>
        <v>-405.363684453426</v>
      </c>
      <c r="Z86" s="23" t="n">
        <f aca="false">Z85+Y86</f>
        <v>-15758.3333211661</v>
      </c>
      <c r="AA86" s="7" t="n">
        <f aca="false">IF(Y86&gt;0,1,0)</f>
        <v>0</v>
      </c>
      <c r="AB86" s="7" t="n">
        <f aca="false">IF(Z86&gt;=0,1,0)</f>
        <v>0</v>
      </c>
    </row>
    <row r="87" customFormat="false" ht="15" hidden="false" customHeight="false" outlineLevel="0" collapsed="false">
      <c r="A87" s="7" t="n">
        <v>12</v>
      </c>
      <c r="B87" s="7" t="s">
        <v>361</v>
      </c>
      <c r="C87" s="15" t="n">
        <f aca="false">IF($A87&lt;Annahmen!$D$54,0,IF($A87=Annahmen!$D$54,Annahmen!$D$55,C86*(1+Annahmen!$D$56*(1-C86/Annahmen!$D$57))))</f>
        <v>7229.80761160869</v>
      </c>
      <c r="D87" s="17" t="n">
        <f aca="false">C87*Annahmen!$D$58</f>
        <v>108.44711417413</v>
      </c>
      <c r="E87" s="17" t="n">
        <f aca="false">E86*(1-Annahmen!$D$59)+D87</f>
        <v>474.447762383311</v>
      </c>
      <c r="F87" s="17" t="n">
        <f aca="false">E87*(1-Annahmen!$D$60)</f>
        <v>237.223881191656</v>
      </c>
      <c r="G87" s="17" t="n">
        <f aca="false">E87*Annahmen!$D$60</f>
        <v>237.223881191656</v>
      </c>
      <c r="H87" s="23" t="n">
        <f aca="false">F87*Annahmen!$D$78+G87*Annahmen!$D$79</f>
        <v>3041.80321658</v>
      </c>
      <c r="I87" s="17" t="n">
        <f aca="false">IF($A87&gt;=Annahmen!$D$54,Annahmen!$D$63*(1-Annahmen!$D$64),0)</f>
        <v>2.5</v>
      </c>
      <c r="J87" s="17" t="n">
        <f aca="false">IF($A87&gt;=Annahmen!$D$54,Annahmen!$D$63*Annahmen!$D$64,0)</f>
        <v>2.5</v>
      </c>
      <c r="K87" s="23" t="n">
        <f aca="false">I87*Annahmen!$B$71+J87*Annahmen!$B$72</f>
        <v>337.45</v>
      </c>
      <c r="L87" s="17" t="n">
        <f aca="false">IF($A87&gt;=Annahmen!$D$54,Annahmen!$D$65,0)</f>
        <v>1</v>
      </c>
      <c r="M87" s="23" t="n">
        <f aca="false">L87*Annahmen!$B$73</f>
        <v>149</v>
      </c>
      <c r="N87" s="23" t="n">
        <f aca="false">H87+K87+M87</f>
        <v>3528.25321658</v>
      </c>
      <c r="O87" s="23" t="n">
        <f aca="false">N87/(1+Annahmen!$B$8)</f>
        <v>2964.91866939496</v>
      </c>
      <c r="P87" s="23" t="n">
        <f aca="false">O87*(Annahmen!$D$62*Annahmen!$B$74+(1-Annahmen!$D$62)*Annahmen!$B$75)+(E87*Annahmen!$D$61+E87*(1-Annahmen!$D$61)/12+I87+J87+L87)*(1-Annahmen!$D$62)*Annahmen!$B$76</f>
        <v>244.028268881896</v>
      </c>
      <c r="Q87" s="17" t="n">
        <f aca="false">Annahmen!$D$66</f>
        <v>12</v>
      </c>
      <c r="R87" s="23" t="n">
        <f aca="false">Q87*Annahmen!$B$42</f>
        <v>346.451552687232</v>
      </c>
      <c r="S87" s="23" t="n">
        <f aca="false">I87*Annahmen!$B$43+(J87+L87)*Annahmen!$B$44</f>
        <v>190.53822791269</v>
      </c>
      <c r="T87" s="23" t="n">
        <f aca="false">C87*Annahmen!$B$77</f>
        <v>72.2980761160869</v>
      </c>
      <c r="U87" s="23" t="n">
        <f aca="false">SUMPRODUCT((((Annahmen!$C$145:$C$155="monatlich")*(Annahmen!$D$145:$D$155&lt;=$A87))+((Annahmen!$C$145:$C$155="einmalig")*(Annahmen!$D$145:$D$155=$A87)))*Annahmen!$B$145:$B$155*Annahmen!$E$145:$E$155)</f>
        <v>69.9850799606897</v>
      </c>
      <c r="V87" s="23" t="n">
        <f aca="false">IF($A87&gt;=Annahmen!$D$54,Annahmen!$D$134,0)</f>
        <v>2000</v>
      </c>
      <c r="W87" s="35" t="n">
        <f aca="false">MAX(0,(E87-Annahmen!$B$138)/Annahmen!$B$139)</f>
        <v>0</v>
      </c>
      <c r="X87" s="23" t="n">
        <f aca="false">W87*Annahmen!$B$137</f>
        <v>0</v>
      </c>
      <c r="Y87" s="23" t="n">
        <f aca="false">O87-P87-R87-S87-T87-U87-V87-X87</f>
        <v>41.617463836365</v>
      </c>
      <c r="Z87" s="23" t="n">
        <f aca="false">Z86+Y87</f>
        <v>-15716.7158573297</v>
      </c>
      <c r="AA87" s="7" t="n">
        <f aca="false">IF(Y87&gt;0,1,0)</f>
        <v>1</v>
      </c>
      <c r="AB87" s="7" t="n">
        <f aca="false">IF(Z87&gt;=0,1,0)</f>
        <v>0</v>
      </c>
    </row>
    <row r="88" customFormat="false" ht="15" hidden="false" customHeight="false" outlineLevel="0" collapsed="false">
      <c r="A88" s="7" t="n">
        <v>13</v>
      </c>
      <c r="B88" s="7" t="s">
        <v>362</v>
      </c>
      <c r="C88" s="15" t="n">
        <f aca="false">IF($A88&lt;Annahmen!$D$54,0,IF($A88=Annahmen!$D$54,Annahmen!$D$55,C87*(1+Annahmen!$D$56*(1-C87/Annahmen!$D$57))))</f>
        <v>8797.36643419822</v>
      </c>
      <c r="D88" s="17" t="n">
        <f aca="false">C88*Annahmen!$D$58</f>
        <v>131.960496512973</v>
      </c>
      <c r="E88" s="17" t="n">
        <f aca="false">E87*(1-Annahmen!$D$59)+D88</f>
        <v>587.430348400952</v>
      </c>
      <c r="F88" s="17" t="n">
        <f aca="false">E88*(1-Annahmen!$D$60)</f>
        <v>293.715174200476</v>
      </c>
      <c r="G88" s="17" t="n">
        <f aca="false">E88*Annahmen!$D$60</f>
        <v>293.715174200476</v>
      </c>
      <c r="H88" s="23" t="n">
        <f aca="false">F88*Annahmen!$D$78+G88*Annahmen!$D$79</f>
        <v>3766.1628211856</v>
      </c>
      <c r="I88" s="17" t="n">
        <f aca="false">IF($A88&gt;=Annahmen!$D$54,Annahmen!$D$63*(1-Annahmen!$D$64),0)</f>
        <v>2.5</v>
      </c>
      <c r="J88" s="17" t="n">
        <f aca="false">IF($A88&gt;=Annahmen!$D$54,Annahmen!$D$63*Annahmen!$D$64,0)</f>
        <v>2.5</v>
      </c>
      <c r="K88" s="23" t="n">
        <f aca="false">I88*Annahmen!$B$71+J88*Annahmen!$B$72</f>
        <v>337.45</v>
      </c>
      <c r="L88" s="17" t="n">
        <f aca="false">IF($A88&gt;=Annahmen!$D$54,Annahmen!$D$65,0)</f>
        <v>1</v>
      </c>
      <c r="M88" s="23" t="n">
        <f aca="false">L88*Annahmen!$B$73</f>
        <v>149</v>
      </c>
      <c r="N88" s="23" t="n">
        <f aca="false">H88+K88+M88</f>
        <v>4252.6128211856</v>
      </c>
      <c r="O88" s="23" t="n">
        <f aca="false">N88/(1+Annahmen!$B$8)</f>
        <v>3573.6242194837</v>
      </c>
      <c r="P88" s="23" t="n">
        <f aca="false">O88*(Annahmen!$D$62*Annahmen!$B$74+(1-Annahmen!$D$62)*Annahmen!$B$75)+(E88*Annahmen!$D$61+E88*(1-Annahmen!$D$61)/12+I88+J88+L88)*(1-Annahmen!$D$62)*Annahmen!$B$76</f>
        <v>295.208786951953</v>
      </c>
      <c r="Q88" s="17" t="n">
        <f aca="false">Annahmen!$D$66</f>
        <v>12</v>
      </c>
      <c r="R88" s="23" t="n">
        <f aca="false">Q88*Annahmen!$B$42</f>
        <v>346.451552687232</v>
      </c>
      <c r="S88" s="23" t="n">
        <f aca="false">I88*Annahmen!$B$43+(J88+L88)*Annahmen!$B$44</f>
        <v>190.53822791269</v>
      </c>
      <c r="T88" s="23" t="n">
        <f aca="false">C88*Annahmen!$B$77</f>
        <v>87.9736643419822</v>
      </c>
      <c r="U88" s="23" t="n">
        <f aca="false">SUMPRODUCT((((Annahmen!$C$145:$C$155="monatlich")*(Annahmen!$D$145:$D$155&lt;=$A88))+((Annahmen!$C$145:$C$155="einmalig")*(Annahmen!$D$145:$D$155=$A88)))*Annahmen!$B$145:$B$155*Annahmen!$E$145:$E$155)</f>
        <v>69.9850799606897</v>
      </c>
      <c r="V88" s="23" t="n">
        <f aca="false">IF($A88&gt;=Annahmen!$D$54,Annahmen!$D$134,0)</f>
        <v>2000</v>
      </c>
      <c r="W88" s="35" t="n">
        <f aca="false">MAX(0,(E88-Annahmen!$B$138)/Annahmen!$B$139)</f>
        <v>0</v>
      </c>
      <c r="X88" s="23" t="n">
        <f aca="false">W88*Annahmen!$B$137</f>
        <v>0</v>
      </c>
      <c r="Y88" s="23" t="n">
        <f aca="false">O88-P88-R88-S88-T88-U88-V88-X88</f>
        <v>583.466907629152</v>
      </c>
      <c r="Z88" s="23" t="n">
        <f aca="false">Z87+Y88</f>
        <v>-15133.2489497006</v>
      </c>
      <c r="AA88" s="7" t="n">
        <f aca="false">IF(Y88&gt;0,1,0)</f>
        <v>1</v>
      </c>
      <c r="AB88" s="7" t="n">
        <f aca="false">IF(Z88&gt;=0,1,0)</f>
        <v>0</v>
      </c>
    </row>
    <row r="89" customFormat="false" ht="15" hidden="false" customHeight="false" outlineLevel="0" collapsed="false">
      <c r="A89" s="7" t="n">
        <v>14</v>
      </c>
      <c r="B89" s="7" t="s">
        <v>363</v>
      </c>
      <c r="C89" s="15" t="n">
        <f aca="false">IF($A89&lt;Annahmen!$D$54,0,IF($A89=Annahmen!$D$54,Annahmen!$D$55,C88*(1+Annahmen!$D$56*(1-C88/Annahmen!$D$57))))</f>
        <v>10698.7338410037</v>
      </c>
      <c r="D89" s="17" t="n">
        <f aca="false">C89*Annahmen!$D$58</f>
        <v>160.481007615055</v>
      </c>
      <c r="E89" s="17" t="n">
        <f aca="false">E88*(1-Annahmen!$D$59)+D89</f>
        <v>724.414142079969</v>
      </c>
      <c r="F89" s="17" t="n">
        <f aca="false">E89*(1-Annahmen!$D$60)</f>
        <v>362.207071039985</v>
      </c>
      <c r="G89" s="17" t="n">
        <f aca="false">E89*Annahmen!$D$60</f>
        <v>362.207071039985</v>
      </c>
      <c r="H89" s="23" t="n">
        <f aca="false">F89*Annahmen!$D$78+G89*Annahmen!$D$79</f>
        <v>4644.4001684102</v>
      </c>
      <c r="I89" s="17" t="n">
        <f aca="false">IF($A89&gt;=Annahmen!$D$54,Annahmen!$D$63*(1-Annahmen!$D$64),0)</f>
        <v>2.5</v>
      </c>
      <c r="J89" s="17" t="n">
        <f aca="false">IF($A89&gt;=Annahmen!$D$54,Annahmen!$D$63*Annahmen!$D$64,0)</f>
        <v>2.5</v>
      </c>
      <c r="K89" s="23" t="n">
        <f aca="false">I89*Annahmen!$B$71+J89*Annahmen!$B$72</f>
        <v>337.45</v>
      </c>
      <c r="L89" s="17" t="n">
        <f aca="false">IF($A89&gt;=Annahmen!$D$54,Annahmen!$D$65,0)</f>
        <v>1</v>
      </c>
      <c r="M89" s="23" t="n">
        <f aca="false">L89*Annahmen!$B$73</f>
        <v>149</v>
      </c>
      <c r="N89" s="23" t="n">
        <f aca="false">H89+K89+M89</f>
        <v>5130.8501684102</v>
      </c>
      <c r="O89" s="23" t="n">
        <f aca="false">N89/(1+Annahmen!$B$8)</f>
        <v>4311.63879698336</v>
      </c>
      <c r="P89" s="23" t="n">
        <f aca="false">O89*(Annahmen!$D$62*Annahmen!$B$74+(1-Annahmen!$D$62)*Annahmen!$B$75)+(E89*Annahmen!$D$61+E89*(1-Annahmen!$D$61)/12+I89+J89+L89)*(1-Annahmen!$D$62)*Annahmen!$B$76</f>
        <v>357.26172603585</v>
      </c>
      <c r="Q89" s="17" t="n">
        <f aca="false">Annahmen!$D$66</f>
        <v>12</v>
      </c>
      <c r="R89" s="23" t="n">
        <f aca="false">Q89*Annahmen!$B$42</f>
        <v>346.451552687232</v>
      </c>
      <c r="S89" s="23" t="n">
        <f aca="false">I89*Annahmen!$B$43+(J89+L89)*Annahmen!$B$44</f>
        <v>190.53822791269</v>
      </c>
      <c r="T89" s="23" t="n">
        <f aca="false">C89*Annahmen!$B$77</f>
        <v>106.987338410037</v>
      </c>
      <c r="U89" s="23" t="n">
        <f aca="false">SUMPRODUCT((((Annahmen!$C$145:$C$155="monatlich")*(Annahmen!$D$145:$D$155&lt;=$A89))+((Annahmen!$C$145:$C$155="einmalig")*(Annahmen!$D$145:$D$155=$A89)))*Annahmen!$B$145:$B$155*Annahmen!$E$145:$E$155)</f>
        <v>69.9850799606897</v>
      </c>
      <c r="V89" s="23" t="n">
        <f aca="false">IF($A89&gt;=Annahmen!$D$54,Annahmen!$D$134,0)</f>
        <v>2000</v>
      </c>
      <c r="W89" s="35" t="n">
        <f aca="false">MAX(0,(E89-Annahmen!$B$138)/Annahmen!$B$139)</f>
        <v>0</v>
      </c>
      <c r="X89" s="23" t="n">
        <f aca="false">W89*Annahmen!$B$137</f>
        <v>0</v>
      </c>
      <c r="Y89" s="23" t="n">
        <f aca="false">O89-P89-R89-S89-T89-U89-V89-X89</f>
        <v>1240.41487197687</v>
      </c>
      <c r="Z89" s="23" t="n">
        <f aca="false">Z88+Y89</f>
        <v>-13892.8340777237</v>
      </c>
      <c r="AA89" s="7" t="n">
        <f aca="false">IF(Y89&gt;0,1,0)</f>
        <v>1</v>
      </c>
      <c r="AB89" s="7" t="n">
        <f aca="false">IF(Z89&gt;=0,1,0)</f>
        <v>0</v>
      </c>
    </row>
    <row r="90" customFormat="false" ht="15" hidden="false" customHeight="false" outlineLevel="0" collapsed="false">
      <c r="A90" s="7" t="n">
        <v>15</v>
      </c>
      <c r="B90" s="7" t="s">
        <v>364</v>
      </c>
      <c r="C90" s="15" t="n">
        <f aca="false">IF($A90&lt;Annahmen!$D$54,0,IF($A90=Annahmen!$D$54,Annahmen!$D$55,C89*(1+Annahmen!$D$56*(1-C89/Annahmen!$D$57))))</f>
        <v>13002.0916074722</v>
      </c>
      <c r="D90" s="17" t="n">
        <f aca="false">C90*Annahmen!$D$58</f>
        <v>195.031374112083</v>
      </c>
      <c r="E90" s="17" t="n">
        <f aca="false">E89*(1-Annahmen!$D$59)+D90</f>
        <v>890.468950508854</v>
      </c>
      <c r="F90" s="17" t="n">
        <f aca="false">E90*(1-Annahmen!$D$60)</f>
        <v>445.234475254427</v>
      </c>
      <c r="G90" s="17" t="n">
        <f aca="false">E90*Annahmen!$D$60</f>
        <v>445.234475254427</v>
      </c>
      <c r="H90" s="23" t="n">
        <f aca="false">F90*Annahmen!$D$78+G90*Annahmen!$D$79</f>
        <v>5709.01905894989</v>
      </c>
      <c r="I90" s="17" t="n">
        <f aca="false">IF($A90&gt;=Annahmen!$D$54,Annahmen!$D$63*(1-Annahmen!$D$64),0)</f>
        <v>2.5</v>
      </c>
      <c r="J90" s="17" t="n">
        <f aca="false">IF($A90&gt;=Annahmen!$D$54,Annahmen!$D$63*Annahmen!$D$64,0)</f>
        <v>2.5</v>
      </c>
      <c r="K90" s="23" t="n">
        <f aca="false">I90*Annahmen!$B$71+J90*Annahmen!$B$72</f>
        <v>337.45</v>
      </c>
      <c r="L90" s="17" t="n">
        <f aca="false">IF($A90&gt;=Annahmen!$D$54,Annahmen!$D$65,0)</f>
        <v>1</v>
      </c>
      <c r="M90" s="23" t="n">
        <f aca="false">L90*Annahmen!$B$73</f>
        <v>149</v>
      </c>
      <c r="N90" s="23" t="n">
        <f aca="false">H90+K90+M90</f>
        <v>6195.46905894989</v>
      </c>
      <c r="O90" s="23" t="n">
        <f aca="false">N90/(1+Annahmen!$B$8)</f>
        <v>5206.27652012596</v>
      </c>
      <c r="P90" s="23" t="n">
        <f aca="false">O90*(Annahmen!$D$62*Annahmen!$B$74+(1-Annahmen!$D$62)*Annahmen!$B$75)+(E90*Annahmen!$D$61+E90*(1-Annahmen!$D$61)/12+I90+J90+L90)*(1-Annahmen!$D$62)*Annahmen!$B$76</f>
        <v>432.483682117535</v>
      </c>
      <c r="Q90" s="17" t="n">
        <f aca="false">Annahmen!$D$66</f>
        <v>12</v>
      </c>
      <c r="R90" s="23" t="n">
        <f aca="false">Q90*Annahmen!$B$42</f>
        <v>346.451552687232</v>
      </c>
      <c r="S90" s="23" t="n">
        <f aca="false">I90*Annahmen!$B$43+(J90+L90)*Annahmen!$B$44</f>
        <v>190.53822791269</v>
      </c>
      <c r="T90" s="23" t="n">
        <f aca="false">C90*Annahmen!$B$77</f>
        <v>130.020916074722</v>
      </c>
      <c r="U90" s="23" t="n">
        <f aca="false">SUMPRODUCT((((Annahmen!$C$145:$C$155="monatlich")*(Annahmen!$D$145:$D$155&lt;=$A90))+((Annahmen!$C$145:$C$155="einmalig")*(Annahmen!$D$145:$D$155=$A90)))*Annahmen!$B$145:$B$155*Annahmen!$E$145:$E$155)</f>
        <v>69.9850799606897</v>
      </c>
      <c r="V90" s="23" t="n">
        <f aca="false">IF($A90&gt;=Annahmen!$D$54,Annahmen!$D$134,0)</f>
        <v>2000</v>
      </c>
      <c r="W90" s="35" t="n">
        <f aca="false">MAX(0,(E90-Annahmen!$B$138)/Annahmen!$B$139)</f>
        <v>0</v>
      </c>
      <c r="X90" s="23" t="n">
        <f aca="false">W90*Annahmen!$B$137</f>
        <v>0</v>
      </c>
      <c r="Y90" s="23" t="n">
        <f aca="false">O90-P90-R90-S90-T90-U90-V90-X90</f>
        <v>2036.79706137309</v>
      </c>
      <c r="Z90" s="23" t="n">
        <f aca="false">Z89+Y90</f>
        <v>-11856.0370163506</v>
      </c>
      <c r="AA90" s="7" t="n">
        <f aca="false">IF(Y90&gt;0,1,0)</f>
        <v>1</v>
      </c>
      <c r="AB90" s="7" t="n">
        <f aca="false">IF(Z90&gt;=0,1,0)</f>
        <v>0</v>
      </c>
    </row>
    <row r="91" customFormat="false" ht="15" hidden="false" customHeight="false" outlineLevel="0" collapsed="false">
      <c r="A91" s="7" t="n">
        <v>16</v>
      </c>
      <c r="B91" s="7" t="s">
        <v>365</v>
      </c>
      <c r="C91" s="15" t="n">
        <f aca="false">IF($A91&lt;Annahmen!$D$54,0,IF($A91=Annahmen!$D$54,Annahmen!$D$55,C90*(1+Annahmen!$D$56*(1-C90/Annahmen!$D$57))))</f>
        <v>15788.1678312017</v>
      </c>
      <c r="D91" s="17" t="n">
        <f aca="false">C91*Annahmen!$D$58</f>
        <v>236.822517468026</v>
      </c>
      <c r="E91" s="17" t="n">
        <f aca="false">E90*(1-Annahmen!$D$59)+D91</f>
        <v>1091.67270995653</v>
      </c>
      <c r="F91" s="17" t="n">
        <f aca="false">E91*(1-Annahmen!$D$60)</f>
        <v>545.836354978263</v>
      </c>
      <c r="G91" s="17" t="n">
        <f aca="false">E91*Annahmen!$D$60</f>
        <v>545.836354978263</v>
      </c>
      <c r="H91" s="23" t="n">
        <f aca="false">F91*Annahmen!$D$78+G91*Annahmen!$D$79</f>
        <v>6998.98666170877</v>
      </c>
      <c r="I91" s="17" t="n">
        <f aca="false">IF($A91&gt;=Annahmen!$D$54,Annahmen!$D$63*(1-Annahmen!$D$64),0)</f>
        <v>2.5</v>
      </c>
      <c r="J91" s="17" t="n">
        <f aca="false">IF($A91&gt;=Annahmen!$D$54,Annahmen!$D$63*Annahmen!$D$64,0)</f>
        <v>2.5</v>
      </c>
      <c r="K91" s="23" t="n">
        <f aca="false">I91*Annahmen!$B$71+J91*Annahmen!$B$72</f>
        <v>337.45</v>
      </c>
      <c r="L91" s="17" t="n">
        <f aca="false">IF($A91&gt;=Annahmen!$D$54,Annahmen!$D$65,0)</f>
        <v>1</v>
      </c>
      <c r="M91" s="23" t="n">
        <f aca="false">L91*Annahmen!$B$73</f>
        <v>149</v>
      </c>
      <c r="N91" s="23" t="n">
        <f aca="false">H91+K91+M91</f>
        <v>7485.43666170877</v>
      </c>
      <c r="O91" s="23" t="n">
        <f aca="false">N91/(1+Annahmen!$B$8)</f>
        <v>6290.28290899897</v>
      </c>
      <c r="P91" s="23" t="n">
        <f aca="false">O91*(Annahmen!$D$62*Annahmen!$B$74+(1-Annahmen!$D$62)*Annahmen!$B$75)+(E91*Annahmen!$D$61+E91*(1-Annahmen!$D$61)/12+I91+J91+L91)*(1-Annahmen!$D$62)*Annahmen!$B$76</f>
        <v>523.627928404897</v>
      </c>
      <c r="Q91" s="17" t="n">
        <f aca="false">Annahmen!$D$66</f>
        <v>12</v>
      </c>
      <c r="R91" s="23" t="n">
        <f aca="false">Q91*Annahmen!$B$42</f>
        <v>346.451552687232</v>
      </c>
      <c r="S91" s="23" t="n">
        <f aca="false">I91*Annahmen!$B$43+(J91+L91)*Annahmen!$B$44</f>
        <v>190.53822791269</v>
      </c>
      <c r="T91" s="23" t="n">
        <f aca="false">C91*Annahmen!$B$77</f>
        <v>157.881678312017</v>
      </c>
      <c r="U91" s="23" t="n">
        <f aca="false">SUMPRODUCT((((Annahmen!$C$145:$C$155="monatlich")*(Annahmen!$D$145:$D$155&lt;=$A91))+((Annahmen!$C$145:$C$155="einmalig")*(Annahmen!$D$145:$D$155=$A91)))*Annahmen!$B$145:$B$155*Annahmen!$E$145:$E$155)</f>
        <v>69.9850799606897</v>
      </c>
      <c r="V91" s="23" t="n">
        <f aca="false">IF($A91&gt;=Annahmen!$D$54,Annahmen!$D$134,0)</f>
        <v>2000</v>
      </c>
      <c r="W91" s="35" t="n">
        <f aca="false">MAX(0,(E91-Annahmen!$B$138)/Annahmen!$B$139)</f>
        <v>0.0305575699855084</v>
      </c>
      <c r="X91" s="23" t="n">
        <f aca="false">W91*Annahmen!$B$137</f>
        <v>137.509064934788</v>
      </c>
      <c r="Y91" s="23" t="n">
        <f aca="false">O91-P91-R91-S91-T91-U91-V91-X91</f>
        <v>2864.28937678666</v>
      </c>
      <c r="Z91" s="23" t="n">
        <f aca="false">Z90+Y91</f>
        <v>-8991.74763956398</v>
      </c>
      <c r="AA91" s="7" t="n">
        <f aca="false">IF(Y91&gt;0,1,0)</f>
        <v>1</v>
      </c>
      <c r="AB91" s="7" t="n">
        <f aca="false">IF(Z91&gt;=0,1,0)</f>
        <v>0</v>
      </c>
    </row>
    <row r="92" customFormat="false" ht="15" hidden="false" customHeight="false" outlineLevel="0" collapsed="false">
      <c r="A92" s="7" t="n">
        <v>17</v>
      </c>
      <c r="B92" s="7" t="s">
        <v>366</v>
      </c>
      <c r="C92" s="15" t="n">
        <f aca="false">IF($A92&lt;Annahmen!$D$54,0,IF($A92=Annahmen!$D$54,Annahmen!$D$55,C91*(1+Annahmen!$D$56*(1-C91/Annahmen!$D$57))))</f>
        <v>19151.887606941</v>
      </c>
      <c r="D92" s="17" t="n">
        <f aca="false">C92*Annahmen!$D$58</f>
        <v>287.278314104115</v>
      </c>
      <c r="E92" s="17" t="n">
        <f aca="false">E91*(1-Annahmen!$D$59)+D92</f>
        <v>1335.28411566238</v>
      </c>
      <c r="F92" s="17" t="n">
        <f aca="false">E92*(1-Annahmen!$D$60)</f>
        <v>667.642057831189</v>
      </c>
      <c r="G92" s="17" t="n">
        <f aca="false">E92*Annahmen!$D$60</f>
        <v>667.642057831189</v>
      </c>
      <c r="H92" s="23" t="n">
        <f aca="false">F92*Annahmen!$D$78+G92*Annahmen!$D$79</f>
        <v>8560.84028654043</v>
      </c>
      <c r="I92" s="17" t="n">
        <f aca="false">IF($A92&gt;=Annahmen!$D$54,Annahmen!$D$63*(1-Annahmen!$D$64),0)</f>
        <v>2.5</v>
      </c>
      <c r="J92" s="17" t="n">
        <f aca="false">IF($A92&gt;=Annahmen!$D$54,Annahmen!$D$63*Annahmen!$D$64,0)</f>
        <v>2.5</v>
      </c>
      <c r="K92" s="23" t="n">
        <f aca="false">I92*Annahmen!$B$71+J92*Annahmen!$B$72</f>
        <v>337.45</v>
      </c>
      <c r="L92" s="17" t="n">
        <f aca="false">IF($A92&gt;=Annahmen!$D$54,Annahmen!$D$65,0)</f>
        <v>1</v>
      </c>
      <c r="M92" s="23" t="n">
        <f aca="false">L92*Annahmen!$B$73</f>
        <v>149</v>
      </c>
      <c r="N92" s="23" t="n">
        <f aca="false">H92+K92+M92</f>
        <v>9047.29028654043</v>
      </c>
      <c r="O92" s="23" t="n">
        <f aca="false">N92/(1+Annahmen!$B$8)</f>
        <v>7602.76494667263</v>
      </c>
      <c r="P92" s="23" t="n">
        <f aca="false">O92*(Annahmen!$D$62*Annahmen!$B$74+(1-Annahmen!$D$62)*Annahmen!$B$75)+(E92*Annahmen!$D$61+E92*(1-Annahmen!$D$61)/12+I92+J92+L92)*(1-Annahmen!$D$62)*Annahmen!$B$76</f>
        <v>633.98261571798</v>
      </c>
      <c r="Q92" s="17" t="n">
        <f aca="false">Annahmen!$D$66</f>
        <v>12</v>
      </c>
      <c r="R92" s="23" t="n">
        <f aca="false">Q92*Annahmen!$B$42</f>
        <v>346.451552687232</v>
      </c>
      <c r="S92" s="23" t="n">
        <f aca="false">I92*Annahmen!$B$43+(J92+L92)*Annahmen!$B$44</f>
        <v>190.53822791269</v>
      </c>
      <c r="T92" s="23" t="n">
        <f aca="false">C92*Annahmen!$B$77</f>
        <v>191.51887606941</v>
      </c>
      <c r="U92" s="23" t="n">
        <f aca="false">SUMPRODUCT((((Annahmen!$C$145:$C$155="monatlich")*(Annahmen!$D$145:$D$155&lt;=$A92))+((Annahmen!$C$145:$C$155="einmalig")*(Annahmen!$D$145:$D$155=$A92)))*Annahmen!$B$145:$B$155*Annahmen!$E$145:$E$155)</f>
        <v>69.9850799606897</v>
      </c>
      <c r="V92" s="23" t="n">
        <f aca="false">IF($A92&gt;=Annahmen!$D$54,Annahmen!$D$134,0)</f>
        <v>2000</v>
      </c>
      <c r="W92" s="35" t="n">
        <f aca="false">MAX(0,(E92-Annahmen!$B$138)/Annahmen!$B$139)</f>
        <v>0.11176137188746</v>
      </c>
      <c r="X92" s="23" t="n">
        <f aca="false">W92*Annahmen!$B$137</f>
        <v>502.926173493568</v>
      </c>
      <c r="Y92" s="23" t="n">
        <f aca="false">O92-P92-R92-S92-T92-U92-V92-X92</f>
        <v>3667.36242083106</v>
      </c>
      <c r="Z92" s="23" t="n">
        <f aca="false">Z91+Y92</f>
        <v>-5324.38521873292</v>
      </c>
      <c r="AA92" s="7" t="n">
        <f aca="false">IF(Y92&gt;0,1,0)</f>
        <v>1</v>
      </c>
      <c r="AB92" s="7" t="n">
        <f aca="false">IF(Z92&gt;=0,1,0)</f>
        <v>0</v>
      </c>
    </row>
    <row r="93" customFormat="false" ht="15" hidden="false" customHeight="false" outlineLevel="0" collapsed="false">
      <c r="A93" s="7" t="n">
        <v>18</v>
      </c>
      <c r="B93" s="7" t="s">
        <v>367</v>
      </c>
      <c r="C93" s="15" t="n">
        <f aca="false">IF($A93&lt;Annahmen!$D$54,0,IF($A93=Annahmen!$D$54,Annahmen!$D$55,C92*(1+Annahmen!$D$56*(1-C92/Annahmen!$D$57))))</f>
        <v>23203.9131689481</v>
      </c>
      <c r="D93" s="17" t="n">
        <f aca="false">C93*Annahmen!$D$58</f>
        <v>348.058697534221</v>
      </c>
      <c r="E93" s="17" t="n">
        <f aca="false">E92*(1-Annahmen!$D$59)+D93</f>
        <v>1629.9314485701</v>
      </c>
      <c r="F93" s="17" t="n">
        <f aca="false">E93*(1-Annahmen!$D$60)</f>
        <v>814.965724285052</v>
      </c>
      <c r="G93" s="17" t="n">
        <f aca="false">E93*Annahmen!$D$60</f>
        <v>814.965724285052</v>
      </c>
      <c r="H93" s="23" t="n">
        <f aca="false">F93*Annahmen!$D$78+G93*Annahmen!$D$79</f>
        <v>10449.8979996451</v>
      </c>
      <c r="I93" s="17" t="n">
        <f aca="false">IF($A93&gt;=Annahmen!$D$54,Annahmen!$D$63*(1-Annahmen!$D$64),0)</f>
        <v>2.5</v>
      </c>
      <c r="J93" s="17" t="n">
        <f aca="false">IF($A93&gt;=Annahmen!$D$54,Annahmen!$D$63*Annahmen!$D$64,0)</f>
        <v>2.5</v>
      </c>
      <c r="K93" s="23" t="n">
        <f aca="false">I93*Annahmen!$B$71+J93*Annahmen!$B$72</f>
        <v>337.45</v>
      </c>
      <c r="L93" s="17" t="n">
        <f aca="false">IF($A93&gt;=Annahmen!$D$54,Annahmen!$D$65,0)</f>
        <v>1</v>
      </c>
      <c r="M93" s="23" t="n">
        <f aca="false">L93*Annahmen!$B$73</f>
        <v>149</v>
      </c>
      <c r="N93" s="23" t="n">
        <f aca="false">H93+K93+M93</f>
        <v>10936.3479996451</v>
      </c>
      <c r="O93" s="23" t="n">
        <f aca="false">N93/(1+Annahmen!$B$8)</f>
        <v>9190.2084030631</v>
      </c>
      <c r="P93" s="23" t="n">
        <f aca="false">O93*(Annahmen!$D$62*Annahmen!$B$74+(1-Annahmen!$D$62)*Annahmen!$B$75)+(E93*Annahmen!$D$61+E93*(1-Annahmen!$D$61)/12+I93+J93+L93)*(1-Annahmen!$D$62)*Annahmen!$B$76</f>
        <v>767.456310007675</v>
      </c>
      <c r="Q93" s="17" t="n">
        <f aca="false">Annahmen!$D$66</f>
        <v>12</v>
      </c>
      <c r="R93" s="23" t="n">
        <f aca="false">Q93*Annahmen!$B$42</f>
        <v>346.451552687232</v>
      </c>
      <c r="S93" s="23" t="n">
        <f aca="false">I93*Annahmen!$B$43+(J93+L93)*Annahmen!$B$44</f>
        <v>190.53822791269</v>
      </c>
      <c r="T93" s="23" t="n">
        <f aca="false">C93*Annahmen!$B$77</f>
        <v>232.039131689481</v>
      </c>
      <c r="U93" s="23" t="n">
        <f aca="false">SUMPRODUCT((((Annahmen!$C$145:$C$155="monatlich")*(Annahmen!$D$145:$D$155&lt;=$A93))+((Annahmen!$C$145:$C$155="einmalig")*(Annahmen!$D$145:$D$155=$A93)))*Annahmen!$B$145:$B$155*Annahmen!$E$145:$E$155)</f>
        <v>69.9850799606897</v>
      </c>
      <c r="V93" s="23" t="n">
        <f aca="false">IF($A93&gt;=Annahmen!$D$54,Annahmen!$D$134,0)</f>
        <v>2000</v>
      </c>
      <c r="W93" s="35" t="n">
        <f aca="false">MAX(0,(E93-Annahmen!$B$138)/Annahmen!$B$139)</f>
        <v>0.209977149523368</v>
      </c>
      <c r="X93" s="23" t="n">
        <f aca="false">W93*Annahmen!$B$137</f>
        <v>944.897172855157</v>
      </c>
      <c r="Y93" s="23" t="n">
        <f aca="false">O93-P93-R93-S93-T93-U93-V93-X93</f>
        <v>4638.84092795017</v>
      </c>
      <c r="Z93" s="23" t="n">
        <f aca="false">Z92+Y93</f>
        <v>-685.544290782746</v>
      </c>
      <c r="AA93" s="7" t="n">
        <f aca="false">IF(Y93&gt;0,1,0)</f>
        <v>1</v>
      </c>
      <c r="AB93" s="7" t="n">
        <f aca="false">IF(Z93&gt;=0,1,0)</f>
        <v>0</v>
      </c>
    </row>
    <row r="94" customFormat="false" ht="15" hidden="false" customHeight="false" outlineLevel="0" collapsed="false">
      <c r="A94" s="7" t="n">
        <v>19</v>
      </c>
      <c r="B94" s="7" t="s">
        <v>368</v>
      </c>
      <c r="C94" s="15" t="n">
        <f aca="false">IF($A94&lt;Annahmen!$D$54,0,IF($A94=Annahmen!$D$54,Annahmen!$D$55,C93*(1+Annahmen!$D$56*(1-C93/Annahmen!$D$57))))</f>
        <v>28071.8685681217</v>
      </c>
      <c r="D94" s="17" t="n">
        <f aca="false">C94*Annahmen!$D$58</f>
        <v>421.078028521826</v>
      </c>
      <c r="E94" s="17" t="n">
        <f aca="false">E93*(1-Annahmen!$D$59)+D94</f>
        <v>1985.81221914913</v>
      </c>
      <c r="F94" s="17" t="n">
        <f aca="false">E94*(1-Annahmen!$D$60)</f>
        <v>992.906109574563</v>
      </c>
      <c r="G94" s="17" t="n">
        <f aca="false">E94*Annahmen!$D$60</f>
        <v>992.906109574563</v>
      </c>
      <c r="H94" s="23" t="n">
        <f aca="false">F94*Annahmen!$D$78+G94*Annahmen!$D$79</f>
        <v>12731.5385900198</v>
      </c>
      <c r="I94" s="17" t="n">
        <f aca="false">IF($A94&gt;=Annahmen!$D$54,Annahmen!$D$63*(1-Annahmen!$D$64),0)</f>
        <v>2.5</v>
      </c>
      <c r="J94" s="17" t="n">
        <f aca="false">IF($A94&gt;=Annahmen!$D$54,Annahmen!$D$63*Annahmen!$D$64,0)</f>
        <v>2.5</v>
      </c>
      <c r="K94" s="23" t="n">
        <f aca="false">I94*Annahmen!$B$71+J94*Annahmen!$B$72</f>
        <v>337.45</v>
      </c>
      <c r="L94" s="17" t="n">
        <f aca="false">IF($A94&gt;=Annahmen!$D$54,Annahmen!$D$65,0)</f>
        <v>1</v>
      </c>
      <c r="M94" s="23" t="n">
        <f aca="false">L94*Annahmen!$B$73</f>
        <v>149</v>
      </c>
      <c r="N94" s="23" t="n">
        <f aca="false">H94+K94+M94</f>
        <v>13217.9885900198</v>
      </c>
      <c r="O94" s="23" t="n">
        <f aca="false">N94/(1+Annahmen!$B$8)</f>
        <v>11107.5534369915</v>
      </c>
      <c r="P94" s="23" t="n">
        <f aca="false">O94*(Annahmen!$D$62*Annahmen!$B$74+(1-Annahmen!$D$62)*Annahmen!$B$75)+(E94*Annahmen!$D$61+E94*(1-Annahmen!$D$61)/12+I94+J94+L94)*(1-Annahmen!$D$62)*Annahmen!$B$76</f>
        <v>928.668429958277</v>
      </c>
      <c r="Q94" s="17" t="n">
        <f aca="false">Annahmen!$D$66</f>
        <v>12</v>
      </c>
      <c r="R94" s="23" t="n">
        <f aca="false">Q94*Annahmen!$B$42</f>
        <v>346.451552687232</v>
      </c>
      <c r="S94" s="23" t="n">
        <f aca="false">I94*Annahmen!$B$43+(J94+L94)*Annahmen!$B$44</f>
        <v>190.53822791269</v>
      </c>
      <c r="T94" s="23" t="n">
        <f aca="false">C94*Annahmen!$B$77</f>
        <v>280.718685681217</v>
      </c>
      <c r="U94" s="23" t="n">
        <f aca="false">SUMPRODUCT((((Annahmen!$C$145:$C$155="monatlich")*(Annahmen!$D$145:$D$155&lt;=$A94))+((Annahmen!$C$145:$C$155="einmalig")*(Annahmen!$D$145:$D$155=$A94)))*Annahmen!$B$145:$B$155*Annahmen!$E$145:$E$155)</f>
        <v>69.9850799606897</v>
      </c>
      <c r="V94" s="23" t="n">
        <f aca="false">IF($A94&gt;=Annahmen!$D$54,Annahmen!$D$134,0)</f>
        <v>2000</v>
      </c>
      <c r="W94" s="35" t="n">
        <f aca="false">MAX(0,(E94-Annahmen!$B$138)/Annahmen!$B$139)</f>
        <v>0.328604073049709</v>
      </c>
      <c r="X94" s="23" t="n">
        <f aca="false">W94*Annahmen!$B$137</f>
        <v>1478.71832872369</v>
      </c>
      <c r="Y94" s="23" t="n">
        <f aca="false">O94-P94-R94-S94-T94-U94-V94-X94</f>
        <v>5812.47313206766</v>
      </c>
      <c r="Z94" s="23" t="n">
        <f aca="false">Z93+Y94</f>
        <v>5126.92884128492</v>
      </c>
      <c r="AA94" s="7" t="n">
        <f aca="false">IF(Y94&gt;0,1,0)</f>
        <v>1</v>
      </c>
      <c r="AB94" s="7" t="n">
        <f aca="false">IF(Z94&gt;=0,1,0)</f>
        <v>1</v>
      </c>
    </row>
    <row r="95" customFormat="false" ht="15" hidden="false" customHeight="false" outlineLevel="0" collapsed="false">
      <c r="A95" s="7" t="n">
        <v>20</v>
      </c>
      <c r="B95" s="7" t="s">
        <v>369</v>
      </c>
      <c r="C95" s="15" t="n">
        <f aca="false">IF($A95&lt;Annahmen!$D$54,0,IF($A95=Annahmen!$D$54,Annahmen!$D$55,C94*(1+Annahmen!$D$56*(1-C94/Annahmen!$D$57))))</f>
        <v>33900.9465389499</v>
      </c>
      <c r="D95" s="17" t="n">
        <f aca="false">C95*Annahmen!$D$58</f>
        <v>508.514198084249</v>
      </c>
      <c r="E95" s="17" t="n">
        <f aca="false">E94*(1-Annahmen!$D$59)+D95</f>
        <v>2414.89392846741</v>
      </c>
      <c r="F95" s="17" t="n">
        <f aca="false">E95*(1-Annahmen!$D$60)</f>
        <v>1207.4469642337</v>
      </c>
      <c r="G95" s="17" t="n">
        <f aca="false">E95*Annahmen!$D$60</f>
        <v>1207.4469642337</v>
      </c>
      <c r="H95" s="23" t="n">
        <f aca="false">F95*Annahmen!$D$78+G95*Annahmen!$D$79</f>
        <v>15482.4886988867</v>
      </c>
      <c r="I95" s="17" t="n">
        <f aca="false">IF($A95&gt;=Annahmen!$D$54,Annahmen!$D$63*(1-Annahmen!$D$64),0)</f>
        <v>2.5</v>
      </c>
      <c r="J95" s="17" t="n">
        <f aca="false">IF($A95&gt;=Annahmen!$D$54,Annahmen!$D$63*Annahmen!$D$64,0)</f>
        <v>2.5</v>
      </c>
      <c r="K95" s="23" t="n">
        <f aca="false">I95*Annahmen!$B$71+J95*Annahmen!$B$72</f>
        <v>337.45</v>
      </c>
      <c r="L95" s="17" t="n">
        <f aca="false">IF($A95&gt;=Annahmen!$D$54,Annahmen!$D$65,0)</f>
        <v>1</v>
      </c>
      <c r="M95" s="23" t="n">
        <f aca="false">L95*Annahmen!$B$73</f>
        <v>149</v>
      </c>
      <c r="N95" s="23" t="n">
        <f aca="false">H95+K95+M95</f>
        <v>15968.9386988867</v>
      </c>
      <c r="O95" s="23" t="n">
        <f aca="false">N95/(1+Annahmen!$B$8)</f>
        <v>13419.2762175518</v>
      </c>
      <c r="P95" s="23" t="n">
        <f aca="false">O95*(Annahmen!$D$62*Annahmen!$B$74+(1-Annahmen!$D$62)*Annahmen!$B$75)+(E95*Annahmen!$D$61+E95*(1-Annahmen!$D$61)/12+I95+J95+L95)*(1-Annahmen!$D$62)*Annahmen!$B$76</f>
        <v>1123.04019069905</v>
      </c>
      <c r="Q95" s="17" t="n">
        <f aca="false">Annahmen!$D$66</f>
        <v>12</v>
      </c>
      <c r="R95" s="23" t="n">
        <f aca="false">Q95*Annahmen!$B$42</f>
        <v>346.451552687232</v>
      </c>
      <c r="S95" s="23" t="n">
        <f aca="false">I95*Annahmen!$B$43+(J95+L95)*Annahmen!$B$44</f>
        <v>190.53822791269</v>
      </c>
      <c r="T95" s="23" t="n">
        <f aca="false">C95*Annahmen!$B$77</f>
        <v>339.009465389499</v>
      </c>
      <c r="U95" s="23" t="n">
        <f aca="false">SUMPRODUCT((((Annahmen!$C$145:$C$155="monatlich")*(Annahmen!$D$145:$D$155&lt;=$A95))+((Annahmen!$C$145:$C$155="einmalig")*(Annahmen!$D$145:$D$155=$A95)))*Annahmen!$B$145:$B$155*Annahmen!$E$145:$E$155)</f>
        <v>69.9850799606897</v>
      </c>
      <c r="V95" s="23" t="n">
        <f aca="false">IF($A95&gt;=Annahmen!$D$54,Annahmen!$D$134,0)</f>
        <v>2000</v>
      </c>
      <c r="W95" s="35" t="n">
        <f aca="false">MAX(0,(E95-Annahmen!$B$138)/Annahmen!$B$139)</f>
        <v>0.471631309489137</v>
      </c>
      <c r="X95" s="23" t="n">
        <f aca="false">W95*Annahmen!$B$137</f>
        <v>2122.34089270111</v>
      </c>
      <c r="Y95" s="23" t="n">
        <f aca="false">O95-P95-R95-S95-T95-U95-V95-X95</f>
        <v>7227.91080820155</v>
      </c>
      <c r="Z95" s="23" t="n">
        <f aca="false">Z94+Y95</f>
        <v>12354.8396494865</v>
      </c>
      <c r="AA95" s="7" t="n">
        <f aca="false">IF(Y95&gt;0,1,0)</f>
        <v>1</v>
      </c>
      <c r="AB95" s="7" t="n">
        <f aca="false">IF(Z95&gt;=0,1,0)</f>
        <v>1</v>
      </c>
    </row>
    <row r="96" customFormat="false" ht="15" hidden="false" customHeight="false" outlineLevel="0" collapsed="false">
      <c r="A96" s="7" t="n">
        <v>21</v>
      </c>
      <c r="B96" s="7" t="s">
        <v>370</v>
      </c>
      <c r="C96" s="15" t="n">
        <f aca="false">IF($A96&lt;Annahmen!$D$54,0,IF($A96=Annahmen!$D$54,Annahmen!$D$55,C95*(1+Annahmen!$D$56*(1-C95/Annahmen!$D$57))))</f>
        <v>40853.4741399747</v>
      </c>
      <c r="D96" s="17" t="n">
        <f aca="false">C96*Annahmen!$D$58</f>
        <v>612.802112099621</v>
      </c>
      <c r="E96" s="17" t="n">
        <f aca="false">E95*(1-Annahmen!$D$59)+D96</f>
        <v>2931.10028342833</v>
      </c>
      <c r="F96" s="17" t="n">
        <f aca="false">E96*(1-Annahmen!$D$60)</f>
        <v>1465.55014171417</v>
      </c>
      <c r="G96" s="17" t="n">
        <f aca="false">E96*Annahmen!$D$60</f>
        <v>1465.55014171417</v>
      </c>
      <c r="H96" s="23" t="n">
        <f aca="false">F96*Annahmen!$D$78+G96*Annahmen!$D$79</f>
        <v>18792.0166921299</v>
      </c>
      <c r="I96" s="17" t="n">
        <f aca="false">IF($A96&gt;=Annahmen!$D$54,Annahmen!$D$63*(1-Annahmen!$D$64),0)</f>
        <v>2.5</v>
      </c>
      <c r="J96" s="17" t="n">
        <f aca="false">IF($A96&gt;=Annahmen!$D$54,Annahmen!$D$63*Annahmen!$D$64,0)</f>
        <v>2.5</v>
      </c>
      <c r="K96" s="23" t="n">
        <f aca="false">I96*Annahmen!$B$71+J96*Annahmen!$B$72</f>
        <v>337.45</v>
      </c>
      <c r="L96" s="17" t="n">
        <f aca="false">IF($A96&gt;=Annahmen!$D$54,Annahmen!$D$65,0)</f>
        <v>1</v>
      </c>
      <c r="M96" s="23" t="n">
        <f aca="false">L96*Annahmen!$B$73</f>
        <v>149</v>
      </c>
      <c r="N96" s="23" t="n">
        <f aca="false">H96+K96+M96</f>
        <v>19278.4666921299</v>
      </c>
      <c r="O96" s="23" t="n">
        <f aca="false">N96/(1+Annahmen!$B$8)</f>
        <v>16200.3921782604</v>
      </c>
      <c r="P96" s="23" t="n">
        <f aca="false">O96*(Annahmen!$D$62*Annahmen!$B$74+(1-Annahmen!$D$62)*Annahmen!$B$75)+(E96*Annahmen!$D$61+E96*(1-Annahmen!$D$61)/12+I96+J96+L96)*(1-Annahmen!$D$62)*Annahmen!$B$76</f>
        <v>1356.87895832852</v>
      </c>
      <c r="Q96" s="17" t="n">
        <f aca="false">Annahmen!$D$66</f>
        <v>12</v>
      </c>
      <c r="R96" s="23" t="n">
        <f aca="false">Q96*Annahmen!$B$42</f>
        <v>346.451552687232</v>
      </c>
      <c r="S96" s="23" t="n">
        <f aca="false">I96*Annahmen!$B$43+(J96+L96)*Annahmen!$B$44</f>
        <v>190.53822791269</v>
      </c>
      <c r="T96" s="23" t="n">
        <f aca="false">C96*Annahmen!$B$77</f>
        <v>408.534741399747</v>
      </c>
      <c r="U96" s="23" t="n">
        <f aca="false">SUMPRODUCT((((Annahmen!$C$145:$C$155="monatlich")*(Annahmen!$D$145:$D$155&lt;=$A96))+((Annahmen!$C$145:$C$155="einmalig")*(Annahmen!$D$145:$D$155=$A96)))*Annahmen!$B$145:$B$155*Annahmen!$E$145:$E$155)</f>
        <v>69.9850799606897</v>
      </c>
      <c r="V96" s="23" t="n">
        <f aca="false">IF($A96&gt;=Annahmen!$D$54,Annahmen!$D$134,0)</f>
        <v>2000</v>
      </c>
      <c r="W96" s="35" t="n">
        <f aca="false">MAX(0,(E96-Annahmen!$B$138)/Annahmen!$B$139)</f>
        <v>0.643700094476111</v>
      </c>
      <c r="X96" s="23" t="n">
        <f aca="false">W96*Annahmen!$B$137</f>
        <v>2896.6504251425</v>
      </c>
      <c r="Y96" s="23" t="n">
        <f aca="false">O96-P96-R96-S96-T96-U96-V96-X96</f>
        <v>8931.35319282904</v>
      </c>
      <c r="Z96" s="23" t="n">
        <f aca="false">Z95+Y96</f>
        <v>21286.1928423155</v>
      </c>
      <c r="AA96" s="7" t="n">
        <f aca="false">IF(Y96&gt;0,1,0)</f>
        <v>1</v>
      </c>
      <c r="AB96" s="7" t="n">
        <f aca="false">IF(Z96&gt;=0,1,0)</f>
        <v>1</v>
      </c>
    </row>
    <row r="97" customFormat="false" ht="15" hidden="false" customHeight="false" outlineLevel="0" collapsed="false">
      <c r="A97" s="7" t="n">
        <v>22</v>
      </c>
      <c r="B97" s="7" t="s">
        <v>371</v>
      </c>
      <c r="C97" s="15" t="n">
        <f aca="false">IF($A97&lt;Annahmen!$D$54,0,IF($A97=Annahmen!$D$54,Annahmen!$D$55,C96*(1+Annahmen!$D$56*(1-C96/Annahmen!$D$57))))</f>
        <v>49106.8756570747</v>
      </c>
      <c r="D97" s="17" t="n">
        <f aca="false">C97*Annahmen!$D$58</f>
        <v>736.603134856121</v>
      </c>
      <c r="E97" s="17" t="n">
        <f aca="false">E96*(1-Annahmen!$D$59)+D97</f>
        <v>3550.45940694732</v>
      </c>
      <c r="F97" s="17" t="n">
        <f aca="false">E97*(1-Annahmen!$D$60)</f>
        <v>1775.22970347366</v>
      </c>
      <c r="G97" s="17" t="n">
        <f aca="false">E97*Annahmen!$D$60</f>
        <v>1775.22970347366</v>
      </c>
      <c r="H97" s="23" t="n">
        <f aca="false">F97*Annahmen!$D$78+G97*Annahmen!$D$79</f>
        <v>22762.882872791</v>
      </c>
      <c r="I97" s="17" t="n">
        <f aca="false">IF($A97&gt;=Annahmen!$D$54,Annahmen!$D$63*(1-Annahmen!$D$64),0)</f>
        <v>2.5</v>
      </c>
      <c r="J97" s="17" t="n">
        <f aca="false">IF($A97&gt;=Annahmen!$D$54,Annahmen!$D$63*Annahmen!$D$64,0)</f>
        <v>2.5</v>
      </c>
      <c r="K97" s="23" t="n">
        <f aca="false">I97*Annahmen!$B$71+J97*Annahmen!$B$72</f>
        <v>337.45</v>
      </c>
      <c r="L97" s="17" t="n">
        <f aca="false">IF($A97&gt;=Annahmen!$D$54,Annahmen!$D$65,0)</f>
        <v>1</v>
      </c>
      <c r="M97" s="23" t="n">
        <f aca="false">L97*Annahmen!$B$73</f>
        <v>149</v>
      </c>
      <c r="N97" s="23" t="n">
        <f aca="false">H97+K97+M97</f>
        <v>23249.332872791</v>
      </c>
      <c r="O97" s="23" t="n">
        <f aca="false">N97/(1+Annahmen!$B$8)</f>
        <v>19537.2545149504</v>
      </c>
      <c r="P97" s="23" t="n">
        <f aca="false">O97*(Annahmen!$D$62*Annahmen!$B$74+(1-Annahmen!$D$62)*Annahmen!$B$75)+(E97*Annahmen!$D$61+E97*(1-Annahmen!$D$61)/12+I97+J97+L97)*(1-Annahmen!$D$62)*Annahmen!$B$76</f>
        <v>1637.44538834605</v>
      </c>
      <c r="Q97" s="17" t="n">
        <f aca="false">Annahmen!$D$66</f>
        <v>12</v>
      </c>
      <c r="R97" s="23" t="n">
        <f aca="false">Q97*Annahmen!$B$42</f>
        <v>346.451552687232</v>
      </c>
      <c r="S97" s="23" t="n">
        <f aca="false">I97*Annahmen!$B$43+(J97+L97)*Annahmen!$B$44</f>
        <v>190.53822791269</v>
      </c>
      <c r="T97" s="23" t="n">
        <f aca="false">C97*Annahmen!$B$77</f>
        <v>491.068756570747</v>
      </c>
      <c r="U97" s="23" t="n">
        <f aca="false">SUMPRODUCT((((Annahmen!$C$145:$C$155="monatlich")*(Annahmen!$D$145:$D$155&lt;=$A97))+((Annahmen!$C$145:$C$155="einmalig")*(Annahmen!$D$145:$D$155=$A97)))*Annahmen!$B$145:$B$155*Annahmen!$E$145:$E$155)</f>
        <v>69.9850799606897</v>
      </c>
      <c r="V97" s="23" t="n">
        <f aca="false">IF($A97&gt;=Annahmen!$D$54,Annahmen!$D$134,0)</f>
        <v>2000</v>
      </c>
      <c r="W97" s="35" t="n">
        <f aca="false">MAX(0,(E97-Annahmen!$B$138)/Annahmen!$B$139)</f>
        <v>0.850153135649107</v>
      </c>
      <c r="X97" s="23" t="n">
        <f aca="false">W97*Annahmen!$B$137</f>
        <v>3825.68911042098</v>
      </c>
      <c r="Y97" s="23" t="n">
        <f aca="false">O97-P97-R97-S97-T97-U97-V97-X97</f>
        <v>10976.076399052</v>
      </c>
      <c r="Z97" s="23" t="n">
        <f aca="false">Z96+Y97</f>
        <v>32262.2692413676</v>
      </c>
      <c r="AA97" s="7" t="n">
        <f aca="false">IF(Y97&gt;0,1,0)</f>
        <v>1</v>
      </c>
      <c r="AB97" s="7" t="n">
        <f aca="false">IF(Z97&gt;=0,1,0)</f>
        <v>1</v>
      </c>
    </row>
    <row r="98" customFormat="false" ht="15" hidden="false" customHeight="false" outlineLevel="0" collapsed="false">
      <c r="A98" s="7" t="n">
        <v>23</v>
      </c>
      <c r="B98" s="7" t="s">
        <v>372</v>
      </c>
      <c r="C98" s="15" t="n">
        <f aca="false">IF($A98&lt;Annahmen!$D$54,0,IF($A98=Annahmen!$D$54,Annahmen!$D$55,C97*(1+Annahmen!$D$56*(1-C97/Annahmen!$D$57))))</f>
        <v>58849.3347974394</v>
      </c>
      <c r="D98" s="17" t="n">
        <f aca="false">C98*Annahmen!$D$58</f>
        <v>882.740021961591</v>
      </c>
      <c r="E98" s="17" t="n">
        <f aca="false">E97*(1-Annahmen!$D$59)+D98</f>
        <v>4291.18105263102</v>
      </c>
      <c r="F98" s="17" t="n">
        <f aca="false">E98*(1-Annahmen!$D$60)</f>
        <v>2145.59052631551</v>
      </c>
      <c r="G98" s="17" t="n">
        <f aca="false">E98*Annahmen!$D$60</f>
        <v>2145.59052631551</v>
      </c>
      <c r="H98" s="23" t="n">
        <f aca="false">F98*Annahmen!$D$78+G98*Annahmen!$D$79</f>
        <v>27511.8345236806</v>
      </c>
      <c r="I98" s="17" t="n">
        <f aca="false">IF($A98&gt;=Annahmen!$D$54,Annahmen!$D$63*(1-Annahmen!$D$64),0)</f>
        <v>2.5</v>
      </c>
      <c r="J98" s="17" t="n">
        <f aca="false">IF($A98&gt;=Annahmen!$D$54,Annahmen!$D$63*Annahmen!$D$64,0)</f>
        <v>2.5</v>
      </c>
      <c r="K98" s="23" t="n">
        <f aca="false">I98*Annahmen!$B$71+J98*Annahmen!$B$72</f>
        <v>337.45</v>
      </c>
      <c r="L98" s="17" t="n">
        <f aca="false">IF($A98&gt;=Annahmen!$D$54,Annahmen!$D$65,0)</f>
        <v>1</v>
      </c>
      <c r="M98" s="23" t="n">
        <f aca="false">L98*Annahmen!$B$73</f>
        <v>149</v>
      </c>
      <c r="N98" s="23" t="n">
        <f aca="false">H98+K98+M98</f>
        <v>27998.2845236806</v>
      </c>
      <c r="O98" s="23" t="n">
        <f aca="false">N98/(1+Annahmen!$B$8)</f>
        <v>23527.9701879669</v>
      </c>
      <c r="P98" s="23" t="n">
        <f aca="false">O98*(Annahmen!$D$62*Annahmen!$B$74+(1-Annahmen!$D$62)*Annahmen!$B$75)+(E98*Annahmen!$D$61+E98*(1-Annahmen!$D$61)/12+I98+J98+L98)*(1-Annahmen!$D$62)*Annahmen!$B$76</f>
        <v>1972.98840349599</v>
      </c>
      <c r="Q98" s="17" t="n">
        <f aca="false">Annahmen!$D$66</f>
        <v>12</v>
      </c>
      <c r="R98" s="23" t="n">
        <f aca="false">Q98*Annahmen!$B$42</f>
        <v>346.451552687232</v>
      </c>
      <c r="S98" s="23" t="n">
        <f aca="false">I98*Annahmen!$B$43+(J98+L98)*Annahmen!$B$44</f>
        <v>190.53822791269</v>
      </c>
      <c r="T98" s="23" t="n">
        <f aca="false">C98*Annahmen!$B$77</f>
        <v>588.493347974394</v>
      </c>
      <c r="U98" s="23" t="n">
        <f aca="false">SUMPRODUCT((((Annahmen!$C$145:$C$155="monatlich")*(Annahmen!$D$145:$D$155&lt;=$A98))+((Annahmen!$C$145:$C$155="einmalig")*(Annahmen!$D$145:$D$155=$A98)))*Annahmen!$B$145:$B$155*Annahmen!$E$145:$E$155)</f>
        <v>69.9850799606897</v>
      </c>
      <c r="V98" s="23" t="n">
        <f aca="false">IF($A98&gt;=Annahmen!$D$54,Annahmen!$D$134,0)</f>
        <v>2000</v>
      </c>
      <c r="W98" s="35" t="n">
        <f aca="false">MAX(0,(E98-Annahmen!$B$138)/Annahmen!$B$139)</f>
        <v>1.09706035087701</v>
      </c>
      <c r="X98" s="23" t="n">
        <f aca="false">W98*Annahmen!$B$137</f>
        <v>4936.77157894653</v>
      </c>
      <c r="Y98" s="23" t="n">
        <f aca="false">O98-P98-R98-S98-T98-U98-V98-X98</f>
        <v>13422.7419969894</v>
      </c>
      <c r="Z98" s="23" t="n">
        <f aca="false">Z97+Y98</f>
        <v>45685.011238357</v>
      </c>
      <c r="AA98" s="7" t="n">
        <f aca="false">IF(Y98&gt;0,1,0)</f>
        <v>1</v>
      </c>
      <c r="AB98" s="7" t="n">
        <f aca="false">IF(Z98&gt;=0,1,0)</f>
        <v>1</v>
      </c>
    </row>
    <row r="99" customFormat="false" ht="15" hidden="false" customHeight="false" outlineLevel="0" collapsed="false">
      <c r="A99" s="7" t="n">
        <v>24</v>
      </c>
      <c r="B99" s="7" t="s">
        <v>373</v>
      </c>
      <c r="C99" s="15" t="n">
        <f aca="false">IF($A99&lt;Annahmen!$D$54,0,IF($A99=Annahmen!$D$54,Annahmen!$D$55,C98*(1+Annahmen!$D$56*(1-C98/Annahmen!$D$57))))</f>
        <v>70272.3610021916</v>
      </c>
      <c r="D99" s="17" t="n">
        <f aca="false">C99*Annahmen!$D$58</f>
        <v>1054.08541503287</v>
      </c>
      <c r="E99" s="17" t="n">
        <f aca="false">E98*(1-Annahmen!$D$59)+D99</f>
        <v>5173.61922555865</v>
      </c>
      <c r="F99" s="17" t="n">
        <f aca="false">E99*(1-Annahmen!$D$60)</f>
        <v>2586.80961277933</v>
      </c>
      <c r="G99" s="17" t="n">
        <f aca="false">E99*Annahmen!$D$60</f>
        <v>2586.80961277933</v>
      </c>
      <c r="H99" s="23" t="n">
        <f aca="false">F99*Annahmen!$D$78+G99*Annahmen!$D$79</f>
        <v>33169.3662598629</v>
      </c>
      <c r="I99" s="17" t="n">
        <f aca="false">IF($A99&gt;=Annahmen!$D$54,Annahmen!$D$63*(1-Annahmen!$D$64),0)</f>
        <v>2.5</v>
      </c>
      <c r="J99" s="17" t="n">
        <f aca="false">IF($A99&gt;=Annahmen!$D$54,Annahmen!$D$63*Annahmen!$D$64,0)</f>
        <v>2.5</v>
      </c>
      <c r="K99" s="23" t="n">
        <f aca="false">I99*Annahmen!$B$71+J99*Annahmen!$B$72</f>
        <v>337.45</v>
      </c>
      <c r="L99" s="17" t="n">
        <f aca="false">IF($A99&gt;=Annahmen!$D$54,Annahmen!$D$65,0)</f>
        <v>1</v>
      </c>
      <c r="M99" s="23" t="n">
        <f aca="false">L99*Annahmen!$B$73</f>
        <v>149</v>
      </c>
      <c r="N99" s="23" t="n">
        <f aca="false">H99+K99+M99</f>
        <v>33655.8162598629</v>
      </c>
      <c r="O99" s="23" t="n">
        <f aca="false">N99/(1+Annahmen!$B$8)</f>
        <v>28282.1985376999</v>
      </c>
      <c r="P99" s="23" t="n">
        <f aca="false">O99*(Annahmen!$D$62*Annahmen!$B$74+(1-Annahmen!$D$62)*Annahmen!$B$75)+(E99*Annahmen!$D$61+E99*(1-Annahmen!$D$61)/12+I99+J99+L99)*(1-Annahmen!$D$62)*Annahmen!$B$76</f>
        <v>2372.72826117794</v>
      </c>
      <c r="Q99" s="17" t="n">
        <f aca="false">Annahmen!$D$66</f>
        <v>12</v>
      </c>
      <c r="R99" s="23" t="n">
        <f aca="false">Q99*Annahmen!$B$42</f>
        <v>346.451552687232</v>
      </c>
      <c r="S99" s="23" t="n">
        <f aca="false">I99*Annahmen!$B$43+(J99+L99)*Annahmen!$B$44</f>
        <v>190.53822791269</v>
      </c>
      <c r="T99" s="23" t="n">
        <f aca="false">C99*Annahmen!$B$77</f>
        <v>702.723610021916</v>
      </c>
      <c r="U99" s="23" t="n">
        <f aca="false">SUMPRODUCT((((Annahmen!$C$145:$C$155="monatlich")*(Annahmen!$D$145:$D$155&lt;=$A99))+((Annahmen!$C$145:$C$155="einmalig")*(Annahmen!$D$145:$D$155=$A99)))*Annahmen!$B$145:$B$155*Annahmen!$E$145:$E$155)</f>
        <v>69.9850799606897</v>
      </c>
      <c r="V99" s="23" t="n">
        <f aca="false">IF($A99&gt;=Annahmen!$D$54,Annahmen!$D$134,0)</f>
        <v>2000</v>
      </c>
      <c r="W99" s="35" t="n">
        <f aca="false">MAX(0,(E99-Annahmen!$B$138)/Annahmen!$B$139)</f>
        <v>1.39120640851955</v>
      </c>
      <c r="X99" s="23" t="n">
        <f aca="false">W99*Annahmen!$B$137</f>
        <v>6260.42883833798</v>
      </c>
      <c r="Y99" s="23" t="n">
        <f aca="false">O99-P99-R99-S99-T99-U99-V99-X99</f>
        <v>16339.3429676015</v>
      </c>
      <c r="Z99" s="23" t="n">
        <f aca="false">Z98+Y99</f>
        <v>62024.3542059584</v>
      </c>
      <c r="AA99" s="7" t="n">
        <f aca="false">IF(Y99&gt;0,1,0)</f>
        <v>1</v>
      </c>
      <c r="AB99" s="7" t="n">
        <f aca="false">IF(Z99&gt;=0,1,0)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0" min="3" style="0" width="13"/>
  </cols>
  <sheetData>
    <row r="1" customFormat="false" ht="17.35" hidden="false" customHeight="false" outlineLevel="0" collapsed="false">
      <c r="A1" s="1" t="s">
        <v>374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52.2" hidden="false" customHeight="false" outlineLevel="0" collapsed="false">
      <c r="A3" s="4" t="s">
        <v>312</v>
      </c>
      <c r="B3" s="31" t="str">
        <f aca="false">"vorsichtig – "&amp;Annahmen!$B$133</f>
        <v>vorsichtig – teures Hobby</v>
      </c>
      <c r="C3" s="31" t="str">
        <f aca="false">"mittel – "&amp;Annahmen!$C$133</f>
        <v>mittel – profitabler Nebenerwerb</v>
      </c>
      <c r="D3" s="31" t="str">
        <f aca="false">"stark – "&amp;Annahmen!$D$133</f>
        <v>stark – skalierbares Business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customFormat="false" ht="15" hidden="false" customHeight="false" outlineLevel="0" collapsed="false">
      <c r="A4" s="32" t="s">
        <v>313</v>
      </c>
      <c r="B4" s="32" t="str">
        <f aca="false">IFERROR("Monat "&amp;MATCH(1,AC18:AC41,0)&amp;" ("&amp;INDEX($B$18:$B$41,MATCH(1,AC18:AC41,0))&amp;")","nicht in 24 M")</f>
        <v>Monat 8 (08/2027)</v>
      </c>
      <c r="C4" s="32" t="str">
        <f aca="false">IFERROR("Monat "&amp;MATCH(1,AC47:AC70,0)&amp;" ("&amp;INDEX($B$47:$B$70,MATCH(1,AC47:AC70,0))&amp;")","nicht in 24 M")</f>
        <v>Monat 4 (04/2027)</v>
      </c>
      <c r="D4" s="32" t="str">
        <f aca="false">IFERROR("Monat "&amp;MATCH(1,AC76:AC99,0)&amp;" ("&amp;INDEX($B$76:$B$99,MATCH(1,AC76:AC99,0))&amp;")","nicht in 24 M")</f>
        <v>Monat 3 (03/2027)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customFormat="false" ht="15" hidden="false" customHeight="false" outlineLevel="0" collapsed="false">
      <c r="A5" s="32" t="s">
        <v>314</v>
      </c>
      <c r="B5" s="32" t="str">
        <f aca="false">IFERROR("Monat "&amp;MATCH(1,AD18:AD41,0)&amp;" ("&amp;INDEX($B$18:$B$41,MATCH(1,AD18:AD41,0))&amp;")","nicht in 24 M")</f>
        <v>Monat 14 (02/2028)</v>
      </c>
      <c r="C5" s="32" t="str">
        <f aca="false">IFERROR("Monat "&amp;MATCH(1,AD47:AD70,0)&amp;" ("&amp;INDEX($B$47:$B$70,MATCH(1,AD47:AD70,0))&amp;")","nicht in 24 M")</f>
        <v>Monat 4 (04/2027)</v>
      </c>
      <c r="D5" s="32" t="str">
        <f aca="false">IFERROR("Monat "&amp;MATCH(1,AD76:AD99,0)&amp;" ("&amp;INDEX($B$76:$B$99,MATCH(1,AD76:AD99,0))&amp;")","nicht in 24 M")</f>
        <v>Monat 3 (03/2027)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customFormat="false" ht="15" hidden="false" customHeight="false" outlineLevel="0" collapsed="false">
      <c r="A6" s="32" t="s">
        <v>375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customFormat="false" ht="15" hidden="false" customHeight="false" outlineLevel="0" collapsed="false">
      <c r="A7" s="7" t="s">
        <v>376</v>
      </c>
      <c r="B7" s="33" t="n">
        <f aca="false">Annahmen!$B$96-Annahmen!$B$51</f>
        <v>473.806305162154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customFormat="false" ht="15" hidden="false" customHeight="false" outlineLevel="0" collapsed="false">
      <c r="A8" s="7" t="s">
        <v>377</v>
      </c>
      <c r="B8" s="33" t="n">
        <f aca="false">Annahmen!$B$97-Annahmen!$B$45</f>
        <v>148.722434010855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customFormat="false" ht="15" hidden="false" customHeight="false" outlineLevel="0" collapsed="false">
      <c r="A9" s="7" t="s">
        <v>378</v>
      </c>
      <c r="B9" s="33" t="n">
        <f aca="false">Annahmen!$B$97+Annahmen!$B$98-Annahmen!$B$47</f>
        <v>530.328256728624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customFormat="false" ht="15" hidden="false" customHeight="false" outlineLevel="0" collapsed="false">
      <c r="A10" s="7" t="s">
        <v>379</v>
      </c>
      <c r="B10" s="33" t="n">
        <f aca="false">Annahmen!$B$99-Annahmen!$B$48</f>
        <v>188.552433897726</v>
      </c>
      <c r="C10" s="33" t="n">
        <f aca="false">Annahmen!$B$99+Annahmen!$B$102-Annahmen!$B$48</f>
        <v>317.584691962242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customFormat="false" ht="15" hidden="false" customHeight="false" outlineLevel="0" collapsed="false">
      <c r="A11" s="7" t="s">
        <v>380</v>
      </c>
      <c r="B11" s="33" t="n">
        <f aca="false">Annahmen!$B$102</f>
        <v>129.032258064516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customFormat="false" ht="15" hidden="false" customHeight="false" outlineLevel="0" collapsed="false">
      <c r="A12" s="7" t="s">
        <v>381</v>
      </c>
      <c r="B12" s="33" t="n">
        <f aca="false">Annahmen!$B$103-Annahmen!$B$49</f>
        <v>87.4166543321986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customFormat="false" ht="15" hidden="false" customHeight="false" outlineLevel="0" collapsed="false">
      <c r="A13" s="7" t="s">
        <v>382</v>
      </c>
      <c r="B13" s="33" t="n">
        <f aca="false">Annahmen!$B$104-Annahmen!$B$50</f>
        <v>5.97989815062986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customFormat="false" ht="15" hidden="false" customHeight="false" outlineLevel="0" collapsed="false">
      <c r="A14" s="7" t="s">
        <v>383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customFormat="false" ht="15" hidden="false" customHeight="false" outlineLevel="0" collapsed="false">
      <c r="A16" s="5" t="str">
        <f aca="false">"Szenario vorsichtig – "&amp;Annahmen!$B$133</f>
        <v>Szenario vorsichtig – teures Hobby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2"/>
      <c r="AD16" s="2"/>
    </row>
    <row r="17" customFormat="false" ht="42" hidden="false" customHeight="true" outlineLevel="0" collapsed="false">
      <c r="A17" s="34" t="s">
        <v>96</v>
      </c>
      <c r="B17" s="34" t="s">
        <v>323</v>
      </c>
      <c r="C17" s="34" t="s">
        <v>384</v>
      </c>
      <c r="D17" s="34" t="s">
        <v>385</v>
      </c>
      <c r="E17" s="34" t="s">
        <v>386</v>
      </c>
      <c r="F17" s="34" t="s">
        <v>387</v>
      </c>
      <c r="G17" s="34" t="s">
        <v>388</v>
      </c>
      <c r="H17" s="34" t="s">
        <v>389</v>
      </c>
      <c r="I17" s="34" t="s">
        <v>390</v>
      </c>
      <c r="J17" s="34" t="s">
        <v>391</v>
      </c>
      <c r="K17" s="34" t="s">
        <v>392</v>
      </c>
      <c r="L17" s="34" t="s">
        <v>393</v>
      </c>
      <c r="M17" s="34" t="s">
        <v>394</v>
      </c>
      <c r="N17" s="34" t="s">
        <v>395</v>
      </c>
      <c r="O17" s="34" t="s">
        <v>396</v>
      </c>
      <c r="P17" s="34" t="s">
        <v>397</v>
      </c>
      <c r="Q17" s="34" t="s">
        <v>398</v>
      </c>
      <c r="R17" s="34" t="s">
        <v>399</v>
      </c>
      <c r="S17" s="34" t="s">
        <v>400</v>
      </c>
      <c r="T17" s="34" t="s">
        <v>401</v>
      </c>
      <c r="U17" s="34" t="s">
        <v>402</v>
      </c>
      <c r="V17" s="34" t="s">
        <v>342</v>
      </c>
      <c r="W17" s="34" t="s">
        <v>343</v>
      </c>
      <c r="X17" s="34" t="s">
        <v>403</v>
      </c>
      <c r="Y17" s="34" t="s">
        <v>344</v>
      </c>
      <c r="Z17" s="34" t="s">
        <v>345</v>
      </c>
      <c r="AA17" s="34" t="s">
        <v>346</v>
      </c>
      <c r="AB17" s="34" t="s">
        <v>347</v>
      </c>
      <c r="AC17" s="34" t="s">
        <v>348</v>
      </c>
      <c r="AD17" s="34" t="s">
        <v>349</v>
      </c>
    </row>
    <row r="18" customFormat="false" ht="15" hidden="false" customHeight="false" outlineLevel="0" collapsed="false">
      <c r="A18" s="7" t="n">
        <v>1</v>
      </c>
      <c r="B18" s="7" t="s">
        <v>350</v>
      </c>
      <c r="C18" s="17" t="n">
        <f aca="false">IF($A18&gt;=Annahmen!$B$82,Annahmen!$B$83,0)</f>
        <v>0</v>
      </c>
      <c r="D18" s="17" t="n">
        <f aca="false">C18*Annahmen!$B$84</f>
        <v>0</v>
      </c>
      <c r="E18" s="23" t="n">
        <f aca="false">(C18-D18)*Annahmen!$B$96</f>
        <v>0</v>
      </c>
      <c r="F18" s="17" t="n">
        <f aca="false">IF($A18&gt;Annahmen!$B$86,INDEX($C$18:$C$41,$A18-Annahmen!$B$86)*Annahmen!$B$85,0)</f>
        <v>0</v>
      </c>
      <c r="G18" s="23" t="n">
        <f aca="false">F18*(Annahmen!$B$87*(Annahmen!$B$97+Annahmen!$B$98)-Annahmen!$B$96*(1-Annahmen!$B$84))</f>
        <v>0</v>
      </c>
      <c r="H18" s="17" t="n">
        <f aca="false">IF($A18&gt;=Annahmen!$B$82,Annahmen!$B$88,0)</f>
        <v>0</v>
      </c>
      <c r="I18" s="23" t="n">
        <f aca="false">H18*(Annahmen!$B$97+Annahmen!$B$89*Annahmen!$B$98)</f>
        <v>0</v>
      </c>
      <c r="J18" s="17" t="n">
        <f aca="false">IF($A18&gt;=Annahmen!$B$82,Annahmen!$B$90,0)</f>
        <v>0</v>
      </c>
      <c r="K18" s="23" t="n">
        <f aca="false">J18*(Annahmen!$B$99+Annahmen!$B$91*Annahmen!$B$102)</f>
        <v>0</v>
      </c>
      <c r="L18" s="17" t="n">
        <f aca="false">IF($A18&gt;=Annahmen!$B$82,Annahmen!$B$92,0)</f>
        <v>0</v>
      </c>
      <c r="M18" s="23" t="n">
        <f aca="false">L18*Annahmen!$B$103</f>
        <v>0</v>
      </c>
      <c r="N18" s="15" t="n">
        <f aca="false">IF($A18&gt;=Annahmen!$B$82,Annahmen!$B$93,0)</f>
        <v>0</v>
      </c>
      <c r="O18" s="23" t="n">
        <f aca="false">N18*Annahmen!$B$104</f>
        <v>0</v>
      </c>
      <c r="P18" s="15" t="n">
        <f aca="false">IF($A18&gt;=Annahmen!$B$82,Annahmen!$B$94,0)</f>
        <v>0</v>
      </c>
      <c r="Q18" s="23" t="n">
        <f aca="false">P18*Annahmen!$B$105</f>
        <v>0</v>
      </c>
      <c r="R18" s="17" t="n">
        <f aca="false">IF($A18&gt;=Annahmen!$B$82,Annahmen!$B$95,0)</f>
        <v>0</v>
      </c>
      <c r="S18" s="23" t="n">
        <f aca="false">R18*Annahmen!$B$106</f>
        <v>0</v>
      </c>
      <c r="T18" s="23" t="n">
        <f aca="false">E18+G18+I18+K18+M18+O18+Q18+S18</f>
        <v>0</v>
      </c>
      <c r="U18" s="23" t="n">
        <f aca="false">C18*Annahmen!$B$51+F18*Annahmen!$B$87*Annahmen!$B$47+H18*(Annahmen!$B$45+Annahmen!$B$89*(Annahmen!$B$47-Annahmen!$B$45))+J18*Annahmen!$B$48+L18*Annahmen!$B$49+(N18+P18)*Annahmen!$B$50</f>
        <v>0</v>
      </c>
      <c r="V18" s="23" t="n">
        <f aca="false">SUMPRODUCT((((Annahmen!$C$145:$C$155="monatlich")*(Annahmen!$D$145:$D$155&lt;=$A18))+((Annahmen!$C$145:$C$155="einmalig")*(Annahmen!$D$145:$D$155=$A18)))*Annahmen!$B$145:$B$155*Annahmen!$F$145:$F$155)</f>
        <v>213.227570803181</v>
      </c>
      <c r="W18" s="23" t="n">
        <f aca="false">Annahmen!$B$135</f>
        <v>50</v>
      </c>
      <c r="X18" s="17" t="n">
        <f aca="false">C18+F18*Annahmen!$B$87+H18+J18+L18/Annahmen!$B$46+(N18+P18)/(Annahmen!$B$23/Annahmen!$B$24)</f>
        <v>0</v>
      </c>
      <c r="Y18" s="35" t="n">
        <f aca="false">MAX(0,(X18-Annahmen!$B$140)/Annahmen!$B$141)</f>
        <v>0</v>
      </c>
      <c r="Z18" s="23" t="n">
        <f aca="false">Y18*Annahmen!$B$137</f>
        <v>0</v>
      </c>
      <c r="AA18" s="23" t="n">
        <f aca="false">T18-U18-V18-W18-Z18</f>
        <v>-263.227570803181</v>
      </c>
      <c r="AB18" s="23" t="n">
        <f aca="false">AA18</f>
        <v>-263.227570803181</v>
      </c>
      <c r="AC18" s="7" t="n">
        <f aca="false">IF(AA18&gt;0,1,0)</f>
        <v>0</v>
      </c>
      <c r="AD18" s="7" t="n">
        <f aca="false">IF(AB18&gt;=0,1,0)</f>
        <v>0</v>
      </c>
    </row>
    <row r="19" customFormat="false" ht="15" hidden="false" customHeight="false" outlineLevel="0" collapsed="false">
      <c r="A19" s="7" t="n">
        <v>2</v>
      </c>
      <c r="B19" s="7" t="s">
        <v>351</v>
      </c>
      <c r="C19" s="17" t="n">
        <f aca="false">IF($A19&gt;=Annahmen!$B$82,Annahmen!$B$83,0)</f>
        <v>0</v>
      </c>
      <c r="D19" s="17" t="n">
        <f aca="false">C19*Annahmen!$B$84</f>
        <v>0</v>
      </c>
      <c r="E19" s="23" t="n">
        <f aca="false">(C19-D19)*Annahmen!$B$96</f>
        <v>0</v>
      </c>
      <c r="F19" s="17" t="n">
        <f aca="false">IF($A19&gt;Annahmen!$B$86,INDEX($C$18:$C$41,$A19-Annahmen!$B$86)*Annahmen!$B$85,0)</f>
        <v>0</v>
      </c>
      <c r="G19" s="23" t="n">
        <f aca="false">F19*(Annahmen!$B$87*(Annahmen!$B$97+Annahmen!$B$98)-Annahmen!$B$96*(1-Annahmen!$B$84))</f>
        <v>0</v>
      </c>
      <c r="H19" s="17" t="n">
        <f aca="false">IF($A19&gt;=Annahmen!$B$82,Annahmen!$B$88,0)</f>
        <v>0</v>
      </c>
      <c r="I19" s="23" t="n">
        <f aca="false">H19*(Annahmen!$B$97+Annahmen!$B$89*Annahmen!$B$98)</f>
        <v>0</v>
      </c>
      <c r="J19" s="17" t="n">
        <f aca="false">IF($A19&gt;=Annahmen!$B$82,Annahmen!$B$90,0)</f>
        <v>0</v>
      </c>
      <c r="K19" s="23" t="n">
        <f aca="false">J19*(Annahmen!$B$99+Annahmen!$B$91*Annahmen!$B$102)</f>
        <v>0</v>
      </c>
      <c r="L19" s="17" t="n">
        <f aca="false">IF($A19&gt;=Annahmen!$B$82,Annahmen!$B$92,0)</f>
        <v>0</v>
      </c>
      <c r="M19" s="23" t="n">
        <f aca="false">L19*Annahmen!$B$103</f>
        <v>0</v>
      </c>
      <c r="N19" s="15" t="n">
        <f aca="false">IF($A19&gt;=Annahmen!$B$82,Annahmen!$B$93,0)</f>
        <v>0</v>
      </c>
      <c r="O19" s="23" t="n">
        <f aca="false">N19*Annahmen!$B$104</f>
        <v>0</v>
      </c>
      <c r="P19" s="15" t="n">
        <f aca="false">IF($A19&gt;=Annahmen!$B$82,Annahmen!$B$94,0)</f>
        <v>0</v>
      </c>
      <c r="Q19" s="23" t="n">
        <f aca="false">P19*Annahmen!$B$105</f>
        <v>0</v>
      </c>
      <c r="R19" s="17" t="n">
        <f aca="false">IF($A19&gt;=Annahmen!$B$82,Annahmen!$B$95,0)</f>
        <v>0</v>
      </c>
      <c r="S19" s="23" t="n">
        <f aca="false">R19*Annahmen!$B$106</f>
        <v>0</v>
      </c>
      <c r="T19" s="23" t="n">
        <f aca="false">E19+G19+I19+K19+M19+O19+Q19+S19</f>
        <v>0</v>
      </c>
      <c r="U19" s="23" t="n">
        <f aca="false">C19*Annahmen!$B$51+F19*Annahmen!$B$87*Annahmen!$B$47+H19*(Annahmen!$B$45+Annahmen!$B$89*(Annahmen!$B$47-Annahmen!$B$45))+J19*Annahmen!$B$48+L19*Annahmen!$B$49+(N19+P19)*Annahmen!$B$50</f>
        <v>0</v>
      </c>
      <c r="V19" s="23" t="n">
        <f aca="false">SUMPRODUCT((((Annahmen!$C$145:$C$155="monatlich")*(Annahmen!$D$145:$D$155&lt;=$A19))+((Annahmen!$C$145:$C$155="einmalig")*(Annahmen!$D$145:$D$155=$A19)))*Annahmen!$B$145:$B$155*Annahmen!$F$145:$F$155)</f>
        <v>50.8275708031806</v>
      </c>
      <c r="W19" s="23" t="n">
        <f aca="false">Annahmen!$B$135</f>
        <v>50</v>
      </c>
      <c r="X19" s="17" t="n">
        <f aca="false">C19+F19*Annahmen!$B$87+H19+J19+L19/Annahmen!$B$46+(N19+P19)/(Annahmen!$B$23/Annahmen!$B$24)</f>
        <v>0</v>
      </c>
      <c r="Y19" s="35" t="n">
        <f aca="false">MAX(0,(X19-Annahmen!$B$140)/Annahmen!$B$141)</f>
        <v>0</v>
      </c>
      <c r="Z19" s="23" t="n">
        <f aca="false">Y19*Annahmen!$B$137</f>
        <v>0</v>
      </c>
      <c r="AA19" s="23" t="n">
        <f aca="false">T19-U19-V19-W19-Z19</f>
        <v>-100.827570803181</v>
      </c>
      <c r="AB19" s="23" t="n">
        <f aca="false">AB18+AA19</f>
        <v>-364.055141606361</v>
      </c>
      <c r="AC19" s="7" t="n">
        <f aca="false">IF(AA19&gt;0,1,0)</f>
        <v>0</v>
      </c>
      <c r="AD19" s="7" t="n">
        <f aca="false">IF(AB19&gt;=0,1,0)</f>
        <v>0</v>
      </c>
    </row>
    <row r="20" customFormat="false" ht="15" hidden="false" customHeight="false" outlineLevel="0" collapsed="false">
      <c r="A20" s="7" t="n">
        <v>3</v>
      </c>
      <c r="B20" s="7" t="s">
        <v>352</v>
      </c>
      <c r="C20" s="17" t="n">
        <f aca="false">IF($A20&gt;=Annahmen!$B$82,Annahmen!$B$83,0)</f>
        <v>0</v>
      </c>
      <c r="D20" s="17" t="n">
        <f aca="false">C20*Annahmen!$B$84</f>
        <v>0</v>
      </c>
      <c r="E20" s="23" t="n">
        <f aca="false">(C20-D20)*Annahmen!$B$96</f>
        <v>0</v>
      </c>
      <c r="F20" s="17" t="n">
        <f aca="false">IF($A20&gt;Annahmen!$B$86,INDEX($C$18:$C$41,$A20-Annahmen!$B$86)*Annahmen!$B$85,0)</f>
        <v>0</v>
      </c>
      <c r="G20" s="23" t="n">
        <f aca="false">F20*(Annahmen!$B$87*(Annahmen!$B$97+Annahmen!$B$98)-Annahmen!$B$96*(1-Annahmen!$B$84))</f>
        <v>0</v>
      </c>
      <c r="H20" s="17" t="n">
        <f aca="false">IF($A20&gt;=Annahmen!$B$82,Annahmen!$B$88,0)</f>
        <v>0</v>
      </c>
      <c r="I20" s="23" t="n">
        <f aca="false">H20*(Annahmen!$B$97+Annahmen!$B$89*Annahmen!$B$98)</f>
        <v>0</v>
      </c>
      <c r="J20" s="17" t="n">
        <f aca="false">IF($A20&gt;=Annahmen!$B$82,Annahmen!$B$90,0)</f>
        <v>0</v>
      </c>
      <c r="K20" s="23" t="n">
        <f aca="false">J20*(Annahmen!$B$99+Annahmen!$B$91*Annahmen!$B$102)</f>
        <v>0</v>
      </c>
      <c r="L20" s="17" t="n">
        <f aca="false">IF($A20&gt;=Annahmen!$B$82,Annahmen!$B$92,0)</f>
        <v>0</v>
      </c>
      <c r="M20" s="23" t="n">
        <f aca="false">L20*Annahmen!$B$103</f>
        <v>0</v>
      </c>
      <c r="N20" s="15" t="n">
        <f aca="false">IF($A20&gt;=Annahmen!$B$82,Annahmen!$B$93,0)</f>
        <v>0</v>
      </c>
      <c r="O20" s="23" t="n">
        <f aca="false">N20*Annahmen!$B$104</f>
        <v>0</v>
      </c>
      <c r="P20" s="15" t="n">
        <f aca="false">IF($A20&gt;=Annahmen!$B$82,Annahmen!$B$94,0)</f>
        <v>0</v>
      </c>
      <c r="Q20" s="23" t="n">
        <f aca="false">P20*Annahmen!$B$105</f>
        <v>0</v>
      </c>
      <c r="R20" s="17" t="n">
        <f aca="false">IF($A20&gt;=Annahmen!$B$82,Annahmen!$B$95,0)</f>
        <v>0</v>
      </c>
      <c r="S20" s="23" t="n">
        <f aca="false">R20*Annahmen!$B$106</f>
        <v>0</v>
      </c>
      <c r="T20" s="23" t="n">
        <f aca="false">E20+G20+I20+K20+M20+O20+Q20+S20</f>
        <v>0</v>
      </c>
      <c r="U20" s="23" t="n">
        <f aca="false">C20*Annahmen!$B$51+F20*Annahmen!$B$87*Annahmen!$B$47+H20*(Annahmen!$B$45+Annahmen!$B$89*(Annahmen!$B$47-Annahmen!$B$45))+J20*Annahmen!$B$48+L20*Annahmen!$B$49+(N20+P20)*Annahmen!$B$50</f>
        <v>0</v>
      </c>
      <c r="V20" s="23" t="n">
        <f aca="false">SUMPRODUCT((((Annahmen!$C$145:$C$155="monatlich")*(Annahmen!$D$145:$D$155&lt;=$A20))+((Annahmen!$C$145:$C$155="einmalig")*(Annahmen!$D$145:$D$155=$A20)))*Annahmen!$B$145:$B$155*Annahmen!$F$145:$F$155)</f>
        <v>330.827570803181</v>
      </c>
      <c r="W20" s="23" t="n">
        <f aca="false">Annahmen!$B$135</f>
        <v>50</v>
      </c>
      <c r="X20" s="17" t="n">
        <f aca="false">C20+F20*Annahmen!$B$87+H20+J20+L20/Annahmen!$B$46+(N20+P20)/(Annahmen!$B$23/Annahmen!$B$24)</f>
        <v>0</v>
      </c>
      <c r="Y20" s="35" t="n">
        <f aca="false">MAX(0,(X20-Annahmen!$B$140)/Annahmen!$B$141)</f>
        <v>0</v>
      </c>
      <c r="Z20" s="23" t="n">
        <f aca="false">Y20*Annahmen!$B$137</f>
        <v>0</v>
      </c>
      <c r="AA20" s="23" t="n">
        <f aca="false">T20-U20-V20-W20-Z20</f>
        <v>-380.827570803181</v>
      </c>
      <c r="AB20" s="23" t="n">
        <f aca="false">AB19+AA20</f>
        <v>-744.882712409542</v>
      </c>
      <c r="AC20" s="7" t="n">
        <f aca="false">IF(AA20&gt;0,1,0)</f>
        <v>0</v>
      </c>
      <c r="AD20" s="7" t="n">
        <f aca="false">IF(AB20&gt;=0,1,0)</f>
        <v>0</v>
      </c>
    </row>
    <row r="21" customFormat="false" ht="15" hidden="false" customHeight="false" outlineLevel="0" collapsed="false">
      <c r="A21" s="7" t="n">
        <v>4</v>
      </c>
      <c r="B21" s="7" t="s">
        <v>353</v>
      </c>
      <c r="C21" s="17" t="n">
        <f aca="false">IF($A21&gt;=Annahmen!$B$82,Annahmen!$B$83,0)</f>
        <v>0</v>
      </c>
      <c r="D21" s="17" t="n">
        <f aca="false">C21*Annahmen!$B$84</f>
        <v>0</v>
      </c>
      <c r="E21" s="23" t="n">
        <f aca="false">(C21-D21)*Annahmen!$B$96</f>
        <v>0</v>
      </c>
      <c r="F21" s="17" t="n">
        <f aca="false">IF($A21&gt;Annahmen!$B$86,INDEX($C$18:$C$41,$A21-Annahmen!$B$86)*Annahmen!$B$85,0)</f>
        <v>0</v>
      </c>
      <c r="G21" s="23" t="n">
        <f aca="false">F21*(Annahmen!$B$87*(Annahmen!$B$97+Annahmen!$B$98)-Annahmen!$B$96*(1-Annahmen!$B$84))</f>
        <v>0</v>
      </c>
      <c r="H21" s="17" t="n">
        <f aca="false">IF($A21&gt;=Annahmen!$B$82,Annahmen!$B$88,0)</f>
        <v>0</v>
      </c>
      <c r="I21" s="23" t="n">
        <f aca="false">H21*(Annahmen!$B$97+Annahmen!$B$89*Annahmen!$B$98)</f>
        <v>0</v>
      </c>
      <c r="J21" s="17" t="n">
        <f aca="false">IF($A21&gt;=Annahmen!$B$82,Annahmen!$B$90,0)</f>
        <v>0</v>
      </c>
      <c r="K21" s="23" t="n">
        <f aca="false">J21*(Annahmen!$B$99+Annahmen!$B$91*Annahmen!$B$102)</f>
        <v>0</v>
      </c>
      <c r="L21" s="17" t="n">
        <f aca="false">IF($A21&gt;=Annahmen!$B$82,Annahmen!$B$92,0)</f>
        <v>0</v>
      </c>
      <c r="M21" s="23" t="n">
        <f aca="false">L21*Annahmen!$B$103</f>
        <v>0</v>
      </c>
      <c r="N21" s="15" t="n">
        <f aca="false">IF($A21&gt;=Annahmen!$B$82,Annahmen!$B$93,0)</f>
        <v>0</v>
      </c>
      <c r="O21" s="23" t="n">
        <f aca="false">N21*Annahmen!$B$104</f>
        <v>0</v>
      </c>
      <c r="P21" s="15" t="n">
        <f aca="false">IF($A21&gt;=Annahmen!$B$82,Annahmen!$B$94,0)</f>
        <v>0</v>
      </c>
      <c r="Q21" s="23" t="n">
        <f aca="false">P21*Annahmen!$B$105</f>
        <v>0</v>
      </c>
      <c r="R21" s="17" t="n">
        <f aca="false">IF($A21&gt;=Annahmen!$B$82,Annahmen!$B$95,0)</f>
        <v>0</v>
      </c>
      <c r="S21" s="23" t="n">
        <f aca="false">R21*Annahmen!$B$106</f>
        <v>0</v>
      </c>
      <c r="T21" s="23" t="n">
        <f aca="false">E21+G21+I21+K21+M21+O21+Q21+S21</f>
        <v>0</v>
      </c>
      <c r="U21" s="23" t="n">
        <f aca="false">C21*Annahmen!$B$51+F21*Annahmen!$B$87*Annahmen!$B$47+H21*(Annahmen!$B$45+Annahmen!$B$89*(Annahmen!$B$47-Annahmen!$B$45))+J21*Annahmen!$B$48+L21*Annahmen!$B$49+(N21+P21)*Annahmen!$B$50</f>
        <v>0</v>
      </c>
      <c r="V21" s="23" t="n">
        <f aca="false">SUMPRODUCT((((Annahmen!$C$145:$C$155="monatlich")*(Annahmen!$D$145:$D$155&lt;=$A21))+((Annahmen!$C$145:$C$155="einmalig")*(Annahmen!$D$145:$D$155=$A21)))*Annahmen!$B$145:$B$155*Annahmen!$F$145:$F$155)</f>
        <v>50.8275708031806</v>
      </c>
      <c r="W21" s="23" t="n">
        <f aca="false">Annahmen!$B$135</f>
        <v>50</v>
      </c>
      <c r="X21" s="17" t="n">
        <f aca="false">C21+F21*Annahmen!$B$87+H21+J21+L21/Annahmen!$B$46+(N21+P21)/(Annahmen!$B$23/Annahmen!$B$24)</f>
        <v>0</v>
      </c>
      <c r="Y21" s="35" t="n">
        <f aca="false">MAX(0,(X21-Annahmen!$B$140)/Annahmen!$B$141)</f>
        <v>0</v>
      </c>
      <c r="Z21" s="23" t="n">
        <f aca="false">Y21*Annahmen!$B$137</f>
        <v>0</v>
      </c>
      <c r="AA21" s="23" t="n">
        <f aca="false">T21-U21-V21-W21-Z21</f>
        <v>-100.827570803181</v>
      </c>
      <c r="AB21" s="23" t="n">
        <f aca="false">AB20+AA21</f>
        <v>-845.710283212722</v>
      </c>
      <c r="AC21" s="7" t="n">
        <f aca="false">IF(AA21&gt;0,1,0)</f>
        <v>0</v>
      </c>
      <c r="AD21" s="7" t="n">
        <f aca="false">IF(AB21&gt;=0,1,0)</f>
        <v>0</v>
      </c>
    </row>
    <row r="22" customFormat="false" ht="15" hidden="false" customHeight="false" outlineLevel="0" collapsed="false">
      <c r="A22" s="7" t="n">
        <v>5</v>
      </c>
      <c r="B22" s="7" t="s">
        <v>354</v>
      </c>
      <c r="C22" s="17" t="n">
        <f aca="false">IF($A22&gt;=Annahmen!$B$82,Annahmen!$B$83,0)</f>
        <v>0.3</v>
      </c>
      <c r="D22" s="17" t="n">
        <f aca="false">C22*Annahmen!$B$84</f>
        <v>0.09</v>
      </c>
      <c r="E22" s="23" t="n">
        <f aca="false">(C22-D22)*Annahmen!$B$96</f>
        <v>102.9</v>
      </c>
      <c r="F22" s="17" t="n">
        <f aca="false">IF($A22&gt;Annahmen!$B$86,INDEX($C$18:$C$41,$A22-Annahmen!$B$86)*Annahmen!$B$85,0)</f>
        <v>0</v>
      </c>
      <c r="G22" s="23" t="n">
        <f aca="false">F22*(Annahmen!$B$87*(Annahmen!$B$97+Annahmen!$B$98)-Annahmen!$B$96*(1-Annahmen!$B$84))</f>
        <v>0</v>
      </c>
      <c r="H22" s="17" t="n">
        <f aca="false">IF($A22&gt;=Annahmen!$B$82,Annahmen!$B$88,0)</f>
        <v>0</v>
      </c>
      <c r="I22" s="23" t="n">
        <f aca="false">H22*(Annahmen!$B$97+Annahmen!$B$89*Annahmen!$B$98)</f>
        <v>0</v>
      </c>
      <c r="J22" s="17" t="n">
        <f aca="false">IF($A22&gt;=Annahmen!$B$82,Annahmen!$B$90,0)</f>
        <v>0</v>
      </c>
      <c r="K22" s="23" t="n">
        <f aca="false">J22*(Annahmen!$B$99+Annahmen!$B$91*Annahmen!$B$102)</f>
        <v>0</v>
      </c>
      <c r="L22" s="17" t="n">
        <f aca="false">IF($A22&gt;=Annahmen!$B$82,Annahmen!$B$92,0)</f>
        <v>0</v>
      </c>
      <c r="M22" s="23" t="n">
        <f aca="false">L22*Annahmen!$B$103</f>
        <v>0</v>
      </c>
      <c r="N22" s="15" t="n">
        <f aca="false">IF($A22&gt;=Annahmen!$B$82,Annahmen!$B$93,0)</f>
        <v>0</v>
      </c>
      <c r="O22" s="23" t="n">
        <f aca="false">N22*Annahmen!$B$104</f>
        <v>0</v>
      </c>
      <c r="P22" s="15" t="n">
        <f aca="false">IF($A22&gt;=Annahmen!$B$82,Annahmen!$B$94,0)</f>
        <v>0</v>
      </c>
      <c r="Q22" s="23" t="n">
        <f aca="false">P22*Annahmen!$B$105</f>
        <v>0</v>
      </c>
      <c r="R22" s="17" t="n">
        <f aca="false">IF($A22&gt;=Annahmen!$B$82,Annahmen!$B$95,0)</f>
        <v>0</v>
      </c>
      <c r="S22" s="23" t="n">
        <f aca="false">R22*Annahmen!$B$106</f>
        <v>0</v>
      </c>
      <c r="T22" s="23" t="n">
        <f aca="false">E22+G22+I22+K22+M22+O22+Q22+S22</f>
        <v>102.9</v>
      </c>
      <c r="U22" s="23" t="n">
        <f aca="false">C22*Annahmen!$B$51+F22*Annahmen!$B$87*Annahmen!$B$47+H22*(Annahmen!$B$45+Annahmen!$B$89*(Annahmen!$B$47-Annahmen!$B$45))+J22*Annahmen!$B$48+L22*Annahmen!$B$49+(N22+P22)*Annahmen!$B$50</f>
        <v>4.85810845135387</v>
      </c>
      <c r="V22" s="23" t="n">
        <f aca="false">SUMPRODUCT((((Annahmen!$C$145:$C$155="monatlich")*(Annahmen!$D$145:$D$155&lt;=$A22))+((Annahmen!$C$145:$C$155="einmalig")*(Annahmen!$D$145:$D$155=$A22)))*Annahmen!$B$145:$B$155*Annahmen!$F$145:$F$155)</f>
        <v>610.827570803181</v>
      </c>
      <c r="W22" s="23" t="n">
        <f aca="false">Annahmen!$B$135</f>
        <v>50</v>
      </c>
      <c r="X22" s="17" t="n">
        <f aca="false">C22+F22*Annahmen!$B$87+H22+J22+L22/Annahmen!$B$46+(N22+P22)/(Annahmen!$B$23/Annahmen!$B$24)</f>
        <v>0.3</v>
      </c>
      <c r="Y22" s="35" t="n">
        <f aca="false">MAX(0,(X22-Annahmen!$B$140)/Annahmen!$B$141)</f>
        <v>0</v>
      </c>
      <c r="Z22" s="23" t="n">
        <f aca="false">Y22*Annahmen!$B$137</f>
        <v>0</v>
      </c>
      <c r="AA22" s="23" t="n">
        <f aca="false">T22-U22-V22-W22-Z22</f>
        <v>-562.785679254534</v>
      </c>
      <c r="AB22" s="23" t="n">
        <f aca="false">AB21+AA22</f>
        <v>-1408.49596246726</v>
      </c>
      <c r="AC22" s="7" t="n">
        <f aca="false">IF(AA22&gt;0,1,0)</f>
        <v>0</v>
      </c>
      <c r="AD22" s="7" t="n">
        <f aca="false">IF(AB22&gt;=0,1,0)</f>
        <v>0</v>
      </c>
    </row>
    <row r="23" customFormat="false" ht="15" hidden="false" customHeight="false" outlineLevel="0" collapsed="false">
      <c r="A23" s="7" t="n">
        <v>6</v>
      </c>
      <c r="B23" s="7" t="s">
        <v>355</v>
      </c>
      <c r="C23" s="17" t="n">
        <f aca="false">IF($A23&gt;=Annahmen!$B$82,Annahmen!$B$83,0)</f>
        <v>0.3</v>
      </c>
      <c r="D23" s="17" t="n">
        <f aca="false">C23*Annahmen!$B$84</f>
        <v>0.09</v>
      </c>
      <c r="E23" s="23" t="n">
        <f aca="false">(C23-D23)*Annahmen!$B$96</f>
        <v>102.9</v>
      </c>
      <c r="F23" s="17" t="n">
        <f aca="false">IF($A23&gt;Annahmen!$B$86,INDEX($C$18:$C$41,$A23-Annahmen!$B$86)*Annahmen!$B$85,0)</f>
        <v>0</v>
      </c>
      <c r="G23" s="23" t="n">
        <f aca="false">F23*(Annahmen!$B$87*(Annahmen!$B$97+Annahmen!$B$98)-Annahmen!$B$96*(1-Annahmen!$B$84))</f>
        <v>0</v>
      </c>
      <c r="H23" s="17" t="n">
        <f aca="false">IF($A23&gt;=Annahmen!$B$82,Annahmen!$B$88,0)</f>
        <v>0</v>
      </c>
      <c r="I23" s="23" t="n">
        <f aca="false">H23*(Annahmen!$B$97+Annahmen!$B$89*Annahmen!$B$98)</f>
        <v>0</v>
      </c>
      <c r="J23" s="17" t="n">
        <f aca="false">IF($A23&gt;=Annahmen!$B$82,Annahmen!$B$90,0)</f>
        <v>0</v>
      </c>
      <c r="K23" s="23" t="n">
        <f aca="false">J23*(Annahmen!$B$99+Annahmen!$B$91*Annahmen!$B$102)</f>
        <v>0</v>
      </c>
      <c r="L23" s="17" t="n">
        <f aca="false">IF($A23&gt;=Annahmen!$B$82,Annahmen!$B$92,0)</f>
        <v>0</v>
      </c>
      <c r="M23" s="23" t="n">
        <f aca="false">L23*Annahmen!$B$103</f>
        <v>0</v>
      </c>
      <c r="N23" s="15" t="n">
        <f aca="false">IF($A23&gt;=Annahmen!$B$82,Annahmen!$B$93,0)</f>
        <v>0</v>
      </c>
      <c r="O23" s="23" t="n">
        <f aca="false">N23*Annahmen!$B$104</f>
        <v>0</v>
      </c>
      <c r="P23" s="15" t="n">
        <f aca="false">IF($A23&gt;=Annahmen!$B$82,Annahmen!$B$94,0)</f>
        <v>0</v>
      </c>
      <c r="Q23" s="23" t="n">
        <f aca="false">P23*Annahmen!$B$105</f>
        <v>0</v>
      </c>
      <c r="R23" s="17" t="n">
        <f aca="false">IF($A23&gt;=Annahmen!$B$82,Annahmen!$B$95,0)</f>
        <v>0</v>
      </c>
      <c r="S23" s="23" t="n">
        <f aca="false">R23*Annahmen!$B$106</f>
        <v>0</v>
      </c>
      <c r="T23" s="23" t="n">
        <f aca="false">E23+G23+I23+K23+M23+O23+Q23+S23</f>
        <v>102.9</v>
      </c>
      <c r="U23" s="23" t="n">
        <f aca="false">C23*Annahmen!$B$51+F23*Annahmen!$B$87*Annahmen!$B$47+H23*(Annahmen!$B$45+Annahmen!$B$89*(Annahmen!$B$47-Annahmen!$B$45))+J23*Annahmen!$B$48+L23*Annahmen!$B$49+(N23+P23)*Annahmen!$B$50</f>
        <v>4.85810845135387</v>
      </c>
      <c r="V23" s="23" t="n">
        <f aca="false">SUMPRODUCT((((Annahmen!$C$145:$C$155="monatlich")*(Annahmen!$D$145:$D$155&lt;=$A23))+((Annahmen!$C$145:$C$155="einmalig")*(Annahmen!$D$145:$D$155=$A23)))*Annahmen!$B$145:$B$155*Annahmen!$F$145:$F$155)</f>
        <v>50.8275708031806</v>
      </c>
      <c r="W23" s="23" t="n">
        <f aca="false">Annahmen!$B$135</f>
        <v>50</v>
      </c>
      <c r="X23" s="17" t="n">
        <f aca="false">C23+F23*Annahmen!$B$87+H23+J23+L23/Annahmen!$B$46+(N23+P23)/(Annahmen!$B$23/Annahmen!$B$24)</f>
        <v>0.3</v>
      </c>
      <c r="Y23" s="35" t="n">
        <f aca="false">MAX(0,(X23-Annahmen!$B$140)/Annahmen!$B$141)</f>
        <v>0</v>
      </c>
      <c r="Z23" s="23" t="n">
        <f aca="false">Y23*Annahmen!$B$137</f>
        <v>0</v>
      </c>
      <c r="AA23" s="23" t="n">
        <f aca="false">T23-U23-V23-W23-Z23</f>
        <v>-2.78567925453444</v>
      </c>
      <c r="AB23" s="23" t="n">
        <f aca="false">AB22+AA23</f>
        <v>-1411.28164172179</v>
      </c>
      <c r="AC23" s="7" t="n">
        <f aca="false">IF(AA23&gt;0,1,0)</f>
        <v>0</v>
      </c>
      <c r="AD23" s="7" t="n">
        <f aca="false">IF(AB23&gt;=0,1,0)</f>
        <v>0</v>
      </c>
    </row>
    <row r="24" customFormat="false" ht="15" hidden="false" customHeight="false" outlineLevel="0" collapsed="false">
      <c r="A24" s="7" t="n">
        <v>7</v>
      </c>
      <c r="B24" s="7" t="s">
        <v>356</v>
      </c>
      <c r="C24" s="17" t="n">
        <f aca="false">IF($A24&gt;=Annahmen!$B$82,Annahmen!$B$83,0)</f>
        <v>0.3</v>
      </c>
      <c r="D24" s="17" t="n">
        <f aca="false">C24*Annahmen!$B$84</f>
        <v>0.09</v>
      </c>
      <c r="E24" s="23" t="n">
        <f aca="false">(C24-D24)*Annahmen!$B$96</f>
        <v>102.9</v>
      </c>
      <c r="F24" s="17" t="n">
        <f aca="false">IF($A24&gt;Annahmen!$B$86,INDEX($C$18:$C$41,$A24-Annahmen!$B$86)*Annahmen!$B$85,0)</f>
        <v>0</v>
      </c>
      <c r="G24" s="23" t="n">
        <f aca="false">F24*(Annahmen!$B$87*(Annahmen!$B$97+Annahmen!$B$98)-Annahmen!$B$96*(1-Annahmen!$B$84))</f>
        <v>0</v>
      </c>
      <c r="H24" s="17" t="n">
        <f aca="false">IF($A24&gt;=Annahmen!$B$82,Annahmen!$B$88,0)</f>
        <v>0</v>
      </c>
      <c r="I24" s="23" t="n">
        <f aca="false">H24*(Annahmen!$B$97+Annahmen!$B$89*Annahmen!$B$98)</f>
        <v>0</v>
      </c>
      <c r="J24" s="17" t="n">
        <f aca="false">IF($A24&gt;=Annahmen!$B$82,Annahmen!$B$90,0)</f>
        <v>0</v>
      </c>
      <c r="K24" s="23" t="n">
        <f aca="false">J24*(Annahmen!$B$99+Annahmen!$B$91*Annahmen!$B$102)</f>
        <v>0</v>
      </c>
      <c r="L24" s="17" t="n">
        <f aca="false">IF($A24&gt;=Annahmen!$B$82,Annahmen!$B$92,0)</f>
        <v>0</v>
      </c>
      <c r="M24" s="23" t="n">
        <f aca="false">L24*Annahmen!$B$103</f>
        <v>0</v>
      </c>
      <c r="N24" s="15" t="n">
        <f aca="false">IF($A24&gt;=Annahmen!$B$82,Annahmen!$B$93,0)</f>
        <v>0</v>
      </c>
      <c r="O24" s="23" t="n">
        <f aca="false">N24*Annahmen!$B$104</f>
        <v>0</v>
      </c>
      <c r="P24" s="15" t="n">
        <f aca="false">IF($A24&gt;=Annahmen!$B$82,Annahmen!$B$94,0)</f>
        <v>0</v>
      </c>
      <c r="Q24" s="23" t="n">
        <f aca="false">P24*Annahmen!$B$105</f>
        <v>0</v>
      </c>
      <c r="R24" s="17" t="n">
        <f aca="false">IF($A24&gt;=Annahmen!$B$82,Annahmen!$B$95,0)</f>
        <v>0</v>
      </c>
      <c r="S24" s="23" t="n">
        <f aca="false">R24*Annahmen!$B$106</f>
        <v>0</v>
      </c>
      <c r="T24" s="23" t="n">
        <f aca="false">E24+G24+I24+K24+M24+O24+Q24+S24</f>
        <v>102.9</v>
      </c>
      <c r="U24" s="23" t="n">
        <f aca="false">C24*Annahmen!$B$51+F24*Annahmen!$B$87*Annahmen!$B$47+H24*(Annahmen!$B$45+Annahmen!$B$89*(Annahmen!$B$47-Annahmen!$B$45))+J24*Annahmen!$B$48+L24*Annahmen!$B$49+(N24+P24)*Annahmen!$B$50</f>
        <v>4.85810845135387</v>
      </c>
      <c r="V24" s="23" t="n">
        <f aca="false">SUMPRODUCT((((Annahmen!$C$145:$C$155="monatlich")*(Annahmen!$D$145:$D$155&lt;=$A24))+((Annahmen!$C$145:$C$155="einmalig")*(Annahmen!$D$145:$D$155=$A24)))*Annahmen!$B$145:$B$155*Annahmen!$F$145:$F$155)</f>
        <v>50.8275708031806</v>
      </c>
      <c r="W24" s="23" t="n">
        <f aca="false">Annahmen!$B$135</f>
        <v>50</v>
      </c>
      <c r="X24" s="17" t="n">
        <f aca="false">C24+F24*Annahmen!$B$87+H24+J24+L24/Annahmen!$B$46+(N24+P24)/(Annahmen!$B$23/Annahmen!$B$24)</f>
        <v>0.3</v>
      </c>
      <c r="Y24" s="35" t="n">
        <f aca="false">MAX(0,(X24-Annahmen!$B$140)/Annahmen!$B$141)</f>
        <v>0</v>
      </c>
      <c r="Z24" s="23" t="n">
        <f aca="false">Y24*Annahmen!$B$137</f>
        <v>0</v>
      </c>
      <c r="AA24" s="23" t="n">
        <f aca="false">T24-U24-V24-W24-Z24</f>
        <v>-2.78567925453444</v>
      </c>
      <c r="AB24" s="23" t="n">
        <f aca="false">AB23+AA24</f>
        <v>-1414.06732097633</v>
      </c>
      <c r="AC24" s="7" t="n">
        <f aca="false">IF(AA24&gt;0,1,0)</f>
        <v>0</v>
      </c>
      <c r="AD24" s="7" t="n">
        <f aca="false">IF(AB24&gt;=0,1,0)</f>
        <v>0</v>
      </c>
    </row>
    <row r="25" customFormat="false" ht="15" hidden="false" customHeight="false" outlineLevel="0" collapsed="false">
      <c r="A25" s="7" t="n">
        <v>8</v>
      </c>
      <c r="B25" s="7" t="s">
        <v>357</v>
      </c>
      <c r="C25" s="17" t="n">
        <f aca="false">IF($A25&gt;=Annahmen!$B$82,Annahmen!$B$83,0)</f>
        <v>0.3</v>
      </c>
      <c r="D25" s="17" t="n">
        <f aca="false">C25*Annahmen!$B$84</f>
        <v>0.09</v>
      </c>
      <c r="E25" s="23" t="n">
        <f aca="false">(C25-D25)*Annahmen!$B$96</f>
        <v>102.9</v>
      </c>
      <c r="F25" s="17" t="n">
        <f aca="false">IF($A25&gt;Annahmen!$B$86,INDEX($C$18:$C$41,$A25-Annahmen!$B$86)*Annahmen!$B$85,0)</f>
        <v>0.09</v>
      </c>
      <c r="G25" s="23" t="n">
        <f aca="false">F25*(Annahmen!$B$87*(Annahmen!$B$97+Annahmen!$B$98)-Annahmen!$B$96*(1-Annahmen!$B$84))</f>
        <v>211.68</v>
      </c>
      <c r="H25" s="17" t="n">
        <f aca="false">IF($A25&gt;=Annahmen!$B$82,Annahmen!$B$88,0)</f>
        <v>0</v>
      </c>
      <c r="I25" s="23" t="n">
        <f aca="false">H25*(Annahmen!$B$97+Annahmen!$B$89*Annahmen!$B$98)</f>
        <v>0</v>
      </c>
      <c r="J25" s="17" t="n">
        <f aca="false">IF($A25&gt;=Annahmen!$B$82,Annahmen!$B$90,0)</f>
        <v>0</v>
      </c>
      <c r="K25" s="23" t="n">
        <f aca="false">J25*(Annahmen!$B$99+Annahmen!$B$91*Annahmen!$B$102)</f>
        <v>0</v>
      </c>
      <c r="L25" s="17" t="n">
        <f aca="false">IF($A25&gt;=Annahmen!$B$82,Annahmen!$B$92,0)</f>
        <v>0</v>
      </c>
      <c r="M25" s="23" t="n">
        <f aca="false">L25*Annahmen!$B$103</f>
        <v>0</v>
      </c>
      <c r="N25" s="15" t="n">
        <f aca="false">IF($A25&gt;=Annahmen!$B$82,Annahmen!$B$93,0)</f>
        <v>0</v>
      </c>
      <c r="O25" s="23" t="n">
        <f aca="false">N25*Annahmen!$B$104</f>
        <v>0</v>
      </c>
      <c r="P25" s="15" t="n">
        <f aca="false">IF($A25&gt;=Annahmen!$B$82,Annahmen!$B$94,0)</f>
        <v>0</v>
      </c>
      <c r="Q25" s="23" t="n">
        <f aca="false">P25*Annahmen!$B$105</f>
        <v>0</v>
      </c>
      <c r="R25" s="17" t="n">
        <f aca="false">IF($A25&gt;=Annahmen!$B$82,Annahmen!$B$95,0)</f>
        <v>0</v>
      </c>
      <c r="S25" s="23" t="n">
        <f aca="false">R25*Annahmen!$B$106</f>
        <v>0</v>
      </c>
      <c r="T25" s="23" t="n">
        <f aca="false">E25+G25+I25+K25+M25+O25+Q25+S25</f>
        <v>314.58</v>
      </c>
      <c r="U25" s="23" t="n">
        <f aca="false">C25*Annahmen!$B$51+F25*Annahmen!$B$87*Annahmen!$B$47+H25*(Annahmen!$B$45+Annahmen!$B$89*(Annahmen!$B$47-Annahmen!$B$45))+J25*Annahmen!$B$48+L25*Annahmen!$B$49+(N25+P25)*Annahmen!$B$50</f>
        <v>8.76039292347332</v>
      </c>
      <c r="V25" s="23" t="n">
        <f aca="false">SUMPRODUCT((((Annahmen!$C$145:$C$155="monatlich")*(Annahmen!$D$145:$D$155&lt;=$A25))+((Annahmen!$C$145:$C$155="einmalig")*(Annahmen!$D$145:$D$155=$A25)))*Annahmen!$B$145:$B$155*Annahmen!$F$145:$F$155)</f>
        <v>50.8275708031806</v>
      </c>
      <c r="W25" s="23" t="n">
        <f aca="false">Annahmen!$B$135</f>
        <v>50</v>
      </c>
      <c r="X25" s="17" t="n">
        <f aca="false">C25+F25*Annahmen!$B$87+H25+J25+L25/Annahmen!$B$46+(N25+P25)/(Annahmen!$B$23/Annahmen!$B$24)</f>
        <v>0.75</v>
      </c>
      <c r="Y25" s="35" t="n">
        <f aca="false">MAX(0,(X25-Annahmen!$B$140)/Annahmen!$B$141)</f>
        <v>0</v>
      </c>
      <c r="Z25" s="23" t="n">
        <f aca="false">Y25*Annahmen!$B$137</f>
        <v>0</v>
      </c>
      <c r="AA25" s="23" t="n">
        <f aca="false">T25-U25-V25-W25-Z25</f>
        <v>204.992036273346</v>
      </c>
      <c r="AB25" s="23" t="n">
        <f aca="false">AB24+AA25</f>
        <v>-1209.07528470298</v>
      </c>
      <c r="AC25" s="7" t="n">
        <f aca="false">IF(AA25&gt;0,1,0)</f>
        <v>1</v>
      </c>
      <c r="AD25" s="7" t="n">
        <f aca="false">IF(AB25&gt;=0,1,0)</f>
        <v>0</v>
      </c>
    </row>
    <row r="26" customFormat="false" ht="15" hidden="false" customHeight="false" outlineLevel="0" collapsed="false">
      <c r="A26" s="7" t="n">
        <v>9</v>
      </c>
      <c r="B26" s="7" t="s">
        <v>358</v>
      </c>
      <c r="C26" s="17" t="n">
        <f aca="false">IF($A26&gt;=Annahmen!$B$82,Annahmen!$B$83,0)</f>
        <v>0.3</v>
      </c>
      <c r="D26" s="17" t="n">
        <f aca="false">C26*Annahmen!$B$84</f>
        <v>0.09</v>
      </c>
      <c r="E26" s="23" t="n">
        <f aca="false">(C26-D26)*Annahmen!$B$96</f>
        <v>102.9</v>
      </c>
      <c r="F26" s="17" t="n">
        <f aca="false">IF($A26&gt;Annahmen!$B$86,INDEX($C$18:$C$41,$A26-Annahmen!$B$86)*Annahmen!$B$85,0)</f>
        <v>0.09</v>
      </c>
      <c r="G26" s="23" t="n">
        <f aca="false">F26*(Annahmen!$B$87*(Annahmen!$B$97+Annahmen!$B$98)-Annahmen!$B$96*(1-Annahmen!$B$84))</f>
        <v>211.68</v>
      </c>
      <c r="H26" s="17" t="n">
        <f aca="false">IF($A26&gt;=Annahmen!$B$82,Annahmen!$B$88,0)</f>
        <v>0</v>
      </c>
      <c r="I26" s="23" t="n">
        <f aca="false">H26*(Annahmen!$B$97+Annahmen!$B$89*Annahmen!$B$98)</f>
        <v>0</v>
      </c>
      <c r="J26" s="17" t="n">
        <f aca="false">IF($A26&gt;=Annahmen!$B$82,Annahmen!$B$90,0)</f>
        <v>0</v>
      </c>
      <c r="K26" s="23" t="n">
        <f aca="false">J26*(Annahmen!$B$99+Annahmen!$B$91*Annahmen!$B$102)</f>
        <v>0</v>
      </c>
      <c r="L26" s="17" t="n">
        <f aca="false">IF($A26&gt;=Annahmen!$B$82,Annahmen!$B$92,0)</f>
        <v>0</v>
      </c>
      <c r="M26" s="23" t="n">
        <f aca="false">L26*Annahmen!$B$103</f>
        <v>0</v>
      </c>
      <c r="N26" s="15" t="n">
        <f aca="false">IF($A26&gt;=Annahmen!$B$82,Annahmen!$B$93,0)</f>
        <v>0</v>
      </c>
      <c r="O26" s="23" t="n">
        <f aca="false">N26*Annahmen!$B$104</f>
        <v>0</v>
      </c>
      <c r="P26" s="15" t="n">
        <f aca="false">IF($A26&gt;=Annahmen!$B$82,Annahmen!$B$94,0)</f>
        <v>0</v>
      </c>
      <c r="Q26" s="23" t="n">
        <f aca="false">P26*Annahmen!$B$105</f>
        <v>0</v>
      </c>
      <c r="R26" s="17" t="n">
        <f aca="false">IF($A26&gt;=Annahmen!$B$82,Annahmen!$B$95,0)</f>
        <v>0</v>
      </c>
      <c r="S26" s="23" t="n">
        <f aca="false">R26*Annahmen!$B$106</f>
        <v>0</v>
      </c>
      <c r="T26" s="23" t="n">
        <f aca="false">E26+G26+I26+K26+M26+O26+Q26+S26</f>
        <v>314.58</v>
      </c>
      <c r="U26" s="23" t="n">
        <f aca="false">C26*Annahmen!$B$51+F26*Annahmen!$B$87*Annahmen!$B$47+H26*(Annahmen!$B$45+Annahmen!$B$89*(Annahmen!$B$47-Annahmen!$B$45))+J26*Annahmen!$B$48+L26*Annahmen!$B$49+(N26+P26)*Annahmen!$B$50</f>
        <v>8.76039292347332</v>
      </c>
      <c r="V26" s="23" t="n">
        <f aca="false">SUMPRODUCT((((Annahmen!$C$145:$C$155="monatlich")*(Annahmen!$D$145:$D$155&lt;=$A26))+((Annahmen!$C$145:$C$155="einmalig")*(Annahmen!$D$145:$D$155=$A26)))*Annahmen!$B$145:$B$155*Annahmen!$F$145:$F$155)</f>
        <v>50.8275708031806</v>
      </c>
      <c r="W26" s="23" t="n">
        <f aca="false">Annahmen!$B$135</f>
        <v>50</v>
      </c>
      <c r="X26" s="17" t="n">
        <f aca="false">C26+F26*Annahmen!$B$87+H26+J26+L26/Annahmen!$B$46+(N26+P26)/(Annahmen!$B$23/Annahmen!$B$24)</f>
        <v>0.75</v>
      </c>
      <c r="Y26" s="35" t="n">
        <f aca="false">MAX(0,(X26-Annahmen!$B$140)/Annahmen!$B$141)</f>
        <v>0</v>
      </c>
      <c r="Z26" s="23" t="n">
        <f aca="false">Y26*Annahmen!$B$137</f>
        <v>0</v>
      </c>
      <c r="AA26" s="23" t="n">
        <f aca="false">T26-U26-V26-W26-Z26</f>
        <v>204.992036273346</v>
      </c>
      <c r="AB26" s="23" t="n">
        <f aca="false">AB25+AA26</f>
        <v>-1004.08324842963</v>
      </c>
      <c r="AC26" s="7" t="n">
        <f aca="false">IF(AA26&gt;0,1,0)</f>
        <v>1</v>
      </c>
      <c r="AD26" s="7" t="n">
        <f aca="false">IF(AB26&gt;=0,1,0)</f>
        <v>0</v>
      </c>
    </row>
    <row r="27" customFormat="false" ht="15" hidden="false" customHeight="false" outlineLevel="0" collapsed="false">
      <c r="A27" s="7" t="n">
        <v>10</v>
      </c>
      <c r="B27" s="7" t="s">
        <v>359</v>
      </c>
      <c r="C27" s="17" t="n">
        <f aca="false">IF($A27&gt;=Annahmen!$B$82,Annahmen!$B$83,0)</f>
        <v>0.3</v>
      </c>
      <c r="D27" s="17" t="n">
        <f aca="false">C27*Annahmen!$B$84</f>
        <v>0.09</v>
      </c>
      <c r="E27" s="23" t="n">
        <f aca="false">(C27-D27)*Annahmen!$B$96</f>
        <v>102.9</v>
      </c>
      <c r="F27" s="17" t="n">
        <f aca="false">IF($A27&gt;Annahmen!$B$86,INDEX($C$18:$C$41,$A27-Annahmen!$B$86)*Annahmen!$B$85,0)</f>
        <v>0.09</v>
      </c>
      <c r="G27" s="23" t="n">
        <f aca="false">F27*(Annahmen!$B$87*(Annahmen!$B$97+Annahmen!$B$98)-Annahmen!$B$96*(1-Annahmen!$B$84))</f>
        <v>211.68</v>
      </c>
      <c r="H27" s="17" t="n">
        <f aca="false">IF($A27&gt;=Annahmen!$B$82,Annahmen!$B$88,0)</f>
        <v>0</v>
      </c>
      <c r="I27" s="23" t="n">
        <f aca="false">H27*(Annahmen!$B$97+Annahmen!$B$89*Annahmen!$B$98)</f>
        <v>0</v>
      </c>
      <c r="J27" s="17" t="n">
        <f aca="false">IF($A27&gt;=Annahmen!$B$82,Annahmen!$B$90,0)</f>
        <v>0</v>
      </c>
      <c r="K27" s="23" t="n">
        <f aca="false">J27*(Annahmen!$B$99+Annahmen!$B$91*Annahmen!$B$102)</f>
        <v>0</v>
      </c>
      <c r="L27" s="17" t="n">
        <f aca="false">IF($A27&gt;=Annahmen!$B$82,Annahmen!$B$92,0)</f>
        <v>0</v>
      </c>
      <c r="M27" s="23" t="n">
        <f aca="false">L27*Annahmen!$B$103</f>
        <v>0</v>
      </c>
      <c r="N27" s="15" t="n">
        <f aca="false">IF($A27&gt;=Annahmen!$B$82,Annahmen!$B$93,0)</f>
        <v>0</v>
      </c>
      <c r="O27" s="23" t="n">
        <f aca="false">N27*Annahmen!$B$104</f>
        <v>0</v>
      </c>
      <c r="P27" s="15" t="n">
        <f aca="false">IF($A27&gt;=Annahmen!$B$82,Annahmen!$B$94,0)</f>
        <v>0</v>
      </c>
      <c r="Q27" s="23" t="n">
        <f aca="false">P27*Annahmen!$B$105</f>
        <v>0</v>
      </c>
      <c r="R27" s="17" t="n">
        <f aca="false">IF($A27&gt;=Annahmen!$B$82,Annahmen!$B$95,0)</f>
        <v>0</v>
      </c>
      <c r="S27" s="23" t="n">
        <f aca="false">R27*Annahmen!$B$106</f>
        <v>0</v>
      </c>
      <c r="T27" s="23" t="n">
        <f aca="false">E27+G27+I27+K27+M27+O27+Q27+S27</f>
        <v>314.58</v>
      </c>
      <c r="U27" s="23" t="n">
        <f aca="false">C27*Annahmen!$B$51+F27*Annahmen!$B$87*Annahmen!$B$47+H27*(Annahmen!$B$45+Annahmen!$B$89*(Annahmen!$B$47-Annahmen!$B$45))+J27*Annahmen!$B$48+L27*Annahmen!$B$49+(N27+P27)*Annahmen!$B$50</f>
        <v>8.76039292347332</v>
      </c>
      <c r="V27" s="23" t="n">
        <f aca="false">SUMPRODUCT((((Annahmen!$C$145:$C$155="monatlich")*(Annahmen!$D$145:$D$155&lt;=$A27))+((Annahmen!$C$145:$C$155="einmalig")*(Annahmen!$D$145:$D$155=$A27)))*Annahmen!$B$145:$B$155*Annahmen!$F$145:$F$155)</f>
        <v>50.8275708031806</v>
      </c>
      <c r="W27" s="23" t="n">
        <f aca="false">Annahmen!$B$135</f>
        <v>50</v>
      </c>
      <c r="X27" s="17" t="n">
        <f aca="false">C27+F27*Annahmen!$B$87+H27+J27+L27/Annahmen!$B$46+(N27+P27)/(Annahmen!$B$23/Annahmen!$B$24)</f>
        <v>0.75</v>
      </c>
      <c r="Y27" s="35" t="n">
        <f aca="false">MAX(0,(X27-Annahmen!$B$140)/Annahmen!$B$141)</f>
        <v>0</v>
      </c>
      <c r="Z27" s="23" t="n">
        <f aca="false">Y27*Annahmen!$B$137</f>
        <v>0</v>
      </c>
      <c r="AA27" s="23" t="n">
        <f aca="false">T27-U27-V27-W27-Z27</f>
        <v>204.992036273346</v>
      </c>
      <c r="AB27" s="23" t="n">
        <f aca="false">AB26+AA27</f>
        <v>-799.091212156287</v>
      </c>
      <c r="AC27" s="7" t="n">
        <f aca="false">IF(AA27&gt;0,1,0)</f>
        <v>1</v>
      </c>
      <c r="AD27" s="7" t="n">
        <f aca="false">IF(AB27&gt;=0,1,0)</f>
        <v>0</v>
      </c>
    </row>
    <row r="28" customFormat="false" ht="15" hidden="false" customHeight="false" outlineLevel="0" collapsed="false">
      <c r="A28" s="7" t="n">
        <v>11</v>
      </c>
      <c r="B28" s="7" t="s">
        <v>360</v>
      </c>
      <c r="C28" s="17" t="n">
        <f aca="false">IF($A28&gt;=Annahmen!$B$82,Annahmen!$B$83,0)</f>
        <v>0.3</v>
      </c>
      <c r="D28" s="17" t="n">
        <f aca="false">C28*Annahmen!$B$84</f>
        <v>0.09</v>
      </c>
      <c r="E28" s="23" t="n">
        <f aca="false">(C28-D28)*Annahmen!$B$96</f>
        <v>102.9</v>
      </c>
      <c r="F28" s="17" t="n">
        <f aca="false">IF($A28&gt;Annahmen!$B$86,INDEX($C$18:$C$41,$A28-Annahmen!$B$86)*Annahmen!$B$85,0)</f>
        <v>0.09</v>
      </c>
      <c r="G28" s="23" t="n">
        <f aca="false">F28*(Annahmen!$B$87*(Annahmen!$B$97+Annahmen!$B$98)-Annahmen!$B$96*(1-Annahmen!$B$84))</f>
        <v>211.68</v>
      </c>
      <c r="H28" s="17" t="n">
        <f aca="false">IF($A28&gt;=Annahmen!$B$82,Annahmen!$B$88,0)</f>
        <v>0</v>
      </c>
      <c r="I28" s="23" t="n">
        <f aca="false">H28*(Annahmen!$B$97+Annahmen!$B$89*Annahmen!$B$98)</f>
        <v>0</v>
      </c>
      <c r="J28" s="17" t="n">
        <f aca="false">IF($A28&gt;=Annahmen!$B$82,Annahmen!$B$90,0)</f>
        <v>0</v>
      </c>
      <c r="K28" s="23" t="n">
        <f aca="false">J28*(Annahmen!$B$99+Annahmen!$B$91*Annahmen!$B$102)</f>
        <v>0</v>
      </c>
      <c r="L28" s="17" t="n">
        <f aca="false">IF($A28&gt;=Annahmen!$B$82,Annahmen!$B$92,0)</f>
        <v>0</v>
      </c>
      <c r="M28" s="23" t="n">
        <f aca="false">L28*Annahmen!$B$103</f>
        <v>0</v>
      </c>
      <c r="N28" s="15" t="n">
        <f aca="false">IF($A28&gt;=Annahmen!$B$82,Annahmen!$B$93,0)</f>
        <v>0</v>
      </c>
      <c r="O28" s="23" t="n">
        <f aca="false">N28*Annahmen!$B$104</f>
        <v>0</v>
      </c>
      <c r="P28" s="15" t="n">
        <f aca="false">IF($A28&gt;=Annahmen!$B$82,Annahmen!$B$94,0)</f>
        <v>0</v>
      </c>
      <c r="Q28" s="23" t="n">
        <f aca="false">P28*Annahmen!$B$105</f>
        <v>0</v>
      </c>
      <c r="R28" s="17" t="n">
        <f aca="false">IF($A28&gt;=Annahmen!$B$82,Annahmen!$B$95,0)</f>
        <v>0</v>
      </c>
      <c r="S28" s="23" t="n">
        <f aca="false">R28*Annahmen!$B$106</f>
        <v>0</v>
      </c>
      <c r="T28" s="23" t="n">
        <f aca="false">E28+G28+I28+K28+M28+O28+Q28+S28</f>
        <v>314.58</v>
      </c>
      <c r="U28" s="23" t="n">
        <f aca="false">C28*Annahmen!$B$51+F28*Annahmen!$B$87*Annahmen!$B$47+H28*(Annahmen!$B$45+Annahmen!$B$89*(Annahmen!$B$47-Annahmen!$B$45))+J28*Annahmen!$B$48+L28*Annahmen!$B$49+(N28+P28)*Annahmen!$B$50</f>
        <v>8.76039292347332</v>
      </c>
      <c r="V28" s="23" t="n">
        <f aca="false">SUMPRODUCT((((Annahmen!$C$145:$C$155="monatlich")*(Annahmen!$D$145:$D$155&lt;=$A28))+((Annahmen!$C$145:$C$155="einmalig")*(Annahmen!$D$145:$D$155=$A28)))*Annahmen!$B$145:$B$155*Annahmen!$F$145:$F$155)</f>
        <v>50.8275708031806</v>
      </c>
      <c r="W28" s="23" t="n">
        <f aca="false">Annahmen!$B$135</f>
        <v>50</v>
      </c>
      <c r="X28" s="17" t="n">
        <f aca="false">C28+F28*Annahmen!$B$87+H28+J28+L28/Annahmen!$B$46+(N28+P28)/(Annahmen!$B$23/Annahmen!$B$24)</f>
        <v>0.75</v>
      </c>
      <c r="Y28" s="35" t="n">
        <f aca="false">MAX(0,(X28-Annahmen!$B$140)/Annahmen!$B$141)</f>
        <v>0</v>
      </c>
      <c r="Z28" s="23" t="n">
        <f aca="false">Y28*Annahmen!$B$137</f>
        <v>0</v>
      </c>
      <c r="AA28" s="23" t="n">
        <f aca="false">T28-U28-V28-W28-Z28</f>
        <v>204.992036273346</v>
      </c>
      <c r="AB28" s="23" t="n">
        <f aca="false">AB27+AA28</f>
        <v>-594.099175882941</v>
      </c>
      <c r="AC28" s="7" t="n">
        <f aca="false">IF(AA28&gt;0,1,0)</f>
        <v>1</v>
      </c>
      <c r="AD28" s="7" t="n">
        <f aca="false">IF(AB28&gt;=0,1,0)</f>
        <v>0</v>
      </c>
    </row>
    <row r="29" customFormat="false" ht="15" hidden="false" customHeight="false" outlineLevel="0" collapsed="false">
      <c r="A29" s="7" t="n">
        <v>12</v>
      </c>
      <c r="B29" s="7" t="s">
        <v>361</v>
      </c>
      <c r="C29" s="17" t="n">
        <f aca="false">IF($A29&gt;=Annahmen!$B$82,Annahmen!$B$83,0)</f>
        <v>0.3</v>
      </c>
      <c r="D29" s="17" t="n">
        <f aca="false">C29*Annahmen!$B$84</f>
        <v>0.09</v>
      </c>
      <c r="E29" s="23" t="n">
        <f aca="false">(C29-D29)*Annahmen!$B$96</f>
        <v>102.9</v>
      </c>
      <c r="F29" s="17" t="n">
        <f aca="false">IF($A29&gt;Annahmen!$B$86,INDEX($C$18:$C$41,$A29-Annahmen!$B$86)*Annahmen!$B$85,0)</f>
        <v>0.09</v>
      </c>
      <c r="G29" s="23" t="n">
        <f aca="false">F29*(Annahmen!$B$87*(Annahmen!$B$97+Annahmen!$B$98)-Annahmen!$B$96*(1-Annahmen!$B$84))</f>
        <v>211.68</v>
      </c>
      <c r="H29" s="17" t="n">
        <f aca="false">IF($A29&gt;=Annahmen!$B$82,Annahmen!$B$88,0)</f>
        <v>0</v>
      </c>
      <c r="I29" s="23" t="n">
        <f aca="false">H29*(Annahmen!$B$97+Annahmen!$B$89*Annahmen!$B$98)</f>
        <v>0</v>
      </c>
      <c r="J29" s="17" t="n">
        <f aca="false">IF($A29&gt;=Annahmen!$B$82,Annahmen!$B$90,0)</f>
        <v>0</v>
      </c>
      <c r="K29" s="23" t="n">
        <f aca="false">J29*(Annahmen!$B$99+Annahmen!$B$91*Annahmen!$B$102)</f>
        <v>0</v>
      </c>
      <c r="L29" s="17" t="n">
        <f aca="false">IF($A29&gt;=Annahmen!$B$82,Annahmen!$B$92,0)</f>
        <v>0</v>
      </c>
      <c r="M29" s="23" t="n">
        <f aca="false">L29*Annahmen!$B$103</f>
        <v>0</v>
      </c>
      <c r="N29" s="15" t="n">
        <f aca="false">IF($A29&gt;=Annahmen!$B$82,Annahmen!$B$93,0)</f>
        <v>0</v>
      </c>
      <c r="O29" s="23" t="n">
        <f aca="false">N29*Annahmen!$B$104</f>
        <v>0</v>
      </c>
      <c r="P29" s="15" t="n">
        <f aca="false">IF($A29&gt;=Annahmen!$B$82,Annahmen!$B$94,0)</f>
        <v>0</v>
      </c>
      <c r="Q29" s="23" t="n">
        <f aca="false">P29*Annahmen!$B$105</f>
        <v>0</v>
      </c>
      <c r="R29" s="17" t="n">
        <f aca="false">IF($A29&gt;=Annahmen!$B$82,Annahmen!$B$95,0)</f>
        <v>0</v>
      </c>
      <c r="S29" s="23" t="n">
        <f aca="false">R29*Annahmen!$B$106</f>
        <v>0</v>
      </c>
      <c r="T29" s="23" t="n">
        <f aca="false">E29+G29+I29+K29+M29+O29+Q29+S29</f>
        <v>314.58</v>
      </c>
      <c r="U29" s="23" t="n">
        <f aca="false">C29*Annahmen!$B$51+F29*Annahmen!$B$87*Annahmen!$B$47+H29*(Annahmen!$B$45+Annahmen!$B$89*(Annahmen!$B$47-Annahmen!$B$45))+J29*Annahmen!$B$48+L29*Annahmen!$B$49+(N29+P29)*Annahmen!$B$50</f>
        <v>8.76039292347332</v>
      </c>
      <c r="V29" s="23" t="n">
        <f aca="false">SUMPRODUCT((((Annahmen!$C$145:$C$155="monatlich")*(Annahmen!$D$145:$D$155&lt;=$A29))+((Annahmen!$C$145:$C$155="einmalig")*(Annahmen!$D$145:$D$155=$A29)))*Annahmen!$B$145:$B$155*Annahmen!$F$145:$F$155)</f>
        <v>50.8275708031806</v>
      </c>
      <c r="W29" s="23" t="n">
        <f aca="false">Annahmen!$B$135</f>
        <v>50</v>
      </c>
      <c r="X29" s="17" t="n">
        <f aca="false">C29+F29*Annahmen!$B$87+H29+J29+L29/Annahmen!$B$46+(N29+P29)/(Annahmen!$B$23/Annahmen!$B$24)</f>
        <v>0.75</v>
      </c>
      <c r="Y29" s="35" t="n">
        <f aca="false">MAX(0,(X29-Annahmen!$B$140)/Annahmen!$B$141)</f>
        <v>0</v>
      </c>
      <c r="Z29" s="23" t="n">
        <f aca="false">Y29*Annahmen!$B$137</f>
        <v>0</v>
      </c>
      <c r="AA29" s="23" t="n">
        <f aca="false">T29-U29-V29-W29-Z29</f>
        <v>204.992036273346</v>
      </c>
      <c r="AB29" s="23" t="n">
        <f aca="false">AB28+AA29</f>
        <v>-389.107139609595</v>
      </c>
      <c r="AC29" s="7" t="n">
        <f aca="false">IF(AA29&gt;0,1,0)</f>
        <v>1</v>
      </c>
      <c r="AD29" s="7" t="n">
        <f aca="false">IF(AB29&gt;=0,1,0)</f>
        <v>0</v>
      </c>
    </row>
    <row r="30" customFormat="false" ht="15" hidden="false" customHeight="false" outlineLevel="0" collapsed="false">
      <c r="A30" s="7" t="n">
        <v>13</v>
      </c>
      <c r="B30" s="7" t="s">
        <v>362</v>
      </c>
      <c r="C30" s="17" t="n">
        <f aca="false">IF($A30&gt;=Annahmen!$B$82,Annahmen!$B$83,0)</f>
        <v>0.3</v>
      </c>
      <c r="D30" s="17" t="n">
        <f aca="false">C30*Annahmen!$B$84</f>
        <v>0.09</v>
      </c>
      <c r="E30" s="23" t="n">
        <f aca="false">(C30-D30)*Annahmen!$B$96</f>
        <v>102.9</v>
      </c>
      <c r="F30" s="17" t="n">
        <f aca="false">IF($A30&gt;Annahmen!$B$86,INDEX($C$18:$C$41,$A30-Annahmen!$B$86)*Annahmen!$B$85,0)</f>
        <v>0.09</v>
      </c>
      <c r="G30" s="23" t="n">
        <f aca="false">F30*(Annahmen!$B$87*(Annahmen!$B$97+Annahmen!$B$98)-Annahmen!$B$96*(1-Annahmen!$B$84))</f>
        <v>211.68</v>
      </c>
      <c r="H30" s="17" t="n">
        <f aca="false">IF($A30&gt;=Annahmen!$B$82,Annahmen!$B$88,0)</f>
        <v>0</v>
      </c>
      <c r="I30" s="23" t="n">
        <f aca="false">H30*(Annahmen!$B$97+Annahmen!$B$89*Annahmen!$B$98)</f>
        <v>0</v>
      </c>
      <c r="J30" s="17" t="n">
        <f aca="false">IF($A30&gt;=Annahmen!$B$82,Annahmen!$B$90,0)</f>
        <v>0</v>
      </c>
      <c r="K30" s="23" t="n">
        <f aca="false">J30*(Annahmen!$B$99+Annahmen!$B$91*Annahmen!$B$102)</f>
        <v>0</v>
      </c>
      <c r="L30" s="17" t="n">
        <f aca="false">IF($A30&gt;=Annahmen!$B$82,Annahmen!$B$92,0)</f>
        <v>0</v>
      </c>
      <c r="M30" s="23" t="n">
        <f aca="false">L30*Annahmen!$B$103</f>
        <v>0</v>
      </c>
      <c r="N30" s="15" t="n">
        <f aca="false">IF($A30&gt;=Annahmen!$B$82,Annahmen!$B$93,0)</f>
        <v>0</v>
      </c>
      <c r="O30" s="23" t="n">
        <f aca="false">N30*Annahmen!$B$104</f>
        <v>0</v>
      </c>
      <c r="P30" s="15" t="n">
        <f aca="false">IF($A30&gt;=Annahmen!$B$82,Annahmen!$B$94,0)</f>
        <v>0</v>
      </c>
      <c r="Q30" s="23" t="n">
        <f aca="false">P30*Annahmen!$B$105</f>
        <v>0</v>
      </c>
      <c r="R30" s="17" t="n">
        <f aca="false">IF($A30&gt;=Annahmen!$B$82,Annahmen!$B$95,0)</f>
        <v>0</v>
      </c>
      <c r="S30" s="23" t="n">
        <f aca="false">R30*Annahmen!$B$106</f>
        <v>0</v>
      </c>
      <c r="T30" s="23" t="n">
        <f aca="false">E30+G30+I30+K30+M30+O30+Q30+S30</f>
        <v>314.58</v>
      </c>
      <c r="U30" s="23" t="n">
        <f aca="false">C30*Annahmen!$B$51+F30*Annahmen!$B$87*Annahmen!$B$47+H30*(Annahmen!$B$45+Annahmen!$B$89*(Annahmen!$B$47-Annahmen!$B$45))+J30*Annahmen!$B$48+L30*Annahmen!$B$49+(N30+P30)*Annahmen!$B$50</f>
        <v>8.76039292347332</v>
      </c>
      <c r="V30" s="23" t="n">
        <f aca="false">SUMPRODUCT((((Annahmen!$C$145:$C$155="monatlich")*(Annahmen!$D$145:$D$155&lt;=$A30))+((Annahmen!$C$145:$C$155="einmalig")*(Annahmen!$D$145:$D$155=$A30)))*Annahmen!$B$145:$B$155*Annahmen!$F$145:$F$155)</f>
        <v>50.8275708031806</v>
      </c>
      <c r="W30" s="23" t="n">
        <f aca="false">Annahmen!$B$135</f>
        <v>50</v>
      </c>
      <c r="X30" s="17" t="n">
        <f aca="false">C30+F30*Annahmen!$B$87+H30+J30+L30/Annahmen!$B$46+(N30+P30)/(Annahmen!$B$23/Annahmen!$B$24)</f>
        <v>0.75</v>
      </c>
      <c r="Y30" s="35" t="n">
        <f aca="false">MAX(0,(X30-Annahmen!$B$140)/Annahmen!$B$141)</f>
        <v>0</v>
      </c>
      <c r="Z30" s="23" t="n">
        <f aca="false">Y30*Annahmen!$B$137</f>
        <v>0</v>
      </c>
      <c r="AA30" s="23" t="n">
        <f aca="false">T30-U30-V30-W30-Z30</f>
        <v>204.992036273346</v>
      </c>
      <c r="AB30" s="23" t="n">
        <f aca="false">AB29+AA30</f>
        <v>-184.115103336249</v>
      </c>
      <c r="AC30" s="7" t="n">
        <f aca="false">IF(AA30&gt;0,1,0)</f>
        <v>1</v>
      </c>
      <c r="AD30" s="7" t="n">
        <f aca="false">IF(AB30&gt;=0,1,0)</f>
        <v>0</v>
      </c>
    </row>
    <row r="31" customFormat="false" ht="15" hidden="false" customHeight="false" outlineLevel="0" collapsed="false">
      <c r="A31" s="7" t="n">
        <v>14</v>
      </c>
      <c r="B31" s="7" t="s">
        <v>363</v>
      </c>
      <c r="C31" s="17" t="n">
        <f aca="false">IF($A31&gt;=Annahmen!$B$82,Annahmen!$B$83,0)</f>
        <v>0.3</v>
      </c>
      <c r="D31" s="17" t="n">
        <f aca="false">C31*Annahmen!$B$84</f>
        <v>0.09</v>
      </c>
      <c r="E31" s="23" t="n">
        <f aca="false">(C31-D31)*Annahmen!$B$96</f>
        <v>102.9</v>
      </c>
      <c r="F31" s="17" t="n">
        <f aca="false">IF($A31&gt;Annahmen!$B$86,INDEX($C$18:$C$41,$A31-Annahmen!$B$86)*Annahmen!$B$85,0)</f>
        <v>0.09</v>
      </c>
      <c r="G31" s="23" t="n">
        <f aca="false">F31*(Annahmen!$B$87*(Annahmen!$B$97+Annahmen!$B$98)-Annahmen!$B$96*(1-Annahmen!$B$84))</f>
        <v>211.68</v>
      </c>
      <c r="H31" s="17" t="n">
        <f aca="false">IF($A31&gt;=Annahmen!$B$82,Annahmen!$B$88,0)</f>
        <v>0</v>
      </c>
      <c r="I31" s="23" t="n">
        <f aca="false">H31*(Annahmen!$B$97+Annahmen!$B$89*Annahmen!$B$98)</f>
        <v>0</v>
      </c>
      <c r="J31" s="17" t="n">
        <f aca="false">IF($A31&gt;=Annahmen!$B$82,Annahmen!$B$90,0)</f>
        <v>0</v>
      </c>
      <c r="K31" s="23" t="n">
        <f aca="false">J31*(Annahmen!$B$99+Annahmen!$B$91*Annahmen!$B$102)</f>
        <v>0</v>
      </c>
      <c r="L31" s="17" t="n">
        <f aca="false">IF($A31&gt;=Annahmen!$B$82,Annahmen!$B$92,0)</f>
        <v>0</v>
      </c>
      <c r="M31" s="23" t="n">
        <f aca="false">L31*Annahmen!$B$103</f>
        <v>0</v>
      </c>
      <c r="N31" s="15" t="n">
        <f aca="false">IF($A31&gt;=Annahmen!$B$82,Annahmen!$B$93,0)</f>
        <v>0</v>
      </c>
      <c r="O31" s="23" t="n">
        <f aca="false">N31*Annahmen!$B$104</f>
        <v>0</v>
      </c>
      <c r="P31" s="15" t="n">
        <f aca="false">IF($A31&gt;=Annahmen!$B$82,Annahmen!$B$94,0)</f>
        <v>0</v>
      </c>
      <c r="Q31" s="23" t="n">
        <f aca="false">P31*Annahmen!$B$105</f>
        <v>0</v>
      </c>
      <c r="R31" s="17" t="n">
        <f aca="false">IF($A31&gt;=Annahmen!$B$82,Annahmen!$B$95,0)</f>
        <v>0</v>
      </c>
      <c r="S31" s="23" t="n">
        <f aca="false">R31*Annahmen!$B$106</f>
        <v>0</v>
      </c>
      <c r="T31" s="23" t="n">
        <f aca="false">E31+G31+I31+K31+M31+O31+Q31+S31</f>
        <v>314.58</v>
      </c>
      <c r="U31" s="23" t="n">
        <f aca="false">C31*Annahmen!$B$51+F31*Annahmen!$B$87*Annahmen!$B$47+H31*(Annahmen!$B$45+Annahmen!$B$89*(Annahmen!$B$47-Annahmen!$B$45))+J31*Annahmen!$B$48+L31*Annahmen!$B$49+(N31+P31)*Annahmen!$B$50</f>
        <v>8.76039292347332</v>
      </c>
      <c r="V31" s="23" t="n">
        <f aca="false">SUMPRODUCT((((Annahmen!$C$145:$C$155="monatlich")*(Annahmen!$D$145:$D$155&lt;=$A31))+((Annahmen!$C$145:$C$155="einmalig")*(Annahmen!$D$145:$D$155=$A31)))*Annahmen!$B$145:$B$155*Annahmen!$F$145:$F$155)</f>
        <v>50.8275708031806</v>
      </c>
      <c r="W31" s="23" t="n">
        <f aca="false">Annahmen!$B$135</f>
        <v>50</v>
      </c>
      <c r="X31" s="17" t="n">
        <f aca="false">C31+F31*Annahmen!$B$87+H31+J31+L31/Annahmen!$B$46+(N31+P31)/(Annahmen!$B$23/Annahmen!$B$24)</f>
        <v>0.75</v>
      </c>
      <c r="Y31" s="35" t="n">
        <f aca="false">MAX(0,(X31-Annahmen!$B$140)/Annahmen!$B$141)</f>
        <v>0</v>
      </c>
      <c r="Z31" s="23" t="n">
        <f aca="false">Y31*Annahmen!$B$137</f>
        <v>0</v>
      </c>
      <c r="AA31" s="23" t="n">
        <f aca="false">T31-U31-V31-W31-Z31</f>
        <v>204.992036273346</v>
      </c>
      <c r="AB31" s="23" t="n">
        <f aca="false">AB30+AA31</f>
        <v>20.8769329370973</v>
      </c>
      <c r="AC31" s="7" t="n">
        <f aca="false">IF(AA31&gt;0,1,0)</f>
        <v>1</v>
      </c>
      <c r="AD31" s="7" t="n">
        <f aca="false">IF(AB31&gt;=0,1,0)</f>
        <v>1</v>
      </c>
    </row>
    <row r="32" customFormat="false" ht="15" hidden="false" customHeight="false" outlineLevel="0" collapsed="false">
      <c r="A32" s="7" t="n">
        <v>15</v>
      </c>
      <c r="B32" s="7" t="s">
        <v>364</v>
      </c>
      <c r="C32" s="17" t="n">
        <f aca="false">IF($A32&gt;=Annahmen!$B$82,Annahmen!$B$83,0)</f>
        <v>0.3</v>
      </c>
      <c r="D32" s="17" t="n">
        <f aca="false">C32*Annahmen!$B$84</f>
        <v>0.09</v>
      </c>
      <c r="E32" s="23" t="n">
        <f aca="false">(C32-D32)*Annahmen!$B$96</f>
        <v>102.9</v>
      </c>
      <c r="F32" s="17" t="n">
        <f aca="false">IF($A32&gt;Annahmen!$B$86,INDEX($C$18:$C$41,$A32-Annahmen!$B$86)*Annahmen!$B$85,0)</f>
        <v>0.09</v>
      </c>
      <c r="G32" s="23" t="n">
        <f aca="false">F32*(Annahmen!$B$87*(Annahmen!$B$97+Annahmen!$B$98)-Annahmen!$B$96*(1-Annahmen!$B$84))</f>
        <v>211.68</v>
      </c>
      <c r="H32" s="17" t="n">
        <f aca="false">IF($A32&gt;=Annahmen!$B$82,Annahmen!$B$88,0)</f>
        <v>0</v>
      </c>
      <c r="I32" s="23" t="n">
        <f aca="false">H32*(Annahmen!$B$97+Annahmen!$B$89*Annahmen!$B$98)</f>
        <v>0</v>
      </c>
      <c r="J32" s="17" t="n">
        <f aca="false">IF($A32&gt;=Annahmen!$B$82,Annahmen!$B$90,0)</f>
        <v>0</v>
      </c>
      <c r="K32" s="23" t="n">
        <f aca="false">J32*(Annahmen!$B$99+Annahmen!$B$91*Annahmen!$B$102)</f>
        <v>0</v>
      </c>
      <c r="L32" s="17" t="n">
        <f aca="false">IF($A32&gt;=Annahmen!$B$82,Annahmen!$B$92,0)</f>
        <v>0</v>
      </c>
      <c r="M32" s="23" t="n">
        <f aca="false">L32*Annahmen!$B$103</f>
        <v>0</v>
      </c>
      <c r="N32" s="15" t="n">
        <f aca="false">IF($A32&gt;=Annahmen!$B$82,Annahmen!$B$93,0)</f>
        <v>0</v>
      </c>
      <c r="O32" s="23" t="n">
        <f aca="false">N32*Annahmen!$B$104</f>
        <v>0</v>
      </c>
      <c r="P32" s="15" t="n">
        <f aca="false">IF($A32&gt;=Annahmen!$B$82,Annahmen!$B$94,0)</f>
        <v>0</v>
      </c>
      <c r="Q32" s="23" t="n">
        <f aca="false">P32*Annahmen!$B$105</f>
        <v>0</v>
      </c>
      <c r="R32" s="17" t="n">
        <f aca="false">IF($A32&gt;=Annahmen!$B$82,Annahmen!$B$95,0)</f>
        <v>0</v>
      </c>
      <c r="S32" s="23" t="n">
        <f aca="false">R32*Annahmen!$B$106</f>
        <v>0</v>
      </c>
      <c r="T32" s="23" t="n">
        <f aca="false">E32+G32+I32+K32+M32+O32+Q32+S32</f>
        <v>314.58</v>
      </c>
      <c r="U32" s="23" t="n">
        <f aca="false">C32*Annahmen!$B$51+F32*Annahmen!$B$87*Annahmen!$B$47+H32*(Annahmen!$B$45+Annahmen!$B$89*(Annahmen!$B$47-Annahmen!$B$45))+J32*Annahmen!$B$48+L32*Annahmen!$B$49+(N32+P32)*Annahmen!$B$50</f>
        <v>8.76039292347332</v>
      </c>
      <c r="V32" s="23" t="n">
        <f aca="false">SUMPRODUCT((((Annahmen!$C$145:$C$155="monatlich")*(Annahmen!$D$145:$D$155&lt;=$A32))+((Annahmen!$C$145:$C$155="einmalig")*(Annahmen!$D$145:$D$155=$A32)))*Annahmen!$B$145:$B$155*Annahmen!$F$145:$F$155)</f>
        <v>50.8275708031806</v>
      </c>
      <c r="W32" s="23" t="n">
        <f aca="false">Annahmen!$B$135</f>
        <v>50</v>
      </c>
      <c r="X32" s="17" t="n">
        <f aca="false">C32+F32*Annahmen!$B$87+H32+J32+L32/Annahmen!$B$46+(N32+P32)/(Annahmen!$B$23/Annahmen!$B$24)</f>
        <v>0.75</v>
      </c>
      <c r="Y32" s="35" t="n">
        <f aca="false">MAX(0,(X32-Annahmen!$B$140)/Annahmen!$B$141)</f>
        <v>0</v>
      </c>
      <c r="Z32" s="23" t="n">
        <f aca="false">Y32*Annahmen!$B$137</f>
        <v>0</v>
      </c>
      <c r="AA32" s="23" t="n">
        <f aca="false">T32-U32-V32-W32-Z32</f>
        <v>204.992036273346</v>
      </c>
      <c r="AB32" s="23" t="n">
        <f aca="false">AB31+AA32</f>
        <v>225.868969210443</v>
      </c>
      <c r="AC32" s="7" t="n">
        <f aca="false">IF(AA32&gt;0,1,0)</f>
        <v>1</v>
      </c>
      <c r="AD32" s="7" t="n">
        <f aca="false">IF(AB32&gt;=0,1,0)</f>
        <v>1</v>
      </c>
    </row>
    <row r="33" customFormat="false" ht="15" hidden="false" customHeight="false" outlineLevel="0" collapsed="false">
      <c r="A33" s="7" t="n">
        <v>16</v>
      </c>
      <c r="B33" s="7" t="s">
        <v>365</v>
      </c>
      <c r="C33" s="17" t="n">
        <f aca="false">IF($A33&gt;=Annahmen!$B$82,Annahmen!$B$83,0)</f>
        <v>0.3</v>
      </c>
      <c r="D33" s="17" t="n">
        <f aca="false">C33*Annahmen!$B$84</f>
        <v>0.09</v>
      </c>
      <c r="E33" s="23" t="n">
        <f aca="false">(C33-D33)*Annahmen!$B$96</f>
        <v>102.9</v>
      </c>
      <c r="F33" s="17" t="n">
        <f aca="false">IF($A33&gt;Annahmen!$B$86,INDEX($C$18:$C$41,$A33-Annahmen!$B$86)*Annahmen!$B$85,0)</f>
        <v>0.09</v>
      </c>
      <c r="G33" s="23" t="n">
        <f aca="false">F33*(Annahmen!$B$87*(Annahmen!$B$97+Annahmen!$B$98)-Annahmen!$B$96*(1-Annahmen!$B$84))</f>
        <v>211.68</v>
      </c>
      <c r="H33" s="17" t="n">
        <f aca="false">IF($A33&gt;=Annahmen!$B$82,Annahmen!$B$88,0)</f>
        <v>0</v>
      </c>
      <c r="I33" s="23" t="n">
        <f aca="false">H33*(Annahmen!$B$97+Annahmen!$B$89*Annahmen!$B$98)</f>
        <v>0</v>
      </c>
      <c r="J33" s="17" t="n">
        <f aca="false">IF($A33&gt;=Annahmen!$B$82,Annahmen!$B$90,0)</f>
        <v>0</v>
      </c>
      <c r="K33" s="23" t="n">
        <f aca="false">J33*(Annahmen!$B$99+Annahmen!$B$91*Annahmen!$B$102)</f>
        <v>0</v>
      </c>
      <c r="L33" s="17" t="n">
        <f aca="false">IF($A33&gt;=Annahmen!$B$82,Annahmen!$B$92,0)</f>
        <v>0</v>
      </c>
      <c r="M33" s="23" t="n">
        <f aca="false">L33*Annahmen!$B$103</f>
        <v>0</v>
      </c>
      <c r="N33" s="15" t="n">
        <f aca="false">IF($A33&gt;=Annahmen!$B$82,Annahmen!$B$93,0)</f>
        <v>0</v>
      </c>
      <c r="O33" s="23" t="n">
        <f aca="false">N33*Annahmen!$B$104</f>
        <v>0</v>
      </c>
      <c r="P33" s="15" t="n">
        <f aca="false">IF($A33&gt;=Annahmen!$B$82,Annahmen!$B$94,0)</f>
        <v>0</v>
      </c>
      <c r="Q33" s="23" t="n">
        <f aca="false">P33*Annahmen!$B$105</f>
        <v>0</v>
      </c>
      <c r="R33" s="17" t="n">
        <f aca="false">IF($A33&gt;=Annahmen!$B$82,Annahmen!$B$95,0)</f>
        <v>0</v>
      </c>
      <c r="S33" s="23" t="n">
        <f aca="false">R33*Annahmen!$B$106</f>
        <v>0</v>
      </c>
      <c r="T33" s="23" t="n">
        <f aca="false">E33+G33+I33+K33+M33+O33+Q33+S33</f>
        <v>314.58</v>
      </c>
      <c r="U33" s="23" t="n">
        <f aca="false">C33*Annahmen!$B$51+F33*Annahmen!$B$87*Annahmen!$B$47+H33*(Annahmen!$B$45+Annahmen!$B$89*(Annahmen!$B$47-Annahmen!$B$45))+J33*Annahmen!$B$48+L33*Annahmen!$B$49+(N33+P33)*Annahmen!$B$50</f>
        <v>8.76039292347332</v>
      </c>
      <c r="V33" s="23" t="n">
        <f aca="false">SUMPRODUCT((((Annahmen!$C$145:$C$155="monatlich")*(Annahmen!$D$145:$D$155&lt;=$A33))+((Annahmen!$C$145:$C$155="einmalig")*(Annahmen!$D$145:$D$155=$A33)))*Annahmen!$B$145:$B$155*Annahmen!$F$145:$F$155)</f>
        <v>50.8275708031806</v>
      </c>
      <c r="W33" s="23" t="n">
        <f aca="false">Annahmen!$B$135</f>
        <v>50</v>
      </c>
      <c r="X33" s="17" t="n">
        <f aca="false">C33+F33*Annahmen!$B$87+H33+J33+L33/Annahmen!$B$46+(N33+P33)/(Annahmen!$B$23/Annahmen!$B$24)</f>
        <v>0.75</v>
      </c>
      <c r="Y33" s="35" t="n">
        <f aca="false">MAX(0,(X33-Annahmen!$B$140)/Annahmen!$B$141)</f>
        <v>0</v>
      </c>
      <c r="Z33" s="23" t="n">
        <f aca="false">Y33*Annahmen!$B$137</f>
        <v>0</v>
      </c>
      <c r="AA33" s="23" t="n">
        <f aca="false">T33-U33-V33-W33-Z33</f>
        <v>204.992036273346</v>
      </c>
      <c r="AB33" s="23" t="n">
        <f aca="false">AB32+AA33</f>
        <v>430.86100548379</v>
      </c>
      <c r="AC33" s="7" t="n">
        <f aca="false">IF(AA33&gt;0,1,0)</f>
        <v>1</v>
      </c>
      <c r="AD33" s="7" t="n">
        <f aca="false">IF(AB33&gt;=0,1,0)</f>
        <v>1</v>
      </c>
    </row>
    <row r="34" customFormat="false" ht="15" hidden="false" customHeight="false" outlineLevel="0" collapsed="false">
      <c r="A34" s="7" t="n">
        <v>17</v>
      </c>
      <c r="B34" s="7" t="s">
        <v>366</v>
      </c>
      <c r="C34" s="17" t="n">
        <f aca="false">IF($A34&gt;=Annahmen!$B$82,Annahmen!$B$83,0)</f>
        <v>0.3</v>
      </c>
      <c r="D34" s="17" t="n">
        <f aca="false">C34*Annahmen!$B$84</f>
        <v>0.09</v>
      </c>
      <c r="E34" s="23" t="n">
        <f aca="false">(C34-D34)*Annahmen!$B$96</f>
        <v>102.9</v>
      </c>
      <c r="F34" s="17" t="n">
        <f aca="false">IF($A34&gt;Annahmen!$B$86,INDEX($C$18:$C$41,$A34-Annahmen!$B$86)*Annahmen!$B$85,0)</f>
        <v>0.09</v>
      </c>
      <c r="G34" s="23" t="n">
        <f aca="false">F34*(Annahmen!$B$87*(Annahmen!$B$97+Annahmen!$B$98)-Annahmen!$B$96*(1-Annahmen!$B$84))</f>
        <v>211.68</v>
      </c>
      <c r="H34" s="17" t="n">
        <f aca="false">IF($A34&gt;=Annahmen!$B$82,Annahmen!$B$88,0)</f>
        <v>0</v>
      </c>
      <c r="I34" s="23" t="n">
        <f aca="false">H34*(Annahmen!$B$97+Annahmen!$B$89*Annahmen!$B$98)</f>
        <v>0</v>
      </c>
      <c r="J34" s="17" t="n">
        <f aca="false">IF($A34&gt;=Annahmen!$B$82,Annahmen!$B$90,0)</f>
        <v>0</v>
      </c>
      <c r="K34" s="23" t="n">
        <f aca="false">J34*(Annahmen!$B$99+Annahmen!$B$91*Annahmen!$B$102)</f>
        <v>0</v>
      </c>
      <c r="L34" s="17" t="n">
        <f aca="false">IF($A34&gt;=Annahmen!$B$82,Annahmen!$B$92,0)</f>
        <v>0</v>
      </c>
      <c r="M34" s="23" t="n">
        <f aca="false">L34*Annahmen!$B$103</f>
        <v>0</v>
      </c>
      <c r="N34" s="15" t="n">
        <f aca="false">IF($A34&gt;=Annahmen!$B$82,Annahmen!$B$93,0)</f>
        <v>0</v>
      </c>
      <c r="O34" s="23" t="n">
        <f aca="false">N34*Annahmen!$B$104</f>
        <v>0</v>
      </c>
      <c r="P34" s="15" t="n">
        <f aca="false">IF($A34&gt;=Annahmen!$B$82,Annahmen!$B$94,0)</f>
        <v>0</v>
      </c>
      <c r="Q34" s="23" t="n">
        <f aca="false">P34*Annahmen!$B$105</f>
        <v>0</v>
      </c>
      <c r="R34" s="17" t="n">
        <f aca="false">IF($A34&gt;=Annahmen!$B$82,Annahmen!$B$95,0)</f>
        <v>0</v>
      </c>
      <c r="S34" s="23" t="n">
        <f aca="false">R34*Annahmen!$B$106</f>
        <v>0</v>
      </c>
      <c r="T34" s="23" t="n">
        <f aca="false">E34+G34+I34+K34+M34+O34+Q34+S34</f>
        <v>314.58</v>
      </c>
      <c r="U34" s="23" t="n">
        <f aca="false">C34*Annahmen!$B$51+F34*Annahmen!$B$87*Annahmen!$B$47+H34*(Annahmen!$B$45+Annahmen!$B$89*(Annahmen!$B$47-Annahmen!$B$45))+J34*Annahmen!$B$48+L34*Annahmen!$B$49+(N34+P34)*Annahmen!$B$50</f>
        <v>8.76039292347332</v>
      </c>
      <c r="V34" s="23" t="n">
        <f aca="false">SUMPRODUCT((((Annahmen!$C$145:$C$155="monatlich")*(Annahmen!$D$145:$D$155&lt;=$A34))+((Annahmen!$C$145:$C$155="einmalig")*(Annahmen!$D$145:$D$155=$A34)))*Annahmen!$B$145:$B$155*Annahmen!$F$145:$F$155)</f>
        <v>50.8275708031806</v>
      </c>
      <c r="W34" s="23" t="n">
        <f aca="false">Annahmen!$B$135</f>
        <v>50</v>
      </c>
      <c r="X34" s="17" t="n">
        <f aca="false">C34+F34*Annahmen!$B$87+H34+J34+L34/Annahmen!$B$46+(N34+P34)/(Annahmen!$B$23/Annahmen!$B$24)</f>
        <v>0.75</v>
      </c>
      <c r="Y34" s="35" t="n">
        <f aca="false">MAX(0,(X34-Annahmen!$B$140)/Annahmen!$B$141)</f>
        <v>0</v>
      </c>
      <c r="Z34" s="23" t="n">
        <f aca="false">Y34*Annahmen!$B$137</f>
        <v>0</v>
      </c>
      <c r="AA34" s="23" t="n">
        <f aca="false">T34-U34-V34-W34-Z34</f>
        <v>204.992036273346</v>
      </c>
      <c r="AB34" s="23" t="n">
        <f aca="false">AB33+AA34</f>
        <v>635.853041757136</v>
      </c>
      <c r="AC34" s="7" t="n">
        <f aca="false">IF(AA34&gt;0,1,0)</f>
        <v>1</v>
      </c>
      <c r="AD34" s="7" t="n">
        <f aca="false">IF(AB34&gt;=0,1,0)</f>
        <v>1</v>
      </c>
    </row>
    <row r="35" customFormat="false" ht="15" hidden="false" customHeight="false" outlineLevel="0" collapsed="false">
      <c r="A35" s="7" t="n">
        <v>18</v>
      </c>
      <c r="B35" s="7" t="s">
        <v>367</v>
      </c>
      <c r="C35" s="17" t="n">
        <f aca="false">IF($A35&gt;=Annahmen!$B$82,Annahmen!$B$83,0)</f>
        <v>0.3</v>
      </c>
      <c r="D35" s="17" t="n">
        <f aca="false">C35*Annahmen!$B$84</f>
        <v>0.09</v>
      </c>
      <c r="E35" s="23" t="n">
        <f aca="false">(C35-D35)*Annahmen!$B$96</f>
        <v>102.9</v>
      </c>
      <c r="F35" s="17" t="n">
        <f aca="false">IF($A35&gt;Annahmen!$B$86,INDEX($C$18:$C$41,$A35-Annahmen!$B$86)*Annahmen!$B$85,0)</f>
        <v>0.09</v>
      </c>
      <c r="G35" s="23" t="n">
        <f aca="false">F35*(Annahmen!$B$87*(Annahmen!$B$97+Annahmen!$B$98)-Annahmen!$B$96*(1-Annahmen!$B$84))</f>
        <v>211.68</v>
      </c>
      <c r="H35" s="17" t="n">
        <f aca="false">IF($A35&gt;=Annahmen!$B$82,Annahmen!$B$88,0)</f>
        <v>0</v>
      </c>
      <c r="I35" s="23" t="n">
        <f aca="false">H35*(Annahmen!$B$97+Annahmen!$B$89*Annahmen!$B$98)</f>
        <v>0</v>
      </c>
      <c r="J35" s="17" t="n">
        <f aca="false">IF($A35&gt;=Annahmen!$B$82,Annahmen!$B$90,0)</f>
        <v>0</v>
      </c>
      <c r="K35" s="23" t="n">
        <f aca="false">J35*(Annahmen!$B$99+Annahmen!$B$91*Annahmen!$B$102)</f>
        <v>0</v>
      </c>
      <c r="L35" s="17" t="n">
        <f aca="false">IF($A35&gt;=Annahmen!$B$82,Annahmen!$B$92,0)</f>
        <v>0</v>
      </c>
      <c r="M35" s="23" t="n">
        <f aca="false">L35*Annahmen!$B$103</f>
        <v>0</v>
      </c>
      <c r="N35" s="15" t="n">
        <f aca="false">IF($A35&gt;=Annahmen!$B$82,Annahmen!$B$93,0)</f>
        <v>0</v>
      </c>
      <c r="O35" s="23" t="n">
        <f aca="false">N35*Annahmen!$B$104</f>
        <v>0</v>
      </c>
      <c r="P35" s="15" t="n">
        <f aca="false">IF($A35&gt;=Annahmen!$B$82,Annahmen!$B$94,0)</f>
        <v>0</v>
      </c>
      <c r="Q35" s="23" t="n">
        <f aca="false">P35*Annahmen!$B$105</f>
        <v>0</v>
      </c>
      <c r="R35" s="17" t="n">
        <f aca="false">IF($A35&gt;=Annahmen!$B$82,Annahmen!$B$95,0)</f>
        <v>0</v>
      </c>
      <c r="S35" s="23" t="n">
        <f aca="false">R35*Annahmen!$B$106</f>
        <v>0</v>
      </c>
      <c r="T35" s="23" t="n">
        <f aca="false">E35+G35+I35+K35+M35+O35+Q35+S35</f>
        <v>314.58</v>
      </c>
      <c r="U35" s="23" t="n">
        <f aca="false">C35*Annahmen!$B$51+F35*Annahmen!$B$87*Annahmen!$B$47+H35*(Annahmen!$B$45+Annahmen!$B$89*(Annahmen!$B$47-Annahmen!$B$45))+J35*Annahmen!$B$48+L35*Annahmen!$B$49+(N35+P35)*Annahmen!$B$50</f>
        <v>8.76039292347332</v>
      </c>
      <c r="V35" s="23" t="n">
        <f aca="false">SUMPRODUCT((((Annahmen!$C$145:$C$155="monatlich")*(Annahmen!$D$145:$D$155&lt;=$A35))+((Annahmen!$C$145:$C$155="einmalig")*(Annahmen!$D$145:$D$155=$A35)))*Annahmen!$B$145:$B$155*Annahmen!$F$145:$F$155)</f>
        <v>50.8275708031806</v>
      </c>
      <c r="W35" s="23" t="n">
        <f aca="false">Annahmen!$B$135</f>
        <v>50</v>
      </c>
      <c r="X35" s="17" t="n">
        <f aca="false">C35+F35*Annahmen!$B$87+H35+J35+L35/Annahmen!$B$46+(N35+P35)/(Annahmen!$B$23/Annahmen!$B$24)</f>
        <v>0.75</v>
      </c>
      <c r="Y35" s="35" t="n">
        <f aca="false">MAX(0,(X35-Annahmen!$B$140)/Annahmen!$B$141)</f>
        <v>0</v>
      </c>
      <c r="Z35" s="23" t="n">
        <f aca="false">Y35*Annahmen!$B$137</f>
        <v>0</v>
      </c>
      <c r="AA35" s="23" t="n">
        <f aca="false">T35-U35-V35-W35-Z35</f>
        <v>204.992036273346</v>
      </c>
      <c r="AB35" s="23" t="n">
        <f aca="false">AB34+AA35</f>
        <v>840.845078030482</v>
      </c>
      <c r="AC35" s="7" t="n">
        <f aca="false">IF(AA35&gt;0,1,0)</f>
        <v>1</v>
      </c>
      <c r="AD35" s="7" t="n">
        <f aca="false">IF(AB35&gt;=0,1,0)</f>
        <v>1</v>
      </c>
    </row>
    <row r="36" customFormat="false" ht="15" hidden="false" customHeight="false" outlineLevel="0" collapsed="false">
      <c r="A36" s="7" t="n">
        <v>19</v>
      </c>
      <c r="B36" s="7" t="s">
        <v>368</v>
      </c>
      <c r="C36" s="17" t="n">
        <f aca="false">IF($A36&gt;=Annahmen!$B$82,Annahmen!$B$83,0)</f>
        <v>0.3</v>
      </c>
      <c r="D36" s="17" t="n">
        <f aca="false">C36*Annahmen!$B$84</f>
        <v>0.09</v>
      </c>
      <c r="E36" s="23" t="n">
        <f aca="false">(C36-D36)*Annahmen!$B$96</f>
        <v>102.9</v>
      </c>
      <c r="F36" s="17" t="n">
        <f aca="false">IF($A36&gt;Annahmen!$B$86,INDEX($C$18:$C$41,$A36-Annahmen!$B$86)*Annahmen!$B$85,0)</f>
        <v>0.09</v>
      </c>
      <c r="G36" s="23" t="n">
        <f aca="false">F36*(Annahmen!$B$87*(Annahmen!$B$97+Annahmen!$B$98)-Annahmen!$B$96*(1-Annahmen!$B$84))</f>
        <v>211.68</v>
      </c>
      <c r="H36" s="17" t="n">
        <f aca="false">IF($A36&gt;=Annahmen!$B$82,Annahmen!$B$88,0)</f>
        <v>0</v>
      </c>
      <c r="I36" s="23" t="n">
        <f aca="false">H36*(Annahmen!$B$97+Annahmen!$B$89*Annahmen!$B$98)</f>
        <v>0</v>
      </c>
      <c r="J36" s="17" t="n">
        <f aca="false">IF($A36&gt;=Annahmen!$B$82,Annahmen!$B$90,0)</f>
        <v>0</v>
      </c>
      <c r="K36" s="23" t="n">
        <f aca="false">J36*(Annahmen!$B$99+Annahmen!$B$91*Annahmen!$B$102)</f>
        <v>0</v>
      </c>
      <c r="L36" s="17" t="n">
        <f aca="false">IF($A36&gt;=Annahmen!$B$82,Annahmen!$B$92,0)</f>
        <v>0</v>
      </c>
      <c r="M36" s="23" t="n">
        <f aca="false">L36*Annahmen!$B$103</f>
        <v>0</v>
      </c>
      <c r="N36" s="15" t="n">
        <f aca="false">IF($A36&gt;=Annahmen!$B$82,Annahmen!$B$93,0)</f>
        <v>0</v>
      </c>
      <c r="O36" s="23" t="n">
        <f aca="false">N36*Annahmen!$B$104</f>
        <v>0</v>
      </c>
      <c r="P36" s="15" t="n">
        <f aca="false">IF($A36&gt;=Annahmen!$B$82,Annahmen!$B$94,0)</f>
        <v>0</v>
      </c>
      <c r="Q36" s="23" t="n">
        <f aca="false">P36*Annahmen!$B$105</f>
        <v>0</v>
      </c>
      <c r="R36" s="17" t="n">
        <f aca="false">IF($A36&gt;=Annahmen!$B$82,Annahmen!$B$95,0)</f>
        <v>0</v>
      </c>
      <c r="S36" s="23" t="n">
        <f aca="false">R36*Annahmen!$B$106</f>
        <v>0</v>
      </c>
      <c r="T36" s="23" t="n">
        <f aca="false">E36+G36+I36+K36+M36+O36+Q36+S36</f>
        <v>314.58</v>
      </c>
      <c r="U36" s="23" t="n">
        <f aca="false">C36*Annahmen!$B$51+F36*Annahmen!$B$87*Annahmen!$B$47+H36*(Annahmen!$B$45+Annahmen!$B$89*(Annahmen!$B$47-Annahmen!$B$45))+J36*Annahmen!$B$48+L36*Annahmen!$B$49+(N36+P36)*Annahmen!$B$50</f>
        <v>8.76039292347332</v>
      </c>
      <c r="V36" s="23" t="n">
        <f aca="false">SUMPRODUCT((((Annahmen!$C$145:$C$155="monatlich")*(Annahmen!$D$145:$D$155&lt;=$A36))+((Annahmen!$C$145:$C$155="einmalig")*(Annahmen!$D$145:$D$155=$A36)))*Annahmen!$B$145:$B$155*Annahmen!$F$145:$F$155)</f>
        <v>50.8275708031806</v>
      </c>
      <c r="W36" s="23" t="n">
        <f aca="false">Annahmen!$B$135</f>
        <v>50</v>
      </c>
      <c r="X36" s="17" t="n">
        <f aca="false">C36+F36*Annahmen!$B$87+H36+J36+L36/Annahmen!$B$46+(N36+P36)/(Annahmen!$B$23/Annahmen!$B$24)</f>
        <v>0.75</v>
      </c>
      <c r="Y36" s="35" t="n">
        <f aca="false">MAX(0,(X36-Annahmen!$B$140)/Annahmen!$B$141)</f>
        <v>0</v>
      </c>
      <c r="Z36" s="23" t="n">
        <f aca="false">Y36*Annahmen!$B$137</f>
        <v>0</v>
      </c>
      <c r="AA36" s="23" t="n">
        <f aca="false">T36-U36-V36-W36-Z36</f>
        <v>204.992036273346</v>
      </c>
      <c r="AB36" s="23" t="n">
        <f aca="false">AB35+AA36</f>
        <v>1045.83711430383</v>
      </c>
      <c r="AC36" s="7" t="n">
        <f aca="false">IF(AA36&gt;0,1,0)</f>
        <v>1</v>
      </c>
      <c r="AD36" s="7" t="n">
        <f aca="false">IF(AB36&gt;=0,1,0)</f>
        <v>1</v>
      </c>
    </row>
    <row r="37" customFormat="false" ht="15" hidden="false" customHeight="false" outlineLevel="0" collapsed="false">
      <c r="A37" s="7" t="n">
        <v>20</v>
      </c>
      <c r="B37" s="7" t="s">
        <v>369</v>
      </c>
      <c r="C37" s="17" t="n">
        <f aca="false">IF($A37&gt;=Annahmen!$B$82,Annahmen!$B$83,0)</f>
        <v>0.3</v>
      </c>
      <c r="D37" s="17" t="n">
        <f aca="false">C37*Annahmen!$B$84</f>
        <v>0.09</v>
      </c>
      <c r="E37" s="23" t="n">
        <f aca="false">(C37-D37)*Annahmen!$B$96</f>
        <v>102.9</v>
      </c>
      <c r="F37" s="17" t="n">
        <f aca="false">IF($A37&gt;Annahmen!$B$86,INDEX($C$18:$C$41,$A37-Annahmen!$B$86)*Annahmen!$B$85,0)</f>
        <v>0.09</v>
      </c>
      <c r="G37" s="23" t="n">
        <f aca="false">F37*(Annahmen!$B$87*(Annahmen!$B$97+Annahmen!$B$98)-Annahmen!$B$96*(1-Annahmen!$B$84))</f>
        <v>211.68</v>
      </c>
      <c r="H37" s="17" t="n">
        <f aca="false">IF($A37&gt;=Annahmen!$B$82,Annahmen!$B$88,0)</f>
        <v>0</v>
      </c>
      <c r="I37" s="23" t="n">
        <f aca="false">H37*(Annahmen!$B$97+Annahmen!$B$89*Annahmen!$B$98)</f>
        <v>0</v>
      </c>
      <c r="J37" s="17" t="n">
        <f aca="false">IF($A37&gt;=Annahmen!$B$82,Annahmen!$B$90,0)</f>
        <v>0</v>
      </c>
      <c r="K37" s="23" t="n">
        <f aca="false">J37*(Annahmen!$B$99+Annahmen!$B$91*Annahmen!$B$102)</f>
        <v>0</v>
      </c>
      <c r="L37" s="17" t="n">
        <f aca="false">IF($A37&gt;=Annahmen!$B$82,Annahmen!$B$92,0)</f>
        <v>0</v>
      </c>
      <c r="M37" s="23" t="n">
        <f aca="false">L37*Annahmen!$B$103</f>
        <v>0</v>
      </c>
      <c r="N37" s="15" t="n">
        <f aca="false">IF($A37&gt;=Annahmen!$B$82,Annahmen!$B$93,0)</f>
        <v>0</v>
      </c>
      <c r="O37" s="23" t="n">
        <f aca="false">N37*Annahmen!$B$104</f>
        <v>0</v>
      </c>
      <c r="P37" s="15" t="n">
        <f aca="false">IF($A37&gt;=Annahmen!$B$82,Annahmen!$B$94,0)</f>
        <v>0</v>
      </c>
      <c r="Q37" s="23" t="n">
        <f aca="false">P37*Annahmen!$B$105</f>
        <v>0</v>
      </c>
      <c r="R37" s="17" t="n">
        <f aca="false">IF($A37&gt;=Annahmen!$B$82,Annahmen!$B$95,0)</f>
        <v>0</v>
      </c>
      <c r="S37" s="23" t="n">
        <f aca="false">R37*Annahmen!$B$106</f>
        <v>0</v>
      </c>
      <c r="T37" s="23" t="n">
        <f aca="false">E37+G37+I37+K37+M37+O37+Q37+S37</f>
        <v>314.58</v>
      </c>
      <c r="U37" s="23" t="n">
        <f aca="false">C37*Annahmen!$B$51+F37*Annahmen!$B$87*Annahmen!$B$47+H37*(Annahmen!$B$45+Annahmen!$B$89*(Annahmen!$B$47-Annahmen!$B$45))+J37*Annahmen!$B$48+L37*Annahmen!$B$49+(N37+P37)*Annahmen!$B$50</f>
        <v>8.76039292347332</v>
      </c>
      <c r="V37" s="23" t="n">
        <f aca="false">SUMPRODUCT((((Annahmen!$C$145:$C$155="monatlich")*(Annahmen!$D$145:$D$155&lt;=$A37))+((Annahmen!$C$145:$C$155="einmalig")*(Annahmen!$D$145:$D$155=$A37)))*Annahmen!$B$145:$B$155*Annahmen!$F$145:$F$155)</f>
        <v>50.8275708031806</v>
      </c>
      <c r="W37" s="23" t="n">
        <f aca="false">Annahmen!$B$135</f>
        <v>50</v>
      </c>
      <c r="X37" s="17" t="n">
        <f aca="false">C37+F37*Annahmen!$B$87+H37+J37+L37/Annahmen!$B$46+(N37+P37)/(Annahmen!$B$23/Annahmen!$B$24)</f>
        <v>0.75</v>
      </c>
      <c r="Y37" s="35" t="n">
        <f aca="false">MAX(0,(X37-Annahmen!$B$140)/Annahmen!$B$141)</f>
        <v>0</v>
      </c>
      <c r="Z37" s="23" t="n">
        <f aca="false">Y37*Annahmen!$B$137</f>
        <v>0</v>
      </c>
      <c r="AA37" s="23" t="n">
        <f aca="false">T37-U37-V37-W37-Z37</f>
        <v>204.992036273346</v>
      </c>
      <c r="AB37" s="23" t="n">
        <f aca="false">AB36+AA37</f>
        <v>1250.82915057717</v>
      </c>
      <c r="AC37" s="7" t="n">
        <f aca="false">IF(AA37&gt;0,1,0)</f>
        <v>1</v>
      </c>
      <c r="AD37" s="7" t="n">
        <f aca="false">IF(AB37&gt;=0,1,0)</f>
        <v>1</v>
      </c>
    </row>
    <row r="38" customFormat="false" ht="15" hidden="false" customHeight="false" outlineLevel="0" collapsed="false">
      <c r="A38" s="7" t="n">
        <v>21</v>
      </c>
      <c r="B38" s="7" t="s">
        <v>370</v>
      </c>
      <c r="C38" s="17" t="n">
        <f aca="false">IF($A38&gt;=Annahmen!$B$82,Annahmen!$B$83,0)</f>
        <v>0.3</v>
      </c>
      <c r="D38" s="17" t="n">
        <f aca="false">C38*Annahmen!$B$84</f>
        <v>0.09</v>
      </c>
      <c r="E38" s="23" t="n">
        <f aca="false">(C38-D38)*Annahmen!$B$96</f>
        <v>102.9</v>
      </c>
      <c r="F38" s="17" t="n">
        <f aca="false">IF($A38&gt;Annahmen!$B$86,INDEX($C$18:$C$41,$A38-Annahmen!$B$86)*Annahmen!$B$85,0)</f>
        <v>0.09</v>
      </c>
      <c r="G38" s="23" t="n">
        <f aca="false">F38*(Annahmen!$B$87*(Annahmen!$B$97+Annahmen!$B$98)-Annahmen!$B$96*(1-Annahmen!$B$84))</f>
        <v>211.68</v>
      </c>
      <c r="H38" s="17" t="n">
        <f aca="false">IF($A38&gt;=Annahmen!$B$82,Annahmen!$B$88,0)</f>
        <v>0</v>
      </c>
      <c r="I38" s="23" t="n">
        <f aca="false">H38*(Annahmen!$B$97+Annahmen!$B$89*Annahmen!$B$98)</f>
        <v>0</v>
      </c>
      <c r="J38" s="17" t="n">
        <f aca="false">IF($A38&gt;=Annahmen!$B$82,Annahmen!$B$90,0)</f>
        <v>0</v>
      </c>
      <c r="K38" s="23" t="n">
        <f aca="false">J38*(Annahmen!$B$99+Annahmen!$B$91*Annahmen!$B$102)</f>
        <v>0</v>
      </c>
      <c r="L38" s="17" t="n">
        <f aca="false">IF($A38&gt;=Annahmen!$B$82,Annahmen!$B$92,0)</f>
        <v>0</v>
      </c>
      <c r="M38" s="23" t="n">
        <f aca="false">L38*Annahmen!$B$103</f>
        <v>0</v>
      </c>
      <c r="N38" s="15" t="n">
        <f aca="false">IF($A38&gt;=Annahmen!$B$82,Annahmen!$B$93,0)</f>
        <v>0</v>
      </c>
      <c r="O38" s="23" t="n">
        <f aca="false">N38*Annahmen!$B$104</f>
        <v>0</v>
      </c>
      <c r="P38" s="15" t="n">
        <f aca="false">IF($A38&gt;=Annahmen!$B$82,Annahmen!$B$94,0)</f>
        <v>0</v>
      </c>
      <c r="Q38" s="23" t="n">
        <f aca="false">P38*Annahmen!$B$105</f>
        <v>0</v>
      </c>
      <c r="R38" s="17" t="n">
        <f aca="false">IF($A38&gt;=Annahmen!$B$82,Annahmen!$B$95,0)</f>
        <v>0</v>
      </c>
      <c r="S38" s="23" t="n">
        <f aca="false">R38*Annahmen!$B$106</f>
        <v>0</v>
      </c>
      <c r="T38" s="23" t="n">
        <f aca="false">E38+G38+I38+K38+M38+O38+Q38+S38</f>
        <v>314.58</v>
      </c>
      <c r="U38" s="23" t="n">
        <f aca="false">C38*Annahmen!$B$51+F38*Annahmen!$B$87*Annahmen!$B$47+H38*(Annahmen!$B$45+Annahmen!$B$89*(Annahmen!$B$47-Annahmen!$B$45))+J38*Annahmen!$B$48+L38*Annahmen!$B$49+(N38+P38)*Annahmen!$B$50</f>
        <v>8.76039292347332</v>
      </c>
      <c r="V38" s="23" t="n">
        <f aca="false">SUMPRODUCT((((Annahmen!$C$145:$C$155="monatlich")*(Annahmen!$D$145:$D$155&lt;=$A38))+((Annahmen!$C$145:$C$155="einmalig")*(Annahmen!$D$145:$D$155=$A38)))*Annahmen!$B$145:$B$155*Annahmen!$F$145:$F$155)</f>
        <v>50.8275708031806</v>
      </c>
      <c r="W38" s="23" t="n">
        <f aca="false">Annahmen!$B$135</f>
        <v>50</v>
      </c>
      <c r="X38" s="17" t="n">
        <f aca="false">C38+F38*Annahmen!$B$87+H38+J38+L38/Annahmen!$B$46+(N38+P38)/(Annahmen!$B$23/Annahmen!$B$24)</f>
        <v>0.75</v>
      </c>
      <c r="Y38" s="35" t="n">
        <f aca="false">MAX(0,(X38-Annahmen!$B$140)/Annahmen!$B$141)</f>
        <v>0</v>
      </c>
      <c r="Z38" s="23" t="n">
        <f aca="false">Y38*Annahmen!$B$137</f>
        <v>0</v>
      </c>
      <c r="AA38" s="23" t="n">
        <f aca="false">T38-U38-V38-W38-Z38</f>
        <v>204.992036273346</v>
      </c>
      <c r="AB38" s="23" t="n">
        <f aca="false">AB37+AA38</f>
        <v>1455.82118685052</v>
      </c>
      <c r="AC38" s="7" t="n">
        <f aca="false">IF(AA38&gt;0,1,0)</f>
        <v>1</v>
      </c>
      <c r="AD38" s="7" t="n">
        <f aca="false">IF(AB38&gt;=0,1,0)</f>
        <v>1</v>
      </c>
    </row>
    <row r="39" customFormat="false" ht="15" hidden="false" customHeight="false" outlineLevel="0" collapsed="false">
      <c r="A39" s="7" t="n">
        <v>22</v>
      </c>
      <c r="B39" s="7" t="s">
        <v>371</v>
      </c>
      <c r="C39" s="17" t="n">
        <f aca="false">IF($A39&gt;=Annahmen!$B$82,Annahmen!$B$83,0)</f>
        <v>0.3</v>
      </c>
      <c r="D39" s="17" t="n">
        <f aca="false">C39*Annahmen!$B$84</f>
        <v>0.09</v>
      </c>
      <c r="E39" s="23" t="n">
        <f aca="false">(C39-D39)*Annahmen!$B$96</f>
        <v>102.9</v>
      </c>
      <c r="F39" s="17" t="n">
        <f aca="false">IF($A39&gt;Annahmen!$B$86,INDEX($C$18:$C$41,$A39-Annahmen!$B$86)*Annahmen!$B$85,0)</f>
        <v>0.09</v>
      </c>
      <c r="G39" s="23" t="n">
        <f aca="false">F39*(Annahmen!$B$87*(Annahmen!$B$97+Annahmen!$B$98)-Annahmen!$B$96*(1-Annahmen!$B$84))</f>
        <v>211.68</v>
      </c>
      <c r="H39" s="17" t="n">
        <f aca="false">IF($A39&gt;=Annahmen!$B$82,Annahmen!$B$88,0)</f>
        <v>0</v>
      </c>
      <c r="I39" s="23" t="n">
        <f aca="false">H39*(Annahmen!$B$97+Annahmen!$B$89*Annahmen!$B$98)</f>
        <v>0</v>
      </c>
      <c r="J39" s="17" t="n">
        <f aca="false">IF($A39&gt;=Annahmen!$B$82,Annahmen!$B$90,0)</f>
        <v>0</v>
      </c>
      <c r="K39" s="23" t="n">
        <f aca="false">J39*(Annahmen!$B$99+Annahmen!$B$91*Annahmen!$B$102)</f>
        <v>0</v>
      </c>
      <c r="L39" s="17" t="n">
        <f aca="false">IF($A39&gt;=Annahmen!$B$82,Annahmen!$B$92,0)</f>
        <v>0</v>
      </c>
      <c r="M39" s="23" t="n">
        <f aca="false">L39*Annahmen!$B$103</f>
        <v>0</v>
      </c>
      <c r="N39" s="15" t="n">
        <f aca="false">IF($A39&gt;=Annahmen!$B$82,Annahmen!$B$93,0)</f>
        <v>0</v>
      </c>
      <c r="O39" s="23" t="n">
        <f aca="false">N39*Annahmen!$B$104</f>
        <v>0</v>
      </c>
      <c r="P39" s="15" t="n">
        <f aca="false">IF($A39&gt;=Annahmen!$B$82,Annahmen!$B$94,0)</f>
        <v>0</v>
      </c>
      <c r="Q39" s="23" t="n">
        <f aca="false">P39*Annahmen!$B$105</f>
        <v>0</v>
      </c>
      <c r="R39" s="17" t="n">
        <f aca="false">IF($A39&gt;=Annahmen!$B$82,Annahmen!$B$95,0)</f>
        <v>0</v>
      </c>
      <c r="S39" s="23" t="n">
        <f aca="false">R39*Annahmen!$B$106</f>
        <v>0</v>
      </c>
      <c r="T39" s="23" t="n">
        <f aca="false">E39+G39+I39+K39+M39+O39+Q39+S39</f>
        <v>314.58</v>
      </c>
      <c r="U39" s="23" t="n">
        <f aca="false">C39*Annahmen!$B$51+F39*Annahmen!$B$87*Annahmen!$B$47+H39*(Annahmen!$B$45+Annahmen!$B$89*(Annahmen!$B$47-Annahmen!$B$45))+J39*Annahmen!$B$48+L39*Annahmen!$B$49+(N39+P39)*Annahmen!$B$50</f>
        <v>8.76039292347332</v>
      </c>
      <c r="V39" s="23" t="n">
        <f aca="false">SUMPRODUCT((((Annahmen!$C$145:$C$155="monatlich")*(Annahmen!$D$145:$D$155&lt;=$A39))+((Annahmen!$C$145:$C$155="einmalig")*(Annahmen!$D$145:$D$155=$A39)))*Annahmen!$B$145:$B$155*Annahmen!$F$145:$F$155)</f>
        <v>50.8275708031806</v>
      </c>
      <c r="W39" s="23" t="n">
        <f aca="false">Annahmen!$B$135</f>
        <v>50</v>
      </c>
      <c r="X39" s="17" t="n">
        <f aca="false">C39+F39*Annahmen!$B$87+H39+J39+L39/Annahmen!$B$46+(N39+P39)/(Annahmen!$B$23/Annahmen!$B$24)</f>
        <v>0.75</v>
      </c>
      <c r="Y39" s="35" t="n">
        <f aca="false">MAX(0,(X39-Annahmen!$B$140)/Annahmen!$B$141)</f>
        <v>0</v>
      </c>
      <c r="Z39" s="23" t="n">
        <f aca="false">Y39*Annahmen!$B$137</f>
        <v>0</v>
      </c>
      <c r="AA39" s="23" t="n">
        <f aca="false">T39-U39-V39-W39-Z39</f>
        <v>204.992036273346</v>
      </c>
      <c r="AB39" s="23" t="n">
        <f aca="false">AB38+AA39</f>
        <v>1660.81322312387</v>
      </c>
      <c r="AC39" s="7" t="n">
        <f aca="false">IF(AA39&gt;0,1,0)</f>
        <v>1</v>
      </c>
      <c r="AD39" s="7" t="n">
        <f aca="false">IF(AB39&gt;=0,1,0)</f>
        <v>1</v>
      </c>
    </row>
    <row r="40" customFormat="false" ht="15" hidden="false" customHeight="false" outlineLevel="0" collapsed="false">
      <c r="A40" s="7" t="n">
        <v>23</v>
      </c>
      <c r="B40" s="7" t="s">
        <v>372</v>
      </c>
      <c r="C40" s="17" t="n">
        <f aca="false">IF($A40&gt;=Annahmen!$B$82,Annahmen!$B$83,0)</f>
        <v>0.3</v>
      </c>
      <c r="D40" s="17" t="n">
        <f aca="false">C40*Annahmen!$B$84</f>
        <v>0.09</v>
      </c>
      <c r="E40" s="23" t="n">
        <f aca="false">(C40-D40)*Annahmen!$B$96</f>
        <v>102.9</v>
      </c>
      <c r="F40" s="17" t="n">
        <f aca="false">IF($A40&gt;Annahmen!$B$86,INDEX($C$18:$C$41,$A40-Annahmen!$B$86)*Annahmen!$B$85,0)</f>
        <v>0.09</v>
      </c>
      <c r="G40" s="23" t="n">
        <f aca="false">F40*(Annahmen!$B$87*(Annahmen!$B$97+Annahmen!$B$98)-Annahmen!$B$96*(1-Annahmen!$B$84))</f>
        <v>211.68</v>
      </c>
      <c r="H40" s="17" t="n">
        <f aca="false">IF($A40&gt;=Annahmen!$B$82,Annahmen!$B$88,0)</f>
        <v>0</v>
      </c>
      <c r="I40" s="23" t="n">
        <f aca="false">H40*(Annahmen!$B$97+Annahmen!$B$89*Annahmen!$B$98)</f>
        <v>0</v>
      </c>
      <c r="J40" s="17" t="n">
        <f aca="false">IF($A40&gt;=Annahmen!$B$82,Annahmen!$B$90,0)</f>
        <v>0</v>
      </c>
      <c r="K40" s="23" t="n">
        <f aca="false">J40*(Annahmen!$B$99+Annahmen!$B$91*Annahmen!$B$102)</f>
        <v>0</v>
      </c>
      <c r="L40" s="17" t="n">
        <f aca="false">IF($A40&gt;=Annahmen!$B$82,Annahmen!$B$92,0)</f>
        <v>0</v>
      </c>
      <c r="M40" s="23" t="n">
        <f aca="false">L40*Annahmen!$B$103</f>
        <v>0</v>
      </c>
      <c r="N40" s="15" t="n">
        <f aca="false">IF($A40&gt;=Annahmen!$B$82,Annahmen!$B$93,0)</f>
        <v>0</v>
      </c>
      <c r="O40" s="23" t="n">
        <f aca="false">N40*Annahmen!$B$104</f>
        <v>0</v>
      </c>
      <c r="P40" s="15" t="n">
        <f aca="false">IF($A40&gt;=Annahmen!$B$82,Annahmen!$B$94,0)</f>
        <v>0</v>
      </c>
      <c r="Q40" s="23" t="n">
        <f aca="false">P40*Annahmen!$B$105</f>
        <v>0</v>
      </c>
      <c r="R40" s="17" t="n">
        <f aca="false">IF($A40&gt;=Annahmen!$B$82,Annahmen!$B$95,0)</f>
        <v>0</v>
      </c>
      <c r="S40" s="23" t="n">
        <f aca="false">R40*Annahmen!$B$106</f>
        <v>0</v>
      </c>
      <c r="T40" s="23" t="n">
        <f aca="false">E40+G40+I40+K40+M40+O40+Q40+S40</f>
        <v>314.58</v>
      </c>
      <c r="U40" s="23" t="n">
        <f aca="false">C40*Annahmen!$B$51+F40*Annahmen!$B$87*Annahmen!$B$47+H40*(Annahmen!$B$45+Annahmen!$B$89*(Annahmen!$B$47-Annahmen!$B$45))+J40*Annahmen!$B$48+L40*Annahmen!$B$49+(N40+P40)*Annahmen!$B$50</f>
        <v>8.76039292347332</v>
      </c>
      <c r="V40" s="23" t="n">
        <f aca="false">SUMPRODUCT((((Annahmen!$C$145:$C$155="monatlich")*(Annahmen!$D$145:$D$155&lt;=$A40))+((Annahmen!$C$145:$C$155="einmalig")*(Annahmen!$D$145:$D$155=$A40)))*Annahmen!$B$145:$B$155*Annahmen!$F$145:$F$155)</f>
        <v>50.8275708031806</v>
      </c>
      <c r="W40" s="23" t="n">
        <f aca="false">Annahmen!$B$135</f>
        <v>50</v>
      </c>
      <c r="X40" s="17" t="n">
        <f aca="false">C40+F40*Annahmen!$B$87+H40+J40+L40/Annahmen!$B$46+(N40+P40)/(Annahmen!$B$23/Annahmen!$B$24)</f>
        <v>0.75</v>
      </c>
      <c r="Y40" s="35" t="n">
        <f aca="false">MAX(0,(X40-Annahmen!$B$140)/Annahmen!$B$141)</f>
        <v>0</v>
      </c>
      <c r="Z40" s="23" t="n">
        <f aca="false">Y40*Annahmen!$B$137</f>
        <v>0</v>
      </c>
      <c r="AA40" s="23" t="n">
        <f aca="false">T40-U40-V40-W40-Z40</f>
        <v>204.992036273346</v>
      </c>
      <c r="AB40" s="23" t="n">
        <f aca="false">AB39+AA40</f>
        <v>1865.80525939721</v>
      </c>
      <c r="AC40" s="7" t="n">
        <f aca="false">IF(AA40&gt;0,1,0)</f>
        <v>1</v>
      </c>
      <c r="AD40" s="7" t="n">
        <f aca="false">IF(AB40&gt;=0,1,0)</f>
        <v>1</v>
      </c>
    </row>
    <row r="41" customFormat="false" ht="15" hidden="false" customHeight="false" outlineLevel="0" collapsed="false">
      <c r="A41" s="7" t="n">
        <v>24</v>
      </c>
      <c r="B41" s="7" t="s">
        <v>373</v>
      </c>
      <c r="C41" s="17" t="n">
        <f aca="false">IF($A41&gt;=Annahmen!$B$82,Annahmen!$B$83,0)</f>
        <v>0.3</v>
      </c>
      <c r="D41" s="17" t="n">
        <f aca="false">C41*Annahmen!$B$84</f>
        <v>0.09</v>
      </c>
      <c r="E41" s="23" t="n">
        <f aca="false">(C41-D41)*Annahmen!$B$96</f>
        <v>102.9</v>
      </c>
      <c r="F41" s="17" t="n">
        <f aca="false">IF($A41&gt;Annahmen!$B$86,INDEX($C$18:$C$41,$A41-Annahmen!$B$86)*Annahmen!$B$85,0)</f>
        <v>0.09</v>
      </c>
      <c r="G41" s="23" t="n">
        <f aca="false">F41*(Annahmen!$B$87*(Annahmen!$B$97+Annahmen!$B$98)-Annahmen!$B$96*(1-Annahmen!$B$84))</f>
        <v>211.68</v>
      </c>
      <c r="H41" s="17" t="n">
        <f aca="false">IF($A41&gt;=Annahmen!$B$82,Annahmen!$B$88,0)</f>
        <v>0</v>
      </c>
      <c r="I41" s="23" t="n">
        <f aca="false">H41*(Annahmen!$B$97+Annahmen!$B$89*Annahmen!$B$98)</f>
        <v>0</v>
      </c>
      <c r="J41" s="17" t="n">
        <f aca="false">IF($A41&gt;=Annahmen!$B$82,Annahmen!$B$90,0)</f>
        <v>0</v>
      </c>
      <c r="K41" s="23" t="n">
        <f aca="false">J41*(Annahmen!$B$99+Annahmen!$B$91*Annahmen!$B$102)</f>
        <v>0</v>
      </c>
      <c r="L41" s="17" t="n">
        <f aca="false">IF($A41&gt;=Annahmen!$B$82,Annahmen!$B$92,0)</f>
        <v>0</v>
      </c>
      <c r="M41" s="23" t="n">
        <f aca="false">L41*Annahmen!$B$103</f>
        <v>0</v>
      </c>
      <c r="N41" s="15" t="n">
        <f aca="false">IF($A41&gt;=Annahmen!$B$82,Annahmen!$B$93,0)</f>
        <v>0</v>
      </c>
      <c r="O41" s="23" t="n">
        <f aca="false">N41*Annahmen!$B$104</f>
        <v>0</v>
      </c>
      <c r="P41" s="15" t="n">
        <f aca="false">IF($A41&gt;=Annahmen!$B$82,Annahmen!$B$94,0)</f>
        <v>0</v>
      </c>
      <c r="Q41" s="23" t="n">
        <f aca="false">P41*Annahmen!$B$105</f>
        <v>0</v>
      </c>
      <c r="R41" s="17" t="n">
        <f aca="false">IF($A41&gt;=Annahmen!$B$82,Annahmen!$B$95,0)</f>
        <v>0</v>
      </c>
      <c r="S41" s="23" t="n">
        <f aca="false">R41*Annahmen!$B$106</f>
        <v>0</v>
      </c>
      <c r="T41" s="23" t="n">
        <f aca="false">E41+G41+I41+K41+M41+O41+Q41+S41</f>
        <v>314.58</v>
      </c>
      <c r="U41" s="23" t="n">
        <f aca="false">C41*Annahmen!$B$51+F41*Annahmen!$B$87*Annahmen!$B$47+H41*(Annahmen!$B$45+Annahmen!$B$89*(Annahmen!$B$47-Annahmen!$B$45))+J41*Annahmen!$B$48+L41*Annahmen!$B$49+(N41+P41)*Annahmen!$B$50</f>
        <v>8.76039292347332</v>
      </c>
      <c r="V41" s="23" t="n">
        <f aca="false">SUMPRODUCT((((Annahmen!$C$145:$C$155="monatlich")*(Annahmen!$D$145:$D$155&lt;=$A41))+((Annahmen!$C$145:$C$155="einmalig")*(Annahmen!$D$145:$D$155=$A41)))*Annahmen!$B$145:$B$155*Annahmen!$F$145:$F$155)</f>
        <v>50.8275708031806</v>
      </c>
      <c r="W41" s="23" t="n">
        <f aca="false">Annahmen!$B$135</f>
        <v>50</v>
      </c>
      <c r="X41" s="17" t="n">
        <f aca="false">C41+F41*Annahmen!$B$87+H41+J41+L41/Annahmen!$B$46+(N41+P41)/(Annahmen!$B$23/Annahmen!$B$24)</f>
        <v>0.75</v>
      </c>
      <c r="Y41" s="35" t="n">
        <f aca="false">MAX(0,(X41-Annahmen!$B$140)/Annahmen!$B$141)</f>
        <v>0</v>
      </c>
      <c r="Z41" s="23" t="n">
        <f aca="false">Y41*Annahmen!$B$137</f>
        <v>0</v>
      </c>
      <c r="AA41" s="23" t="n">
        <f aca="false">T41-U41-V41-W41-Z41</f>
        <v>204.992036273346</v>
      </c>
      <c r="AB41" s="23" t="n">
        <f aca="false">AB40+AA41</f>
        <v>2070.79729567056</v>
      </c>
      <c r="AC41" s="7" t="n">
        <f aca="false">IF(AA41&gt;0,1,0)</f>
        <v>1</v>
      </c>
      <c r="AD41" s="7" t="n">
        <f aca="false">IF(AB41&gt;=0,1,0)</f>
        <v>1</v>
      </c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customFormat="false" ht="15" hidden="false" customHeight="false" outlineLevel="0" collapsed="false">
      <c r="A45" s="5" t="str">
        <f aca="false">"Szenario mittel – "&amp;Annahmen!$C$133</f>
        <v>Szenario mittel – profitabler Nebenerwerb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2"/>
      <c r="AD45" s="2"/>
    </row>
    <row r="46" customFormat="false" ht="42" hidden="false" customHeight="true" outlineLevel="0" collapsed="false">
      <c r="A46" s="34" t="s">
        <v>96</v>
      </c>
      <c r="B46" s="34" t="s">
        <v>323</v>
      </c>
      <c r="C46" s="34" t="s">
        <v>384</v>
      </c>
      <c r="D46" s="34" t="s">
        <v>385</v>
      </c>
      <c r="E46" s="34" t="s">
        <v>386</v>
      </c>
      <c r="F46" s="34" t="s">
        <v>387</v>
      </c>
      <c r="G46" s="34" t="s">
        <v>388</v>
      </c>
      <c r="H46" s="34" t="s">
        <v>389</v>
      </c>
      <c r="I46" s="34" t="s">
        <v>390</v>
      </c>
      <c r="J46" s="34" t="s">
        <v>391</v>
      </c>
      <c r="K46" s="34" t="s">
        <v>392</v>
      </c>
      <c r="L46" s="34" t="s">
        <v>393</v>
      </c>
      <c r="M46" s="34" t="s">
        <v>394</v>
      </c>
      <c r="N46" s="34" t="s">
        <v>395</v>
      </c>
      <c r="O46" s="34" t="s">
        <v>396</v>
      </c>
      <c r="P46" s="34" t="s">
        <v>397</v>
      </c>
      <c r="Q46" s="34" t="s">
        <v>398</v>
      </c>
      <c r="R46" s="34" t="s">
        <v>399</v>
      </c>
      <c r="S46" s="34" t="s">
        <v>400</v>
      </c>
      <c r="T46" s="34" t="s">
        <v>401</v>
      </c>
      <c r="U46" s="34" t="s">
        <v>402</v>
      </c>
      <c r="V46" s="34" t="s">
        <v>342</v>
      </c>
      <c r="W46" s="34" t="s">
        <v>343</v>
      </c>
      <c r="X46" s="34" t="s">
        <v>403</v>
      </c>
      <c r="Y46" s="34" t="s">
        <v>344</v>
      </c>
      <c r="Z46" s="34" t="s">
        <v>345</v>
      </c>
      <c r="AA46" s="34" t="s">
        <v>346</v>
      </c>
      <c r="AB46" s="34" t="s">
        <v>347</v>
      </c>
      <c r="AC46" s="34" t="s">
        <v>348</v>
      </c>
      <c r="AD46" s="34" t="s">
        <v>349</v>
      </c>
    </row>
    <row r="47" customFormat="false" ht="15" hidden="false" customHeight="false" outlineLevel="0" collapsed="false">
      <c r="A47" s="7" t="n">
        <v>1</v>
      </c>
      <c r="B47" s="7" t="s">
        <v>350</v>
      </c>
      <c r="C47" s="17" t="n">
        <f aca="false">IF($A47&gt;=Annahmen!$C$82,Annahmen!$C$83,0)</f>
        <v>0</v>
      </c>
      <c r="D47" s="17" t="n">
        <f aca="false">C47*Annahmen!$C$84</f>
        <v>0</v>
      </c>
      <c r="E47" s="23" t="n">
        <f aca="false">(C47-D47)*Annahmen!$B$96</f>
        <v>0</v>
      </c>
      <c r="F47" s="17" t="n">
        <f aca="false">IF($A47&gt;Annahmen!$B$86,INDEX($C$47:$C$70,$A47-Annahmen!$B$86)*Annahmen!$C$85,0)</f>
        <v>0</v>
      </c>
      <c r="G47" s="23" t="n">
        <f aca="false">F47*(Annahmen!$C$87*(Annahmen!$B$97+Annahmen!$B$98)-Annahmen!$B$96*(1-Annahmen!$C$84))</f>
        <v>0</v>
      </c>
      <c r="H47" s="17" t="n">
        <f aca="false">IF($A47&gt;=Annahmen!$C$82,Annahmen!$C$88,0)</f>
        <v>0</v>
      </c>
      <c r="I47" s="23" t="n">
        <f aca="false">H47*(Annahmen!$B$97+Annahmen!$C$89*Annahmen!$B$98)</f>
        <v>0</v>
      </c>
      <c r="J47" s="17" t="n">
        <f aca="false">IF($A47&gt;=Annahmen!$C$82,Annahmen!$C$90,0)</f>
        <v>0</v>
      </c>
      <c r="K47" s="23" t="n">
        <f aca="false">J47*(Annahmen!$B$99+Annahmen!$B$91*Annahmen!$B$102)</f>
        <v>0</v>
      </c>
      <c r="L47" s="17" t="n">
        <f aca="false">IF($A47&gt;=Annahmen!$C$82,Annahmen!$C$92,0)</f>
        <v>0</v>
      </c>
      <c r="M47" s="23" t="n">
        <f aca="false">L47*Annahmen!$B$103</f>
        <v>0</v>
      </c>
      <c r="N47" s="15" t="n">
        <f aca="false">IF($A47&gt;=Annahmen!$C$82,Annahmen!$C$93,0)</f>
        <v>0</v>
      </c>
      <c r="O47" s="23" t="n">
        <f aca="false">N47*Annahmen!$B$104</f>
        <v>0</v>
      </c>
      <c r="P47" s="15" t="n">
        <f aca="false">IF($A47&gt;=Annahmen!$C$82,Annahmen!$C$94,0)</f>
        <v>0</v>
      </c>
      <c r="Q47" s="23" t="n">
        <f aca="false">P47*Annahmen!$B$105</f>
        <v>0</v>
      </c>
      <c r="R47" s="17" t="n">
        <f aca="false">IF($A47&gt;=Annahmen!$C$82,Annahmen!$C$95,0)</f>
        <v>0</v>
      </c>
      <c r="S47" s="23" t="n">
        <f aca="false">R47*Annahmen!$B$106</f>
        <v>0</v>
      </c>
      <c r="T47" s="23" t="n">
        <f aca="false">E47+G47+I47+K47+M47+O47+Q47+S47</f>
        <v>0</v>
      </c>
      <c r="U47" s="23" t="n">
        <f aca="false">C47*Annahmen!$B$51+F47*Annahmen!$C$87*Annahmen!$B$47+H47*(Annahmen!$B$45+Annahmen!$C$89*(Annahmen!$B$47-Annahmen!$B$45))+J47*Annahmen!$B$48+L47*Annahmen!$B$49+(N47+P47)*Annahmen!$B$50</f>
        <v>0</v>
      </c>
      <c r="V47" s="23" t="n">
        <f aca="false">SUMPRODUCT((((Annahmen!$C$145:$C$155="monatlich")*(Annahmen!$D$145:$D$155&lt;=$A47))+((Annahmen!$C$145:$C$155="einmalig")*(Annahmen!$D$145:$D$155=$A47)))*Annahmen!$B$145:$B$155*Annahmen!$F$145:$F$155)</f>
        <v>213.227570803181</v>
      </c>
      <c r="W47" s="23" t="n">
        <f aca="false">Annahmen!$C$135</f>
        <v>150</v>
      </c>
      <c r="X47" s="17" t="n">
        <f aca="false">C47+F47*Annahmen!$C$87+H47+J47+L47/Annahmen!$B$46+(N47+P47)/(Annahmen!$B$23/Annahmen!$B$24)</f>
        <v>0</v>
      </c>
      <c r="Y47" s="35" t="n">
        <f aca="false">MAX(0,(X47-Annahmen!$B$140)/Annahmen!$B$141)</f>
        <v>0</v>
      </c>
      <c r="Z47" s="23" t="n">
        <f aca="false">Y47*Annahmen!$B$137</f>
        <v>0</v>
      </c>
      <c r="AA47" s="23" t="n">
        <f aca="false">T47-U47-V47-W47-Z47</f>
        <v>-363.227570803181</v>
      </c>
      <c r="AB47" s="23" t="n">
        <f aca="false">AA47</f>
        <v>-363.227570803181</v>
      </c>
      <c r="AC47" s="7" t="n">
        <f aca="false">IF(AA47&gt;0,1,0)</f>
        <v>0</v>
      </c>
      <c r="AD47" s="7" t="n">
        <f aca="false">IF(AB47&gt;=0,1,0)</f>
        <v>0</v>
      </c>
    </row>
    <row r="48" customFormat="false" ht="15" hidden="false" customHeight="false" outlineLevel="0" collapsed="false">
      <c r="A48" s="7" t="n">
        <v>2</v>
      </c>
      <c r="B48" s="7" t="s">
        <v>351</v>
      </c>
      <c r="C48" s="17" t="n">
        <f aca="false">IF($A48&gt;=Annahmen!$C$82,Annahmen!$C$83,0)</f>
        <v>0</v>
      </c>
      <c r="D48" s="17" t="n">
        <f aca="false">C48*Annahmen!$C$84</f>
        <v>0</v>
      </c>
      <c r="E48" s="23" t="n">
        <f aca="false">(C48-D48)*Annahmen!$B$96</f>
        <v>0</v>
      </c>
      <c r="F48" s="17" t="n">
        <f aca="false">IF($A48&gt;Annahmen!$B$86,INDEX($C$47:$C$70,$A48-Annahmen!$B$86)*Annahmen!$C$85,0)</f>
        <v>0</v>
      </c>
      <c r="G48" s="23" t="n">
        <f aca="false">F48*(Annahmen!$C$87*(Annahmen!$B$97+Annahmen!$B$98)-Annahmen!$B$96*(1-Annahmen!$C$84))</f>
        <v>0</v>
      </c>
      <c r="H48" s="17" t="n">
        <f aca="false">IF($A48&gt;=Annahmen!$C$82,Annahmen!$C$88,0)</f>
        <v>0</v>
      </c>
      <c r="I48" s="23" t="n">
        <f aca="false">H48*(Annahmen!$B$97+Annahmen!$C$89*Annahmen!$B$98)</f>
        <v>0</v>
      </c>
      <c r="J48" s="17" t="n">
        <f aca="false">IF($A48&gt;=Annahmen!$C$82,Annahmen!$C$90,0)</f>
        <v>0</v>
      </c>
      <c r="K48" s="23" t="n">
        <f aca="false">J48*(Annahmen!$B$99+Annahmen!$B$91*Annahmen!$B$102)</f>
        <v>0</v>
      </c>
      <c r="L48" s="17" t="n">
        <f aca="false">IF($A48&gt;=Annahmen!$C$82,Annahmen!$C$92,0)</f>
        <v>0</v>
      </c>
      <c r="M48" s="23" t="n">
        <f aca="false">L48*Annahmen!$B$103</f>
        <v>0</v>
      </c>
      <c r="N48" s="15" t="n">
        <f aca="false">IF($A48&gt;=Annahmen!$C$82,Annahmen!$C$93,0)</f>
        <v>0</v>
      </c>
      <c r="O48" s="23" t="n">
        <f aca="false">N48*Annahmen!$B$104</f>
        <v>0</v>
      </c>
      <c r="P48" s="15" t="n">
        <f aca="false">IF($A48&gt;=Annahmen!$C$82,Annahmen!$C$94,0)</f>
        <v>0</v>
      </c>
      <c r="Q48" s="23" t="n">
        <f aca="false">P48*Annahmen!$B$105</f>
        <v>0</v>
      </c>
      <c r="R48" s="17" t="n">
        <f aca="false">IF($A48&gt;=Annahmen!$C$82,Annahmen!$C$95,0)</f>
        <v>0</v>
      </c>
      <c r="S48" s="23" t="n">
        <f aca="false">R48*Annahmen!$B$106</f>
        <v>0</v>
      </c>
      <c r="T48" s="23" t="n">
        <f aca="false">E48+G48+I48+K48+M48+O48+Q48+S48</f>
        <v>0</v>
      </c>
      <c r="U48" s="23" t="n">
        <f aca="false">C48*Annahmen!$B$51+F48*Annahmen!$C$87*Annahmen!$B$47+H48*(Annahmen!$B$45+Annahmen!$C$89*(Annahmen!$B$47-Annahmen!$B$45))+J48*Annahmen!$B$48+L48*Annahmen!$B$49+(N48+P48)*Annahmen!$B$50</f>
        <v>0</v>
      </c>
      <c r="V48" s="23" t="n">
        <f aca="false">SUMPRODUCT((((Annahmen!$C$145:$C$155="monatlich")*(Annahmen!$D$145:$D$155&lt;=$A48))+((Annahmen!$C$145:$C$155="einmalig")*(Annahmen!$D$145:$D$155=$A48)))*Annahmen!$B$145:$B$155*Annahmen!$F$145:$F$155)</f>
        <v>50.8275708031806</v>
      </c>
      <c r="W48" s="23" t="n">
        <f aca="false">Annahmen!$C$135</f>
        <v>150</v>
      </c>
      <c r="X48" s="17" t="n">
        <f aca="false">C48+F48*Annahmen!$C$87+H48+J48+L48/Annahmen!$B$46+(N48+P48)/(Annahmen!$B$23/Annahmen!$B$24)</f>
        <v>0</v>
      </c>
      <c r="Y48" s="35" t="n">
        <f aca="false">MAX(0,(X48-Annahmen!$B$140)/Annahmen!$B$141)</f>
        <v>0</v>
      </c>
      <c r="Z48" s="23" t="n">
        <f aca="false">Y48*Annahmen!$B$137</f>
        <v>0</v>
      </c>
      <c r="AA48" s="23" t="n">
        <f aca="false">T48-U48-V48-W48-Z48</f>
        <v>-200.827570803181</v>
      </c>
      <c r="AB48" s="23" t="n">
        <f aca="false">AB47+AA48</f>
        <v>-564.055141606361</v>
      </c>
      <c r="AC48" s="7" t="n">
        <f aca="false">IF(AA48&gt;0,1,0)</f>
        <v>0</v>
      </c>
      <c r="AD48" s="7" t="n">
        <f aca="false">IF(AB48&gt;=0,1,0)</f>
        <v>0</v>
      </c>
    </row>
    <row r="49" customFormat="false" ht="15" hidden="false" customHeight="false" outlineLevel="0" collapsed="false">
      <c r="A49" s="7" t="n">
        <v>3</v>
      </c>
      <c r="B49" s="7" t="s">
        <v>352</v>
      </c>
      <c r="C49" s="17" t="n">
        <f aca="false">IF($A49&gt;=Annahmen!$C$82,Annahmen!$C$83,0)</f>
        <v>0</v>
      </c>
      <c r="D49" s="17" t="n">
        <f aca="false">C49*Annahmen!$C$84</f>
        <v>0</v>
      </c>
      <c r="E49" s="23" t="n">
        <f aca="false">(C49-D49)*Annahmen!$B$96</f>
        <v>0</v>
      </c>
      <c r="F49" s="17" t="n">
        <f aca="false">IF($A49&gt;Annahmen!$B$86,INDEX($C$47:$C$70,$A49-Annahmen!$B$86)*Annahmen!$C$85,0)</f>
        <v>0</v>
      </c>
      <c r="G49" s="23" t="n">
        <f aca="false">F49*(Annahmen!$C$87*(Annahmen!$B$97+Annahmen!$B$98)-Annahmen!$B$96*(1-Annahmen!$C$84))</f>
        <v>0</v>
      </c>
      <c r="H49" s="17" t="n">
        <f aca="false">IF($A49&gt;=Annahmen!$C$82,Annahmen!$C$88,0)</f>
        <v>0</v>
      </c>
      <c r="I49" s="23" t="n">
        <f aca="false">H49*(Annahmen!$B$97+Annahmen!$C$89*Annahmen!$B$98)</f>
        <v>0</v>
      </c>
      <c r="J49" s="17" t="n">
        <f aca="false">IF($A49&gt;=Annahmen!$C$82,Annahmen!$C$90,0)</f>
        <v>0</v>
      </c>
      <c r="K49" s="23" t="n">
        <f aca="false">J49*(Annahmen!$B$99+Annahmen!$B$91*Annahmen!$B$102)</f>
        <v>0</v>
      </c>
      <c r="L49" s="17" t="n">
        <f aca="false">IF($A49&gt;=Annahmen!$C$82,Annahmen!$C$92,0)</f>
        <v>0</v>
      </c>
      <c r="M49" s="23" t="n">
        <f aca="false">L49*Annahmen!$B$103</f>
        <v>0</v>
      </c>
      <c r="N49" s="15" t="n">
        <f aca="false">IF($A49&gt;=Annahmen!$C$82,Annahmen!$C$93,0)</f>
        <v>0</v>
      </c>
      <c r="O49" s="23" t="n">
        <f aca="false">N49*Annahmen!$B$104</f>
        <v>0</v>
      </c>
      <c r="P49" s="15" t="n">
        <f aca="false">IF($A49&gt;=Annahmen!$C$82,Annahmen!$C$94,0)</f>
        <v>0</v>
      </c>
      <c r="Q49" s="23" t="n">
        <f aca="false">P49*Annahmen!$B$105</f>
        <v>0</v>
      </c>
      <c r="R49" s="17" t="n">
        <f aca="false">IF($A49&gt;=Annahmen!$C$82,Annahmen!$C$95,0)</f>
        <v>0</v>
      </c>
      <c r="S49" s="23" t="n">
        <f aca="false">R49*Annahmen!$B$106</f>
        <v>0</v>
      </c>
      <c r="T49" s="23" t="n">
        <f aca="false">E49+G49+I49+K49+M49+O49+Q49+S49</f>
        <v>0</v>
      </c>
      <c r="U49" s="23" t="n">
        <f aca="false">C49*Annahmen!$B$51+F49*Annahmen!$C$87*Annahmen!$B$47+H49*(Annahmen!$B$45+Annahmen!$C$89*(Annahmen!$B$47-Annahmen!$B$45))+J49*Annahmen!$B$48+L49*Annahmen!$B$49+(N49+P49)*Annahmen!$B$50</f>
        <v>0</v>
      </c>
      <c r="V49" s="23" t="n">
        <f aca="false">SUMPRODUCT((((Annahmen!$C$145:$C$155="monatlich")*(Annahmen!$D$145:$D$155&lt;=$A49))+((Annahmen!$C$145:$C$155="einmalig")*(Annahmen!$D$145:$D$155=$A49)))*Annahmen!$B$145:$B$155*Annahmen!$F$145:$F$155)</f>
        <v>330.827570803181</v>
      </c>
      <c r="W49" s="23" t="n">
        <f aca="false">Annahmen!$C$135</f>
        <v>150</v>
      </c>
      <c r="X49" s="17" t="n">
        <f aca="false">C49+F49*Annahmen!$C$87+H49+J49+L49/Annahmen!$B$46+(N49+P49)/(Annahmen!$B$23/Annahmen!$B$24)</f>
        <v>0</v>
      </c>
      <c r="Y49" s="35" t="n">
        <f aca="false">MAX(0,(X49-Annahmen!$B$140)/Annahmen!$B$141)</f>
        <v>0</v>
      </c>
      <c r="Z49" s="23" t="n">
        <f aca="false">Y49*Annahmen!$B$137</f>
        <v>0</v>
      </c>
      <c r="AA49" s="23" t="n">
        <f aca="false">T49-U49-V49-W49-Z49</f>
        <v>-480.827570803181</v>
      </c>
      <c r="AB49" s="23" t="n">
        <f aca="false">AB48+AA49</f>
        <v>-1044.88271240954</v>
      </c>
      <c r="AC49" s="7" t="n">
        <f aca="false">IF(AA49&gt;0,1,0)</f>
        <v>0</v>
      </c>
      <c r="AD49" s="7" t="n">
        <f aca="false">IF(AB49&gt;=0,1,0)</f>
        <v>0</v>
      </c>
    </row>
    <row r="50" customFormat="false" ht="15" hidden="false" customHeight="false" outlineLevel="0" collapsed="false">
      <c r="A50" s="7" t="n">
        <v>4</v>
      </c>
      <c r="B50" s="7" t="s">
        <v>353</v>
      </c>
      <c r="C50" s="17" t="n">
        <f aca="false">IF($A50&gt;=Annahmen!$C$82,Annahmen!$C$83,0)</f>
        <v>0.7</v>
      </c>
      <c r="D50" s="17" t="n">
        <f aca="false">C50*Annahmen!$C$84</f>
        <v>0.21</v>
      </c>
      <c r="E50" s="23" t="n">
        <f aca="false">(C50-D50)*Annahmen!$B$96</f>
        <v>240.1</v>
      </c>
      <c r="F50" s="17" t="n">
        <f aca="false">IF($A50&gt;Annahmen!$B$86,INDEX($C$47:$C$70,$A50-Annahmen!$B$86)*Annahmen!$C$85,0)</f>
        <v>0</v>
      </c>
      <c r="G50" s="23" t="n">
        <f aca="false">F50*(Annahmen!$C$87*(Annahmen!$B$97+Annahmen!$B$98)-Annahmen!$B$96*(1-Annahmen!$C$84))</f>
        <v>0</v>
      </c>
      <c r="H50" s="17" t="n">
        <f aca="false">IF($A50&gt;=Annahmen!$C$82,Annahmen!$C$88,0)</f>
        <v>1</v>
      </c>
      <c r="I50" s="23" t="n">
        <f aca="false">H50*(Annahmen!$B$97+Annahmen!$C$89*Annahmen!$B$98)</f>
        <v>344</v>
      </c>
      <c r="J50" s="17" t="n">
        <f aca="false">IF($A50&gt;=Annahmen!$C$82,Annahmen!$C$90,0)</f>
        <v>0.5</v>
      </c>
      <c r="K50" s="23" t="n">
        <f aca="false">J50*(Annahmen!$B$99+Annahmen!$B$91*Annahmen!$B$102)</f>
        <v>127.258064516129</v>
      </c>
      <c r="L50" s="17" t="n">
        <f aca="false">IF($A50&gt;=Annahmen!$C$82,Annahmen!$C$92,0)</f>
        <v>5</v>
      </c>
      <c r="M50" s="23" t="n">
        <f aca="false">L50*Annahmen!$B$103</f>
        <v>445</v>
      </c>
      <c r="N50" s="15" t="n">
        <f aca="false">IF($A50&gt;=Annahmen!$C$82,Annahmen!$C$93,0)</f>
        <v>50</v>
      </c>
      <c r="O50" s="23" t="n">
        <f aca="false">N50*Annahmen!$B$104</f>
        <v>300</v>
      </c>
      <c r="P50" s="15" t="n">
        <f aca="false">IF($A50&gt;=Annahmen!$C$82,Annahmen!$C$94,0)</f>
        <v>0</v>
      </c>
      <c r="Q50" s="23" t="n">
        <f aca="false">P50*Annahmen!$B$105</f>
        <v>0</v>
      </c>
      <c r="R50" s="17" t="n">
        <f aca="false">IF($A50&gt;=Annahmen!$C$82,Annahmen!$C$95,0)</f>
        <v>1</v>
      </c>
      <c r="S50" s="23" t="n">
        <f aca="false">R50*Annahmen!$B$106</f>
        <v>49</v>
      </c>
      <c r="T50" s="23" t="n">
        <f aca="false">E50+G50+I50+K50+M50+O50+Q50+S50</f>
        <v>1505.35806451613</v>
      </c>
      <c r="U50" s="23" t="n">
        <f aca="false">C50*Annahmen!$B$51+F50*Annahmen!$C$87*Annahmen!$B$47+H50*(Annahmen!$B$45+Annahmen!$C$89*(Annahmen!$B$47-Annahmen!$B$45))+J50*Annahmen!$B$48+L50*Annahmen!$B$49+(N50+P50)*Annahmen!$B$50</f>
        <v>25.4558448754047</v>
      </c>
      <c r="V50" s="23" t="n">
        <f aca="false">SUMPRODUCT((((Annahmen!$C$145:$C$155="monatlich")*(Annahmen!$D$145:$D$155&lt;=$A50))+((Annahmen!$C$145:$C$155="einmalig")*(Annahmen!$D$145:$D$155=$A50)))*Annahmen!$B$145:$B$155*Annahmen!$F$145:$F$155)</f>
        <v>50.8275708031806</v>
      </c>
      <c r="W50" s="23" t="n">
        <f aca="false">Annahmen!$C$135</f>
        <v>150</v>
      </c>
      <c r="X50" s="17" t="n">
        <f aca="false">C50+F50*Annahmen!$C$87+H50+J50+L50/Annahmen!$B$46+(N50+P50)/(Annahmen!$B$23/Annahmen!$B$24)</f>
        <v>2.9375</v>
      </c>
      <c r="Y50" s="35" t="n">
        <f aca="false">MAX(0,(X50-Annahmen!$B$140)/Annahmen!$B$141)</f>
        <v>0</v>
      </c>
      <c r="Z50" s="23" t="n">
        <f aca="false">Y50*Annahmen!$B$137</f>
        <v>0</v>
      </c>
      <c r="AA50" s="23" t="n">
        <f aca="false">T50-U50-V50-W50-Z50</f>
        <v>1279.07464883754</v>
      </c>
      <c r="AB50" s="23" t="n">
        <f aca="false">AB49+AA50</f>
        <v>234.191936428002</v>
      </c>
      <c r="AC50" s="7" t="n">
        <f aca="false">IF(AA50&gt;0,1,0)</f>
        <v>1</v>
      </c>
      <c r="AD50" s="7" t="n">
        <f aca="false">IF(AB50&gt;=0,1,0)</f>
        <v>1</v>
      </c>
    </row>
    <row r="51" customFormat="false" ht="15" hidden="false" customHeight="false" outlineLevel="0" collapsed="false">
      <c r="A51" s="7" t="n">
        <v>5</v>
      </c>
      <c r="B51" s="7" t="s">
        <v>354</v>
      </c>
      <c r="C51" s="17" t="n">
        <f aca="false">IF($A51&gt;=Annahmen!$C$82,Annahmen!$C$83,0)</f>
        <v>0.7</v>
      </c>
      <c r="D51" s="17" t="n">
        <f aca="false">C51*Annahmen!$C$84</f>
        <v>0.21</v>
      </c>
      <c r="E51" s="23" t="n">
        <f aca="false">(C51-D51)*Annahmen!$B$96</f>
        <v>240.1</v>
      </c>
      <c r="F51" s="17" t="n">
        <f aca="false">IF($A51&gt;Annahmen!$B$86,INDEX($C$47:$C$70,$A51-Annahmen!$B$86)*Annahmen!$C$85,0)</f>
        <v>0</v>
      </c>
      <c r="G51" s="23" t="n">
        <f aca="false">F51*(Annahmen!$C$87*(Annahmen!$B$97+Annahmen!$B$98)-Annahmen!$B$96*(1-Annahmen!$C$84))</f>
        <v>0</v>
      </c>
      <c r="H51" s="17" t="n">
        <f aca="false">IF($A51&gt;=Annahmen!$C$82,Annahmen!$C$88,0)</f>
        <v>1</v>
      </c>
      <c r="I51" s="23" t="n">
        <f aca="false">H51*(Annahmen!$B$97+Annahmen!$C$89*Annahmen!$B$98)</f>
        <v>344</v>
      </c>
      <c r="J51" s="17" t="n">
        <f aca="false">IF($A51&gt;=Annahmen!$C$82,Annahmen!$C$90,0)</f>
        <v>0.5</v>
      </c>
      <c r="K51" s="23" t="n">
        <f aca="false">J51*(Annahmen!$B$99+Annahmen!$B$91*Annahmen!$B$102)</f>
        <v>127.258064516129</v>
      </c>
      <c r="L51" s="17" t="n">
        <f aca="false">IF($A51&gt;=Annahmen!$C$82,Annahmen!$C$92,0)</f>
        <v>5</v>
      </c>
      <c r="M51" s="23" t="n">
        <f aca="false">L51*Annahmen!$B$103</f>
        <v>445</v>
      </c>
      <c r="N51" s="15" t="n">
        <f aca="false">IF($A51&gt;=Annahmen!$C$82,Annahmen!$C$93,0)</f>
        <v>50</v>
      </c>
      <c r="O51" s="23" t="n">
        <f aca="false">N51*Annahmen!$B$104</f>
        <v>300</v>
      </c>
      <c r="P51" s="15" t="n">
        <f aca="false">IF($A51&gt;=Annahmen!$C$82,Annahmen!$C$94,0)</f>
        <v>0</v>
      </c>
      <c r="Q51" s="23" t="n">
        <f aca="false">P51*Annahmen!$B$105</f>
        <v>0</v>
      </c>
      <c r="R51" s="17" t="n">
        <f aca="false">IF($A51&gt;=Annahmen!$C$82,Annahmen!$C$95,0)</f>
        <v>1</v>
      </c>
      <c r="S51" s="23" t="n">
        <f aca="false">R51*Annahmen!$B$106</f>
        <v>49</v>
      </c>
      <c r="T51" s="23" t="n">
        <f aca="false">E51+G51+I51+K51+M51+O51+Q51+S51</f>
        <v>1505.35806451613</v>
      </c>
      <c r="U51" s="23" t="n">
        <f aca="false">C51*Annahmen!$B$51+F51*Annahmen!$C$87*Annahmen!$B$47+H51*(Annahmen!$B$45+Annahmen!$C$89*(Annahmen!$B$47-Annahmen!$B$45))+J51*Annahmen!$B$48+L51*Annahmen!$B$49+(N51+P51)*Annahmen!$B$50</f>
        <v>25.4558448754047</v>
      </c>
      <c r="V51" s="23" t="n">
        <f aca="false">SUMPRODUCT((((Annahmen!$C$145:$C$155="monatlich")*(Annahmen!$D$145:$D$155&lt;=$A51))+((Annahmen!$C$145:$C$155="einmalig")*(Annahmen!$D$145:$D$155=$A51)))*Annahmen!$B$145:$B$155*Annahmen!$F$145:$F$155)</f>
        <v>610.827570803181</v>
      </c>
      <c r="W51" s="23" t="n">
        <f aca="false">Annahmen!$C$135</f>
        <v>150</v>
      </c>
      <c r="X51" s="17" t="n">
        <f aca="false">C51+F51*Annahmen!$C$87+H51+J51+L51/Annahmen!$B$46+(N51+P51)/(Annahmen!$B$23/Annahmen!$B$24)</f>
        <v>2.9375</v>
      </c>
      <c r="Y51" s="35" t="n">
        <f aca="false">MAX(0,(X51-Annahmen!$B$140)/Annahmen!$B$141)</f>
        <v>0</v>
      </c>
      <c r="Z51" s="23" t="n">
        <f aca="false">Y51*Annahmen!$B$137</f>
        <v>0</v>
      </c>
      <c r="AA51" s="23" t="n">
        <f aca="false">T51-U51-V51-W51-Z51</f>
        <v>719.074648837544</v>
      </c>
      <c r="AB51" s="23" t="n">
        <f aca="false">AB50+AA51</f>
        <v>953.266585265546</v>
      </c>
      <c r="AC51" s="7" t="n">
        <f aca="false">IF(AA51&gt;0,1,0)</f>
        <v>1</v>
      </c>
      <c r="AD51" s="7" t="n">
        <f aca="false">IF(AB51&gt;=0,1,0)</f>
        <v>1</v>
      </c>
    </row>
    <row r="52" customFormat="false" ht="15" hidden="false" customHeight="false" outlineLevel="0" collapsed="false">
      <c r="A52" s="7" t="n">
        <v>6</v>
      </c>
      <c r="B52" s="7" t="s">
        <v>355</v>
      </c>
      <c r="C52" s="17" t="n">
        <f aca="false">IF($A52&gt;=Annahmen!$C$82,Annahmen!$C$83,0)</f>
        <v>0.7</v>
      </c>
      <c r="D52" s="17" t="n">
        <f aca="false">C52*Annahmen!$C$84</f>
        <v>0.21</v>
      </c>
      <c r="E52" s="23" t="n">
        <f aca="false">(C52-D52)*Annahmen!$B$96</f>
        <v>240.1</v>
      </c>
      <c r="F52" s="17" t="n">
        <f aca="false">IF($A52&gt;Annahmen!$B$86,INDEX($C$47:$C$70,$A52-Annahmen!$B$86)*Annahmen!$C$85,0)</f>
        <v>0</v>
      </c>
      <c r="G52" s="23" t="n">
        <f aca="false">F52*(Annahmen!$C$87*(Annahmen!$B$97+Annahmen!$B$98)-Annahmen!$B$96*(1-Annahmen!$C$84))</f>
        <v>0</v>
      </c>
      <c r="H52" s="17" t="n">
        <f aca="false">IF($A52&gt;=Annahmen!$C$82,Annahmen!$C$88,0)</f>
        <v>1</v>
      </c>
      <c r="I52" s="23" t="n">
        <f aca="false">H52*(Annahmen!$B$97+Annahmen!$C$89*Annahmen!$B$98)</f>
        <v>344</v>
      </c>
      <c r="J52" s="17" t="n">
        <f aca="false">IF($A52&gt;=Annahmen!$C$82,Annahmen!$C$90,0)</f>
        <v>0.5</v>
      </c>
      <c r="K52" s="23" t="n">
        <f aca="false">J52*(Annahmen!$B$99+Annahmen!$B$91*Annahmen!$B$102)</f>
        <v>127.258064516129</v>
      </c>
      <c r="L52" s="17" t="n">
        <f aca="false">IF($A52&gt;=Annahmen!$C$82,Annahmen!$C$92,0)</f>
        <v>5</v>
      </c>
      <c r="M52" s="23" t="n">
        <f aca="false">L52*Annahmen!$B$103</f>
        <v>445</v>
      </c>
      <c r="N52" s="15" t="n">
        <f aca="false">IF($A52&gt;=Annahmen!$C$82,Annahmen!$C$93,0)</f>
        <v>50</v>
      </c>
      <c r="O52" s="23" t="n">
        <f aca="false">N52*Annahmen!$B$104</f>
        <v>300</v>
      </c>
      <c r="P52" s="15" t="n">
        <f aca="false">IF($A52&gt;=Annahmen!$C$82,Annahmen!$C$94,0)</f>
        <v>0</v>
      </c>
      <c r="Q52" s="23" t="n">
        <f aca="false">P52*Annahmen!$B$105</f>
        <v>0</v>
      </c>
      <c r="R52" s="17" t="n">
        <f aca="false">IF($A52&gt;=Annahmen!$C$82,Annahmen!$C$95,0)</f>
        <v>1</v>
      </c>
      <c r="S52" s="23" t="n">
        <f aca="false">R52*Annahmen!$B$106</f>
        <v>49</v>
      </c>
      <c r="T52" s="23" t="n">
        <f aca="false">E52+G52+I52+K52+M52+O52+Q52+S52</f>
        <v>1505.35806451613</v>
      </c>
      <c r="U52" s="23" t="n">
        <f aca="false">C52*Annahmen!$B$51+F52*Annahmen!$C$87*Annahmen!$B$47+H52*(Annahmen!$B$45+Annahmen!$C$89*(Annahmen!$B$47-Annahmen!$B$45))+J52*Annahmen!$B$48+L52*Annahmen!$B$49+(N52+P52)*Annahmen!$B$50</f>
        <v>25.4558448754047</v>
      </c>
      <c r="V52" s="23" t="n">
        <f aca="false">SUMPRODUCT((((Annahmen!$C$145:$C$155="monatlich")*(Annahmen!$D$145:$D$155&lt;=$A52))+((Annahmen!$C$145:$C$155="einmalig")*(Annahmen!$D$145:$D$155=$A52)))*Annahmen!$B$145:$B$155*Annahmen!$F$145:$F$155)</f>
        <v>50.8275708031806</v>
      </c>
      <c r="W52" s="23" t="n">
        <f aca="false">Annahmen!$C$135</f>
        <v>150</v>
      </c>
      <c r="X52" s="17" t="n">
        <f aca="false">C52+F52*Annahmen!$C$87+H52+J52+L52/Annahmen!$B$46+(N52+P52)/(Annahmen!$B$23/Annahmen!$B$24)</f>
        <v>2.9375</v>
      </c>
      <c r="Y52" s="35" t="n">
        <f aca="false">MAX(0,(X52-Annahmen!$B$140)/Annahmen!$B$141)</f>
        <v>0</v>
      </c>
      <c r="Z52" s="23" t="n">
        <f aca="false">Y52*Annahmen!$B$137</f>
        <v>0</v>
      </c>
      <c r="AA52" s="23" t="n">
        <f aca="false">T52-U52-V52-W52-Z52</f>
        <v>1279.07464883754</v>
      </c>
      <c r="AB52" s="23" t="n">
        <f aca="false">AB51+AA52</f>
        <v>2232.34123410309</v>
      </c>
      <c r="AC52" s="7" t="n">
        <f aca="false">IF(AA52&gt;0,1,0)</f>
        <v>1</v>
      </c>
      <c r="AD52" s="7" t="n">
        <f aca="false">IF(AB52&gt;=0,1,0)</f>
        <v>1</v>
      </c>
    </row>
    <row r="53" customFormat="false" ht="15" hidden="false" customHeight="false" outlineLevel="0" collapsed="false">
      <c r="A53" s="7" t="n">
        <v>7</v>
      </c>
      <c r="B53" s="7" t="s">
        <v>356</v>
      </c>
      <c r="C53" s="17" t="n">
        <f aca="false">IF($A53&gt;=Annahmen!$C$82,Annahmen!$C$83,0)</f>
        <v>0.7</v>
      </c>
      <c r="D53" s="17" t="n">
        <f aca="false">C53*Annahmen!$C$84</f>
        <v>0.21</v>
      </c>
      <c r="E53" s="23" t="n">
        <f aca="false">(C53-D53)*Annahmen!$B$96</f>
        <v>240.1</v>
      </c>
      <c r="F53" s="17" t="n">
        <f aca="false">IF($A53&gt;Annahmen!$B$86,INDEX($C$47:$C$70,$A53-Annahmen!$B$86)*Annahmen!$C$85,0)</f>
        <v>0.28</v>
      </c>
      <c r="G53" s="23" t="n">
        <f aca="false">F53*(Annahmen!$C$87*(Annahmen!$B$97+Annahmen!$B$98)-Annahmen!$B$96*(1-Annahmen!$C$84))</f>
        <v>658.56</v>
      </c>
      <c r="H53" s="17" t="n">
        <f aca="false">IF($A53&gt;=Annahmen!$C$82,Annahmen!$C$88,0)</f>
        <v>1</v>
      </c>
      <c r="I53" s="23" t="n">
        <f aca="false">H53*(Annahmen!$B$97+Annahmen!$C$89*Annahmen!$B$98)</f>
        <v>344</v>
      </c>
      <c r="J53" s="17" t="n">
        <f aca="false">IF($A53&gt;=Annahmen!$C$82,Annahmen!$C$90,0)</f>
        <v>0.5</v>
      </c>
      <c r="K53" s="23" t="n">
        <f aca="false">J53*(Annahmen!$B$99+Annahmen!$B$91*Annahmen!$B$102)</f>
        <v>127.258064516129</v>
      </c>
      <c r="L53" s="17" t="n">
        <f aca="false">IF($A53&gt;=Annahmen!$C$82,Annahmen!$C$92,0)</f>
        <v>5</v>
      </c>
      <c r="M53" s="23" t="n">
        <f aca="false">L53*Annahmen!$B$103</f>
        <v>445</v>
      </c>
      <c r="N53" s="15" t="n">
        <f aca="false">IF($A53&gt;=Annahmen!$C$82,Annahmen!$C$93,0)</f>
        <v>50</v>
      </c>
      <c r="O53" s="23" t="n">
        <f aca="false">N53*Annahmen!$B$104</f>
        <v>300</v>
      </c>
      <c r="P53" s="15" t="n">
        <f aca="false">IF($A53&gt;=Annahmen!$C$82,Annahmen!$C$94,0)</f>
        <v>0</v>
      </c>
      <c r="Q53" s="23" t="n">
        <f aca="false">P53*Annahmen!$B$105</f>
        <v>0</v>
      </c>
      <c r="R53" s="17" t="n">
        <f aca="false">IF($A53&gt;=Annahmen!$C$82,Annahmen!$C$95,0)</f>
        <v>1</v>
      </c>
      <c r="S53" s="23" t="n">
        <f aca="false">R53*Annahmen!$B$106</f>
        <v>49</v>
      </c>
      <c r="T53" s="23" t="n">
        <f aca="false">E53+G53+I53+K53+M53+O53+Q53+S53</f>
        <v>2163.91806451613</v>
      </c>
      <c r="U53" s="23" t="n">
        <f aca="false">C53*Annahmen!$B$51+F53*Annahmen!$C$87*Annahmen!$B$47+H53*(Annahmen!$B$45+Annahmen!$C$89*(Annahmen!$B$47-Annahmen!$B$45))+J53*Annahmen!$B$48+L53*Annahmen!$B$49+(N53+P53)*Annahmen!$B$50</f>
        <v>37.5962854553319</v>
      </c>
      <c r="V53" s="23" t="n">
        <f aca="false">SUMPRODUCT((((Annahmen!$C$145:$C$155="monatlich")*(Annahmen!$D$145:$D$155&lt;=$A53))+((Annahmen!$C$145:$C$155="einmalig")*(Annahmen!$D$145:$D$155=$A53)))*Annahmen!$B$145:$B$155*Annahmen!$F$145:$F$155)</f>
        <v>50.8275708031806</v>
      </c>
      <c r="W53" s="23" t="n">
        <f aca="false">Annahmen!$C$135</f>
        <v>150</v>
      </c>
      <c r="X53" s="17" t="n">
        <f aca="false">C53+F53*Annahmen!$C$87+H53+J53+L53/Annahmen!$B$46+(N53+P53)/(Annahmen!$B$23/Annahmen!$B$24)</f>
        <v>4.3375</v>
      </c>
      <c r="Y53" s="35" t="n">
        <f aca="false">MAX(0,(X53-Annahmen!$B$140)/Annahmen!$B$141)</f>
        <v>0</v>
      </c>
      <c r="Z53" s="23" t="n">
        <f aca="false">Y53*Annahmen!$B$137</f>
        <v>0</v>
      </c>
      <c r="AA53" s="23" t="n">
        <f aca="false">T53-U53-V53-W53-Z53</f>
        <v>1925.49420825762</v>
      </c>
      <c r="AB53" s="23" t="n">
        <f aca="false">AB52+AA53</f>
        <v>4157.83544236071</v>
      </c>
      <c r="AC53" s="7" t="n">
        <f aca="false">IF(AA53&gt;0,1,0)</f>
        <v>1</v>
      </c>
      <c r="AD53" s="7" t="n">
        <f aca="false">IF(AB53&gt;=0,1,0)</f>
        <v>1</v>
      </c>
    </row>
    <row r="54" customFormat="false" ht="15" hidden="false" customHeight="false" outlineLevel="0" collapsed="false">
      <c r="A54" s="7" t="n">
        <v>8</v>
      </c>
      <c r="B54" s="7" t="s">
        <v>357</v>
      </c>
      <c r="C54" s="17" t="n">
        <f aca="false">IF($A54&gt;=Annahmen!$C$82,Annahmen!$C$83,0)</f>
        <v>0.7</v>
      </c>
      <c r="D54" s="17" t="n">
        <f aca="false">C54*Annahmen!$C$84</f>
        <v>0.21</v>
      </c>
      <c r="E54" s="23" t="n">
        <f aca="false">(C54-D54)*Annahmen!$B$96</f>
        <v>240.1</v>
      </c>
      <c r="F54" s="17" t="n">
        <f aca="false">IF($A54&gt;Annahmen!$B$86,INDEX($C$47:$C$70,$A54-Annahmen!$B$86)*Annahmen!$C$85,0)</f>
        <v>0.28</v>
      </c>
      <c r="G54" s="23" t="n">
        <f aca="false">F54*(Annahmen!$C$87*(Annahmen!$B$97+Annahmen!$B$98)-Annahmen!$B$96*(1-Annahmen!$C$84))</f>
        <v>658.56</v>
      </c>
      <c r="H54" s="17" t="n">
        <f aca="false">IF($A54&gt;=Annahmen!$C$82,Annahmen!$C$88,0)</f>
        <v>1</v>
      </c>
      <c r="I54" s="23" t="n">
        <f aca="false">H54*(Annahmen!$B$97+Annahmen!$C$89*Annahmen!$B$98)</f>
        <v>344</v>
      </c>
      <c r="J54" s="17" t="n">
        <f aca="false">IF($A54&gt;=Annahmen!$C$82,Annahmen!$C$90,0)</f>
        <v>0.5</v>
      </c>
      <c r="K54" s="23" t="n">
        <f aca="false">J54*(Annahmen!$B$99+Annahmen!$B$91*Annahmen!$B$102)</f>
        <v>127.258064516129</v>
      </c>
      <c r="L54" s="17" t="n">
        <f aca="false">IF($A54&gt;=Annahmen!$C$82,Annahmen!$C$92,0)</f>
        <v>5</v>
      </c>
      <c r="M54" s="23" t="n">
        <f aca="false">L54*Annahmen!$B$103</f>
        <v>445</v>
      </c>
      <c r="N54" s="15" t="n">
        <f aca="false">IF($A54&gt;=Annahmen!$C$82,Annahmen!$C$93,0)</f>
        <v>50</v>
      </c>
      <c r="O54" s="23" t="n">
        <f aca="false">N54*Annahmen!$B$104</f>
        <v>300</v>
      </c>
      <c r="P54" s="15" t="n">
        <f aca="false">IF($A54&gt;=Annahmen!$C$82,Annahmen!$C$94,0)</f>
        <v>0</v>
      </c>
      <c r="Q54" s="23" t="n">
        <f aca="false">P54*Annahmen!$B$105</f>
        <v>0</v>
      </c>
      <c r="R54" s="17" t="n">
        <f aca="false">IF($A54&gt;=Annahmen!$C$82,Annahmen!$C$95,0)</f>
        <v>1</v>
      </c>
      <c r="S54" s="23" t="n">
        <f aca="false">R54*Annahmen!$B$106</f>
        <v>49</v>
      </c>
      <c r="T54" s="23" t="n">
        <f aca="false">E54+G54+I54+K54+M54+O54+Q54+S54</f>
        <v>2163.91806451613</v>
      </c>
      <c r="U54" s="23" t="n">
        <f aca="false">C54*Annahmen!$B$51+F54*Annahmen!$C$87*Annahmen!$B$47+H54*(Annahmen!$B$45+Annahmen!$C$89*(Annahmen!$B$47-Annahmen!$B$45))+J54*Annahmen!$B$48+L54*Annahmen!$B$49+(N54+P54)*Annahmen!$B$50</f>
        <v>37.5962854553319</v>
      </c>
      <c r="V54" s="23" t="n">
        <f aca="false">SUMPRODUCT((((Annahmen!$C$145:$C$155="monatlich")*(Annahmen!$D$145:$D$155&lt;=$A54))+((Annahmen!$C$145:$C$155="einmalig")*(Annahmen!$D$145:$D$155=$A54)))*Annahmen!$B$145:$B$155*Annahmen!$F$145:$F$155)</f>
        <v>50.8275708031806</v>
      </c>
      <c r="W54" s="23" t="n">
        <f aca="false">Annahmen!$C$135</f>
        <v>150</v>
      </c>
      <c r="X54" s="17" t="n">
        <f aca="false">C54+F54*Annahmen!$C$87+H54+J54+L54/Annahmen!$B$46+(N54+P54)/(Annahmen!$B$23/Annahmen!$B$24)</f>
        <v>4.3375</v>
      </c>
      <c r="Y54" s="35" t="n">
        <f aca="false">MAX(0,(X54-Annahmen!$B$140)/Annahmen!$B$141)</f>
        <v>0</v>
      </c>
      <c r="Z54" s="23" t="n">
        <f aca="false">Y54*Annahmen!$B$137</f>
        <v>0</v>
      </c>
      <c r="AA54" s="23" t="n">
        <f aca="false">T54-U54-V54-W54-Z54</f>
        <v>1925.49420825762</v>
      </c>
      <c r="AB54" s="23" t="n">
        <f aca="false">AB53+AA54</f>
        <v>6083.32965061832</v>
      </c>
      <c r="AC54" s="7" t="n">
        <f aca="false">IF(AA54&gt;0,1,0)</f>
        <v>1</v>
      </c>
      <c r="AD54" s="7" t="n">
        <f aca="false">IF(AB54&gt;=0,1,0)</f>
        <v>1</v>
      </c>
    </row>
    <row r="55" customFormat="false" ht="15" hidden="false" customHeight="false" outlineLevel="0" collapsed="false">
      <c r="A55" s="7" t="n">
        <v>9</v>
      </c>
      <c r="B55" s="7" t="s">
        <v>358</v>
      </c>
      <c r="C55" s="17" t="n">
        <f aca="false">IF($A55&gt;=Annahmen!$C$82,Annahmen!$C$83,0)</f>
        <v>0.7</v>
      </c>
      <c r="D55" s="17" t="n">
        <f aca="false">C55*Annahmen!$C$84</f>
        <v>0.21</v>
      </c>
      <c r="E55" s="23" t="n">
        <f aca="false">(C55-D55)*Annahmen!$B$96</f>
        <v>240.1</v>
      </c>
      <c r="F55" s="17" t="n">
        <f aca="false">IF($A55&gt;Annahmen!$B$86,INDEX($C$47:$C$70,$A55-Annahmen!$B$86)*Annahmen!$C$85,0)</f>
        <v>0.28</v>
      </c>
      <c r="G55" s="23" t="n">
        <f aca="false">F55*(Annahmen!$C$87*(Annahmen!$B$97+Annahmen!$B$98)-Annahmen!$B$96*(1-Annahmen!$C$84))</f>
        <v>658.56</v>
      </c>
      <c r="H55" s="17" t="n">
        <f aca="false">IF($A55&gt;=Annahmen!$C$82,Annahmen!$C$88,0)</f>
        <v>1</v>
      </c>
      <c r="I55" s="23" t="n">
        <f aca="false">H55*(Annahmen!$B$97+Annahmen!$C$89*Annahmen!$B$98)</f>
        <v>344</v>
      </c>
      <c r="J55" s="17" t="n">
        <f aca="false">IF($A55&gt;=Annahmen!$C$82,Annahmen!$C$90,0)</f>
        <v>0.5</v>
      </c>
      <c r="K55" s="23" t="n">
        <f aca="false">J55*(Annahmen!$B$99+Annahmen!$B$91*Annahmen!$B$102)</f>
        <v>127.258064516129</v>
      </c>
      <c r="L55" s="17" t="n">
        <f aca="false">IF($A55&gt;=Annahmen!$C$82,Annahmen!$C$92,0)</f>
        <v>5</v>
      </c>
      <c r="M55" s="23" t="n">
        <f aca="false">L55*Annahmen!$B$103</f>
        <v>445</v>
      </c>
      <c r="N55" s="15" t="n">
        <f aca="false">IF($A55&gt;=Annahmen!$C$82,Annahmen!$C$93,0)</f>
        <v>50</v>
      </c>
      <c r="O55" s="23" t="n">
        <f aca="false">N55*Annahmen!$B$104</f>
        <v>300</v>
      </c>
      <c r="P55" s="15" t="n">
        <f aca="false">IF($A55&gt;=Annahmen!$C$82,Annahmen!$C$94,0)</f>
        <v>0</v>
      </c>
      <c r="Q55" s="23" t="n">
        <f aca="false">P55*Annahmen!$B$105</f>
        <v>0</v>
      </c>
      <c r="R55" s="17" t="n">
        <f aca="false">IF($A55&gt;=Annahmen!$C$82,Annahmen!$C$95,0)</f>
        <v>1</v>
      </c>
      <c r="S55" s="23" t="n">
        <f aca="false">R55*Annahmen!$B$106</f>
        <v>49</v>
      </c>
      <c r="T55" s="23" t="n">
        <f aca="false">E55+G55+I55+K55+M55+O55+Q55+S55</f>
        <v>2163.91806451613</v>
      </c>
      <c r="U55" s="23" t="n">
        <f aca="false">C55*Annahmen!$B$51+F55*Annahmen!$C$87*Annahmen!$B$47+H55*(Annahmen!$B$45+Annahmen!$C$89*(Annahmen!$B$47-Annahmen!$B$45))+J55*Annahmen!$B$48+L55*Annahmen!$B$49+(N55+P55)*Annahmen!$B$50</f>
        <v>37.5962854553319</v>
      </c>
      <c r="V55" s="23" t="n">
        <f aca="false">SUMPRODUCT((((Annahmen!$C$145:$C$155="monatlich")*(Annahmen!$D$145:$D$155&lt;=$A55))+((Annahmen!$C$145:$C$155="einmalig")*(Annahmen!$D$145:$D$155=$A55)))*Annahmen!$B$145:$B$155*Annahmen!$F$145:$F$155)</f>
        <v>50.8275708031806</v>
      </c>
      <c r="W55" s="23" t="n">
        <f aca="false">Annahmen!$C$135</f>
        <v>150</v>
      </c>
      <c r="X55" s="17" t="n">
        <f aca="false">C55+F55*Annahmen!$C$87+H55+J55+L55/Annahmen!$B$46+(N55+P55)/(Annahmen!$B$23/Annahmen!$B$24)</f>
        <v>4.3375</v>
      </c>
      <c r="Y55" s="35" t="n">
        <f aca="false">MAX(0,(X55-Annahmen!$B$140)/Annahmen!$B$141)</f>
        <v>0</v>
      </c>
      <c r="Z55" s="23" t="n">
        <f aca="false">Y55*Annahmen!$B$137</f>
        <v>0</v>
      </c>
      <c r="AA55" s="23" t="n">
        <f aca="false">T55-U55-V55-W55-Z55</f>
        <v>1925.49420825762</v>
      </c>
      <c r="AB55" s="23" t="n">
        <f aca="false">AB54+AA55</f>
        <v>8008.82385887594</v>
      </c>
      <c r="AC55" s="7" t="n">
        <f aca="false">IF(AA55&gt;0,1,0)</f>
        <v>1</v>
      </c>
      <c r="AD55" s="7" t="n">
        <f aca="false">IF(AB55&gt;=0,1,0)</f>
        <v>1</v>
      </c>
    </row>
    <row r="56" customFormat="false" ht="15" hidden="false" customHeight="false" outlineLevel="0" collapsed="false">
      <c r="A56" s="7" t="n">
        <v>10</v>
      </c>
      <c r="B56" s="7" t="s">
        <v>359</v>
      </c>
      <c r="C56" s="17" t="n">
        <f aca="false">IF($A56&gt;=Annahmen!$C$82,Annahmen!$C$83,0)</f>
        <v>0.7</v>
      </c>
      <c r="D56" s="17" t="n">
        <f aca="false">C56*Annahmen!$C$84</f>
        <v>0.21</v>
      </c>
      <c r="E56" s="23" t="n">
        <f aca="false">(C56-D56)*Annahmen!$B$96</f>
        <v>240.1</v>
      </c>
      <c r="F56" s="17" t="n">
        <f aca="false">IF($A56&gt;Annahmen!$B$86,INDEX($C$47:$C$70,$A56-Annahmen!$B$86)*Annahmen!$C$85,0)</f>
        <v>0.28</v>
      </c>
      <c r="G56" s="23" t="n">
        <f aca="false">F56*(Annahmen!$C$87*(Annahmen!$B$97+Annahmen!$B$98)-Annahmen!$B$96*(1-Annahmen!$C$84))</f>
        <v>658.56</v>
      </c>
      <c r="H56" s="17" t="n">
        <f aca="false">IF($A56&gt;=Annahmen!$C$82,Annahmen!$C$88,0)</f>
        <v>1</v>
      </c>
      <c r="I56" s="23" t="n">
        <f aca="false">H56*(Annahmen!$B$97+Annahmen!$C$89*Annahmen!$B$98)</f>
        <v>344</v>
      </c>
      <c r="J56" s="17" t="n">
        <f aca="false">IF($A56&gt;=Annahmen!$C$82,Annahmen!$C$90,0)</f>
        <v>0.5</v>
      </c>
      <c r="K56" s="23" t="n">
        <f aca="false">J56*(Annahmen!$B$99+Annahmen!$B$91*Annahmen!$B$102)</f>
        <v>127.258064516129</v>
      </c>
      <c r="L56" s="17" t="n">
        <f aca="false">IF($A56&gt;=Annahmen!$C$82,Annahmen!$C$92,0)</f>
        <v>5</v>
      </c>
      <c r="M56" s="23" t="n">
        <f aca="false">L56*Annahmen!$B$103</f>
        <v>445</v>
      </c>
      <c r="N56" s="15" t="n">
        <f aca="false">IF($A56&gt;=Annahmen!$C$82,Annahmen!$C$93,0)</f>
        <v>50</v>
      </c>
      <c r="O56" s="23" t="n">
        <f aca="false">N56*Annahmen!$B$104</f>
        <v>300</v>
      </c>
      <c r="P56" s="15" t="n">
        <f aca="false">IF($A56&gt;=Annahmen!$C$82,Annahmen!$C$94,0)</f>
        <v>0</v>
      </c>
      <c r="Q56" s="23" t="n">
        <f aca="false">P56*Annahmen!$B$105</f>
        <v>0</v>
      </c>
      <c r="R56" s="17" t="n">
        <f aca="false">IF($A56&gt;=Annahmen!$C$82,Annahmen!$C$95,0)</f>
        <v>1</v>
      </c>
      <c r="S56" s="23" t="n">
        <f aca="false">R56*Annahmen!$B$106</f>
        <v>49</v>
      </c>
      <c r="T56" s="23" t="n">
        <f aca="false">E56+G56+I56+K56+M56+O56+Q56+S56</f>
        <v>2163.91806451613</v>
      </c>
      <c r="U56" s="23" t="n">
        <f aca="false">C56*Annahmen!$B$51+F56*Annahmen!$C$87*Annahmen!$B$47+H56*(Annahmen!$B$45+Annahmen!$C$89*(Annahmen!$B$47-Annahmen!$B$45))+J56*Annahmen!$B$48+L56*Annahmen!$B$49+(N56+P56)*Annahmen!$B$50</f>
        <v>37.5962854553319</v>
      </c>
      <c r="V56" s="23" t="n">
        <f aca="false">SUMPRODUCT((((Annahmen!$C$145:$C$155="monatlich")*(Annahmen!$D$145:$D$155&lt;=$A56))+((Annahmen!$C$145:$C$155="einmalig")*(Annahmen!$D$145:$D$155=$A56)))*Annahmen!$B$145:$B$155*Annahmen!$F$145:$F$155)</f>
        <v>50.8275708031806</v>
      </c>
      <c r="W56" s="23" t="n">
        <f aca="false">Annahmen!$C$135</f>
        <v>150</v>
      </c>
      <c r="X56" s="17" t="n">
        <f aca="false">C56+F56*Annahmen!$C$87+H56+J56+L56/Annahmen!$B$46+(N56+P56)/(Annahmen!$B$23/Annahmen!$B$24)</f>
        <v>4.3375</v>
      </c>
      <c r="Y56" s="35" t="n">
        <f aca="false">MAX(0,(X56-Annahmen!$B$140)/Annahmen!$B$141)</f>
        <v>0</v>
      </c>
      <c r="Z56" s="23" t="n">
        <f aca="false">Y56*Annahmen!$B$137</f>
        <v>0</v>
      </c>
      <c r="AA56" s="23" t="n">
        <f aca="false">T56-U56-V56-W56-Z56</f>
        <v>1925.49420825762</v>
      </c>
      <c r="AB56" s="23" t="n">
        <f aca="false">AB55+AA56</f>
        <v>9934.31806713355</v>
      </c>
      <c r="AC56" s="7" t="n">
        <f aca="false">IF(AA56&gt;0,1,0)</f>
        <v>1</v>
      </c>
      <c r="AD56" s="7" t="n">
        <f aca="false">IF(AB56&gt;=0,1,0)</f>
        <v>1</v>
      </c>
    </row>
    <row r="57" customFormat="false" ht="15" hidden="false" customHeight="false" outlineLevel="0" collapsed="false">
      <c r="A57" s="7" t="n">
        <v>11</v>
      </c>
      <c r="B57" s="7" t="s">
        <v>360</v>
      </c>
      <c r="C57" s="17" t="n">
        <f aca="false">IF($A57&gt;=Annahmen!$C$82,Annahmen!$C$83,0)</f>
        <v>0.7</v>
      </c>
      <c r="D57" s="17" t="n">
        <f aca="false">C57*Annahmen!$C$84</f>
        <v>0.21</v>
      </c>
      <c r="E57" s="23" t="n">
        <f aca="false">(C57-D57)*Annahmen!$B$96</f>
        <v>240.1</v>
      </c>
      <c r="F57" s="17" t="n">
        <f aca="false">IF($A57&gt;Annahmen!$B$86,INDEX($C$47:$C$70,$A57-Annahmen!$B$86)*Annahmen!$C$85,0)</f>
        <v>0.28</v>
      </c>
      <c r="G57" s="23" t="n">
        <f aca="false">F57*(Annahmen!$C$87*(Annahmen!$B$97+Annahmen!$B$98)-Annahmen!$B$96*(1-Annahmen!$C$84))</f>
        <v>658.56</v>
      </c>
      <c r="H57" s="17" t="n">
        <f aca="false">IF($A57&gt;=Annahmen!$C$82,Annahmen!$C$88,0)</f>
        <v>1</v>
      </c>
      <c r="I57" s="23" t="n">
        <f aca="false">H57*(Annahmen!$B$97+Annahmen!$C$89*Annahmen!$B$98)</f>
        <v>344</v>
      </c>
      <c r="J57" s="17" t="n">
        <f aca="false">IF($A57&gt;=Annahmen!$C$82,Annahmen!$C$90,0)</f>
        <v>0.5</v>
      </c>
      <c r="K57" s="23" t="n">
        <f aca="false">J57*(Annahmen!$B$99+Annahmen!$B$91*Annahmen!$B$102)</f>
        <v>127.258064516129</v>
      </c>
      <c r="L57" s="17" t="n">
        <f aca="false">IF($A57&gt;=Annahmen!$C$82,Annahmen!$C$92,0)</f>
        <v>5</v>
      </c>
      <c r="M57" s="23" t="n">
        <f aca="false">L57*Annahmen!$B$103</f>
        <v>445</v>
      </c>
      <c r="N57" s="15" t="n">
        <f aca="false">IF($A57&gt;=Annahmen!$C$82,Annahmen!$C$93,0)</f>
        <v>50</v>
      </c>
      <c r="O57" s="23" t="n">
        <f aca="false">N57*Annahmen!$B$104</f>
        <v>300</v>
      </c>
      <c r="P57" s="15" t="n">
        <f aca="false">IF($A57&gt;=Annahmen!$C$82,Annahmen!$C$94,0)</f>
        <v>0</v>
      </c>
      <c r="Q57" s="23" t="n">
        <f aca="false">P57*Annahmen!$B$105</f>
        <v>0</v>
      </c>
      <c r="R57" s="17" t="n">
        <f aca="false">IF($A57&gt;=Annahmen!$C$82,Annahmen!$C$95,0)</f>
        <v>1</v>
      </c>
      <c r="S57" s="23" t="n">
        <f aca="false">R57*Annahmen!$B$106</f>
        <v>49</v>
      </c>
      <c r="T57" s="23" t="n">
        <f aca="false">E57+G57+I57+K57+M57+O57+Q57+S57</f>
        <v>2163.91806451613</v>
      </c>
      <c r="U57" s="23" t="n">
        <f aca="false">C57*Annahmen!$B$51+F57*Annahmen!$C$87*Annahmen!$B$47+H57*(Annahmen!$B$45+Annahmen!$C$89*(Annahmen!$B$47-Annahmen!$B$45))+J57*Annahmen!$B$48+L57*Annahmen!$B$49+(N57+P57)*Annahmen!$B$50</f>
        <v>37.5962854553319</v>
      </c>
      <c r="V57" s="23" t="n">
        <f aca="false">SUMPRODUCT((((Annahmen!$C$145:$C$155="monatlich")*(Annahmen!$D$145:$D$155&lt;=$A57))+((Annahmen!$C$145:$C$155="einmalig")*(Annahmen!$D$145:$D$155=$A57)))*Annahmen!$B$145:$B$155*Annahmen!$F$145:$F$155)</f>
        <v>50.8275708031806</v>
      </c>
      <c r="W57" s="23" t="n">
        <f aca="false">Annahmen!$C$135</f>
        <v>150</v>
      </c>
      <c r="X57" s="17" t="n">
        <f aca="false">C57+F57*Annahmen!$C$87+H57+J57+L57/Annahmen!$B$46+(N57+P57)/(Annahmen!$B$23/Annahmen!$B$24)</f>
        <v>4.3375</v>
      </c>
      <c r="Y57" s="35" t="n">
        <f aca="false">MAX(0,(X57-Annahmen!$B$140)/Annahmen!$B$141)</f>
        <v>0</v>
      </c>
      <c r="Z57" s="23" t="n">
        <f aca="false">Y57*Annahmen!$B$137</f>
        <v>0</v>
      </c>
      <c r="AA57" s="23" t="n">
        <f aca="false">T57-U57-V57-W57-Z57</f>
        <v>1925.49420825762</v>
      </c>
      <c r="AB57" s="23" t="n">
        <f aca="false">AB56+AA57</f>
        <v>11859.8122753912</v>
      </c>
      <c r="AC57" s="7" t="n">
        <f aca="false">IF(AA57&gt;0,1,0)</f>
        <v>1</v>
      </c>
      <c r="AD57" s="7" t="n">
        <f aca="false">IF(AB57&gt;=0,1,0)</f>
        <v>1</v>
      </c>
    </row>
    <row r="58" customFormat="false" ht="15" hidden="false" customHeight="false" outlineLevel="0" collapsed="false">
      <c r="A58" s="7" t="n">
        <v>12</v>
      </c>
      <c r="B58" s="7" t="s">
        <v>361</v>
      </c>
      <c r="C58" s="17" t="n">
        <f aca="false">IF($A58&gt;=Annahmen!$C$82,Annahmen!$C$83,0)</f>
        <v>0.7</v>
      </c>
      <c r="D58" s="17" t="n">
        <f aca="false">C58*Annahmen!$C$84</f>
        <v>0.21</v>
      </c>
      <c r="E58" s="23" t="n">
        <f aca="false">(C58-D58)*Annahmen!$B$96</f>
        <v>240.1</v>
      </c>
      <c r="F58" s="17" t="n">
        <f aca="false">IF($A58&gt;Annahmen!$B$86,INDEX($C$47:$C$70,$A58-Annahmen!$B$86)*Annahmen!$C$85,0)</f>
        <v>0.28</v>
      </c>
      <c r="G58" s="23" t="n">
        <f aca="false">F58*(Annahmen!$C$87*(Annahmen!$B$97+Annahmen!$B$98)-Annahmen!$B$96*(1-Annahmen!$C$84))</f>
        <v>658.56</v>
      </c>
      <c r="H58" s="17" t="n">
        <f aca="false">IF($A58&gt;=Annahmen!$C$82,Annahmen!$C$88,0)</f>
        <v>1</v>
      </c>
      <c r="I58" s="23" t="n">
        <f aca="false">H58*(Annahmen!$B$97+Annahmen!$C$89*Annahmen!$B$98)</f>
        <v>344</v>
      </c>
      <c r="J58" s="17" t="n">
        <f aca="false">IF($A58&gt;=Annahmen!$C$82,Annahmen!$C$90,0)</f>
        <v>0.5</v>
      </c>
      <c r="K58" s="23" t="n">
        <f aca="false">J58*(Annahmen!$B$99+Annahmen!$B$91*Annahmen!$B$102)</f>
        <v>127.258064516129</v>
      </c>
      <c r="L58" s="17" t="n">
        <f aca="false">IF($A58&gt;=Annahmen!$C$82,Annahmen!$C$92,0)</f>
        <v>5</v>
      </c>
      <c r="M58" s="23" t="n">
        <f aca="false">L58*Annahmen!$B$103</f>
        <v>445</v>
      </c>
      <c r="N58" s="15" t="n">
        <f aca="false">IF($A58&gt;=Annahmen!$C$82,Annahmen!$C$93,0)</f>
        <v>50</v>
      </c>
      <c r="O58" s="23" t="n">
        <f aca="false">N58*Annahmen!$B$104</f>
        <v>300</v>
      </c>
      <c r="P58" s="15" t="n">
        <f aca="false">IF($A58&gt;=Annahmen!$C$82,Annahmen!$C$94,0)</f>
        <v>0</v>
      </c>
      <c r="Q58" s="23" t="n">
        <f aca="false">P58*Annahmen!$B$105</f>
        <v>0</v>
      </c>
      <c r="R58" s="17" t="n">
        <f aca="false">IF($A58&gt;=Annahmen!$C$82,Annahmen!$C$95,0)</f>
        <v>1</v>
      </c>
      <c r="S58" s="23" t="n">
        <f aca="false">R58*Annahmen!$B$106</f>
        <v>49</v>
      </c>
      <c r="T58" s="23" t="n">
        <f aca="false">E58+G58+I58+K58+M58+O58+Q58+S58</f>
        <v>2163.91806451613</v>
      </c>
      <c r="U58" s="23" t="n">
        <f aca="false">C58*Annahmen!$B$51+F58*Annahmen!$C$87*Annahmen!$B$47+H58*(Annahmen!$B$45+Annahmen!$C$89*(Annahmen!$B$47-Annahmen!$B$45))+J58*Annahmen!$B$48+L58*Annahmen!$B$49+(N58+P58)*Annahmen!$B$50</f>
        <v>37.5962854553319</v>
      </c>
      <c r="V58" s="23" t="n">
        <f aca="false">SUMPRODUCT((((Annahmen!$C$145:$C$155="monatlich")*(Annahmen!$D$145:$D$155&lt;=$A58))+((Annahmen!$C$145:$C$155="einmalig")*(Annahmen!$D$145:$D$155=$A58)))*Annahmen!$B$145:$B$155*Annahmen!$F$145:$F$155)</f>
        <v>50.8275708031806</v>
      </c>
      <c r="W58" s="23" t="n">
        <f aca="false">Annahmen!$C$135</f>
        <v>150</v>
      </c>
      <c r="X58" s="17" t="n">
        <f aca="false">C58+F58*Annahmen!$C$87+H58+J58+L58/Annahmen!$B$46+(N58+P58)/(Annahmen!$B$23/Annahmen!$B$24)</f>
        <v>4.3375</v>
      </c>
      <c r="Y58" s="35" t="n">
        <f aca="false">MAX(0,(X58-Annahmen!$B$140)/Annahmen!$B$141)</f>
        <v>0</v>
      </c>
      <c r="Z58" s="23" t="n">
        <f aca="false">Y58*Annahmen!$B$137</f>
        <v>0</v>
      </c>
      <c r="AA58" s="23" t="n">
        <f aca="false">T58-U58-V58-W58-Z58</f>
        <v>1925.49420825762</v>
      </c>
      <c r="AB58" s="23" t="n">
        <f aca="false">AB57+AA58</f>
        <v>13785.3064836488</v>
      </c>
      <c r="AC58" s="7" t="n">
        <f aca="false">IF(AA58&gt;0,1,0)</f>
        <v>1</v>
      </c>
      <c r="AD58" s="7" t="n">
        <f aca="false">IF(AB58&gt;=0,1,0)</f>
        <v>1</v>
      </c>
    </row>
    <row r="59" customFormat="false" ht="15" hidden="false" customHeight="false" outlineLevel="0" collapsed="false">
      <c r="A59" s="7" t="n">
        <v>13</v>
      </c>
      <c r="B59" s="7" t="s">
        <v>362</v>
      </c>
      <c r="C59" s="17" t="n">
        <f aca="false">IF($A59&gt;=Annahmen!$C$82,Annahmen!$C$83,0)</f>
        <v>0.7</v>
      </c>
      <c r="D59" s="17" t="n">
        <f aca="false">C59*Annahmen!$C$84</f>
        <v>0.21</v>
      </c>
      <c r="E59" s="23" t="n">
        <f aca="false">(C59-D59)*Annahmen!$B$96</f>
        <v>240.1</v>
      </c>
      <c r="F59" s="17" t="n">
        <f aca="false">IF($A59&gt;Annahmen!$B$86,INDEX($C$47:$C$70,$A59-Annahmen!$B$86)*Annahmen!$C$85,0)</f>
        <v>0.28</v>
      </c>
      <c r="G59" s="23" t="n">
        <f aca="false">F59*(Annahmen!$C$87*(Annahmen!$B$97+Annahmen!$B$98)-Annahmen!$B$96*(1-Annahmen!$C$84))</f>
        <v>658.56</v>
      </c>
      <c r="H59" s="17" t="n">
        <f aca="false">IF($A59&gt;=Annahmen!$C$82,Annahmen!$C$88,0)</f>
        <v>1</v>
      </c>
      <c r="I59" s="23" t="n">
        <f aca="false">H59*(Annahmen!$B$97+Annahmen!$C$89*Annahmen!$B$98)</f>
        <v>344</v>
      </c>
      <c r="J59" s="17" t="n">
        <f aca="false">IF($A59&gt;=Annahmen!$C$82,Annahmen!$C$90,0)</f>
        <v>0.5</v>
      </c>
      <c r="K59" s="23" t="n">
        <f aca="false">J59*(Annahmen!$B$99+Annahmen!$B$91*Annahmen!$B$102)</f>
        <v>127.258064516129</v>
      </c>
      <c r="L59" s="17" t="n">
        <f aca="false">IF($A59&gt;=Annahmen!$C$82,Annahmen!$C$92,0)</f>
        <v>5</v>
      </c>
      <c r="M59" s="23" t="n">
        <f aca="false">L59*Annahmen!$B$103</f>
        <v>445</v>
      </c>
      <c r="N59" s="15" t="n">
        <f aca="false">IF($A59&gt;=Annahmen!$C$82,Annahmen!$C$93,0)</f>
        <v>50</v>
      </c>
      <c r="O59" s="23" t="n">
        <f aca="false">N59*Annahmen!$B$104</f>
        <v>300</v>
      </c>
      <c r="P59" s="15" t="n">
        <f aca="false">IF($A59&gt;=Annahmen!$C$82,Annahmen!$C$94,0)</f>
        <v>0</v>
      </c>
      <c r="Q59" s="23" t="n">
        <f aca="false">P59*Annahmen!$B$105</f>
        <v>0</v>
      </c>
      <c r="R59" s="17" t="n">
        <f aca="false">IF($A59&gt;=Annahmen!$C$82,Annahmen!$C$95,0)</f>
        <v>1</v>
      </c>
      <c r="S59" s="23" t="n">
        <f aca="false">R59*Annahmen!$B$106</f>
        <v>49</v>
      </c>
      <c r="T59" s="23" t="n">
        <f aca="false">E59+G59+I59+K59+M59+O59+Q59+S59</f>
        <v>2163.91806451613</v>
      </c>
      <c r="U59" s="23" t="n">
        <f aca="false">C59*Annahmen!$B$51+F59*Annahmen!$C$87*Annahmen!$B$47+H59*(Annahmen!$B$45+Annahmen!$C$89*(Annahmen!$B$47-Annahmen!$B$45))+J59*Annahmen!$B$48+L59*Annahmen!$B$49+(N59+P59)*Annahmen!$B$50</f>
        <v>37.5962854553319</v>
      </c>
      <c r="V59" s="23" t="n">
        <f aca="false">SUMPRODUCT((((Annahmen!$C$145:$C$155="monatlich")*(Annahmen!$D$145:$D$155&lt;=$A59))+((Annahmen!$C$145:$C$155="einmalig")*(Annahmen!$D$145:$D$155=$A59)))*Annahmen!$B$145:$B$155*Annahmen!$F$145:$F$155)</f>
        <v>50.8275708031806</v>
      </c>
      <c r="W59" s="23" t="n">
        <f aca="false">Annahmen!$C$135</f>
        <v>150</v>
      </c>
      <c r="X59" s="17" t="n">
        <f aca="false">C59+F59*Annahmen!$C$87+H59+J59+L59/Annahmen!$B$46+(N59+P59)/(Annahmen!$B$23/Annahmen!$B$24)</f>
        <v>4.3375</v>
      </c>
      <c r="Y59" s="35" t="n">
        <f aca="false">MAX(0,(X59-Annahmen!$B$140)/Annahmen!$B$141)</f>
        <v>0</v>
      </c>
      <c r="Z59" s="23" t="n">
        <f aca="false">Y59*Annahmen!$B$137</f>
        <v>0</v>
      </c>
      <c r="AA59" s="23" t="n">
        <f aca="false">T59-U59-V59-W59-Z59</f>
        <v>1925.49420825762</v>
      </c>
      <c r="AB59" s="23" t="n">
        <f aca="false">AB58+AA59</f>
        <v>15710.8006919064</v>
      </c>
      <c r="AC59" s="7" t="n">
        <f aca="false">IF(AA59&gt;0,1,0)</f>
        <v>1</v>
      </c>
      <c r="AD59" s="7" t="n">
        <f aca="false">IF(AB59&gt;=0,1,0)</f>
        <v>1</v>
      </c>
    </row>
    <row r="60" customFormat="false" ht="15" hidden="false" customHeight="false" outlineLevel="0" collapsed="false">
      <c r="A60" s="7" t="n">
        <v>14</v>
      </c>
      <c r="B60" s="7" t="s">
        <v>363</v>
      </c>
      <c r="C60" s="17" t="n">
        <f aca="false">IF($A60&gt;=Annahmen!$C$82,Annahmen!$C$83,0)</f>
        <v>0.7</v>
      </c>
      <c r="D60" s="17" t="n">
        <f aca="false">C60*Annahmen!$C$84</f>
        <v>0.21</v>
      </c>
      <c r="E60" s="23" t="n">
        <f aca="false">(C60-D60)*Annahmen!$B$96</f>
        <v>240.1</v>
      </c>
      <c r="F60" s="17" t="n">
        <f aca="false">IF($A60&gt;Annahmen!$B$86,INDEX($C$47:$C$70,$A60-Annahmen!$B$86)*Annahmen!$C$85,0)</f>
        <v>0.28</v>
      </c>
      <c r="G60" s="23" t="n">
        <f aca="false">F60*(Annahmen!$C$87*(Annahmen!$B$97+Annahmen!$B$98)-Annahmen!$B$96*(1-Annahmen!$C$84))</f>
        <v>658.56</v>
      </c>
      <c r="H60" s="17" t="n">
        <f aca="false">IF($A60&gt;=Annahmen!$C$82,Annahmen!$C$88,0)</f>
        <v>1</v>
      </c>
      <c r="I60" s="23" t="n">
        <f aca="false">H60*(Annahmen!$B$97+Annahmen!$C$89*Annahmen!$B$98)</f>
        <v>344</v>
      </c>
      <c r="J60" s="17" t="n">
        <f aca="false">IF($A60&gt;=Annahmen!$C$82,Annahmen!$C$90,0)</f>
        <v>0.5</v>
      </c>
      <c r="K60" s="23" t="n">
        <f aca="false">J60*(Annahmen!$B$99+Annahmen!$B$91*Annahmen!$B$102)</f>
        <v>127.258064516129</v>
      </c>
      <c r="L60" s="17" t="n">
        <f aca="false">IF($A60&gt;=Annahmen!$C$82,Annahmen!$C$92,0)</f>
        <v>5</v>
      </c>
      <c r="M60" s="23" t="n">
        <f aca="false">L60*Annahmen!$B$103</f>
        <v>445</v>
      </c>
      <c r="N60" s="15" t="n">
        <f aca="false">IF($A60&gt;=Annahmen!$C$82,Annahmen!$C$93,0)</f>
        <v>50</v>
      </c>
      <c r="O60" s="23" t="n">
        <f aca="false">N60*Annahmen!$B$104</f>
        <v>300</v>
      </c>
      <c r="P60" s="15" t="n">
        <f aca="false">IF($A60&gt;=Annahmen!$C$82,Annahmen!$C$94,0)</f>
        <v>0</v>
      </c>
      <c r="Q60" s="23" t="n">
        <f aca="false">P60*Annahmen!$B$105</f>
        <v>0</v>
      </c>
      <c r="R60" s="17" t="n">
        <f aca="false">IF($A60&gt;=Annahmen!$C$82,Annahmen!$C$95,0)</f>
        <v>1</v>
      </c>
      <c r="S60" s="23" t="n">
        <f aca="false">R60*Annahmen!$B$106</f>
        <v>49</v>
      </c>
      <c r="T60" s="23" t="n">
        <f aca="false">E60+G60+I60+K60+M60+O60+Q60+S60</f>
        <v>2163.91806451613</v>
      </c>
      <c r="U60" s="23" t="n">
        <f aca="false">C60*Annahmen!$B$51+F60*Annahmen!$C$87*Annahmen!$B$47+H60*(Annahmen!$B$45+Annahmen!$C$89*(Annahmen!$B$47-Annahmen!$B$45))+J60*Annahmen!$B$48+L60*Annahmen!$B$49+(N60+P60)*Annahmen!$B$50</f>
        <v>37.5962854553319</v>
      </c>
      <c r="V60" s="23" t="n">
        <f aca="false">SUMPRODUCT((((Annahmen!$C$145:$C$155="monatlich")*(Annahmen!$D$145:$D$155&lt;=$A60))+((Annahmen!$C$145:$C$155="einmalig")*(Annahmen!$D$145:$D$155=$A60)))*Annahmen!$B$145:$B$155*Annahmen!$F$145:$F$155)</f>
        <v>50.8275708031806</v>
      </c>
      <c r="W60" s="23" t="n">
        <f aca="false">Annahmen!$C$135</f>
        <v>150</v>
      </c>
      <c r="X60" s="17" t="n">
        <f aca="false">C60+F60*Annahmen!$C$87+H60+J60+L60/Annahmen!$B$46+(N60+P60)/(Annahmen!$B$23/Annahmen!$B$24)</f>
        <v>4.3375</v>
      </c>
      <c r="Y60" s="35" t="n">
        <f aca="false">MAX(0,(X60-Annahmen!$B$140)/Annahmen!$B$141)</f>
        <v>0</v>
      </c>
      <c r="Z60" s="23" t="n">
        <f aca="false">Y60*Annahmen!$B$137</f>
        <v>0</v>
      </c>
      <c r="AA60" s="23" t="n">
        <f aca="false">T60-U60-V60-W60-Z60</f>
        <v>1925.49420825762</v>
      </c>
      <c r="AB60" s="23" t="n">
        <f aca="false">AB59+AA60</f>
        <v>17636.294900164</v>
      </c>
      <c r="AC60" s="7" t="n">
        <f aca="false">IF(AA60&gt;0,1,0)</f>
        <v>1</v>
      </c>
      <c r="AD60" s="7" t="n">
        <f aca="false">IF(AB60&gt;=0,1,0)</f>
        <v>1</v>
      </c>
    </row>
    <row r="61" customFormat="false" ht="15" hidden="false" customHeight="false" outlineLevel="0" collapsed="false">
      <c r="A61" s="7" t="n">
        <v>15</v>
      </c>
      <c r="B61" s="7" t="s">
        <v>364</v>
      </c>
      <c r="C61" s="17" t="n">
        <f aca="false">IF($A61&gt;=Annahmen!$C$82,Annahmen!$C$83,0)</f>
        <v>0.7</v>
      </c>
      <c r="D61" s="17" t="n">
        <f aca="false">C61*Annahmen!$C$84</f>
        <v>0.21</v>
      </c>
      <c r="E61" s="23" t="n">
        <f aca="false">(C61-D61)*Annahmen!$B$96</f>
        <v>240.1</v>
      </c>
      <c r="F61" s="17" t="n">
        <f aca="false">IF($A61&gt;Annahmen!$B$86,INDEX($C$47:$C$70,$A61-Annahmen!$B$86)*Annahmen!$C$85,0)</f>
        <v>0.28</v>
      </c>
      <c r="G61" s="23" t="n">
        <f aca="false">F61*(Annahmen!$C$87*(Annahmen!$B$97+Annahmen!$B$98)-Annahmen!$B$96*(1-Annahmen!$C$84))</f>
        <v>658.56</v>
      </c>
      <c r="H61" s="17" t="n">
        <f aca="false">IF($A61&gt;=Annahmen!$C$82,Annahmen!$C$88,0)</f>
        <v>1</v>
      </c>
      <c r="I61" s="23" t="n">
        <f aca="false">H61*(Annahmen!$B$97+Annahmen!$C$89*Annahmen!$B$98)</f>
        <v>344</v>
      </c>
      <c r="J61" s="17" t="n">
        <f aca="false">IF($A61&gt;=Annahmen!$C$82,Annahmen!$C$90,0)</f>
        <v>0.5</v>
      </c>
      <c r="K61" s="23" t="n">
        <f aca="false">J61*(Annahmen!$B$99+Annahmen!$B$91*Annahmen!$B$102)</f>
        <v>127.258064516129</v>
      </c>
      <c r="L61" s="17" t="n">
        <f aca="false">IF($A61&gt;=Annahmen!$C$82,Annahmen!$C$92,0)</f>
        <v>5</v>
      </c>
      <c r="M61" s="23" t="n">
        <f aca="false">L61*Annahmen!$B$103</f>
        <v>445</v>
      </c>
      <c r="N61" s="15" t="n">
        <f aca="false">IF($A61&gt;=Annahmen!$C$82,Annahmen!$C$93,0)</f>
        <v>50</v>
      </c>
      <c r="O61" s="23" t="n">
        <f aca="false">N61*Annahmen!$B$104</f>
        <v>300</v>
      </c>
      <c r="P61" s="15" t="n">
        <f aca="false">IF($A61&gt;=Annahmen!$C$82,Annahmen!$C$94,0)</f>
        <v>0</v>
      </c>
      <c r="Q61" s="23" t="n">
        <f aca="false">P61*Annahmen!$B$105</f>
        <v>0</v>
      </c>
      <c r="R61" s="17" t="n">
        <f aca="false">IF($A61&gt;=Annahmen!$C$82,Annahmen!$C$95,0)</f>
        <v>1</v>
      </c>
      <c r="S61" s="23" t="n">
        <f aca="false">R61*Annahmen!$B$106</f>
        <v>49</v>
      </c>
      <c r="T61" s="23" t="n">
        <f aca="false">E61+G61+I61+K61+M61+O61+Q61+S61</f>
        <v>2163.91806451613</v>
      </c>
      <c r="U61" s="23" t="n">
        <f aca="false">C61*Annahmen!$B$51+F61*Annahmen!$C$87*Annahmen!$B$47+H61*(Annahmen!$B$45+Annahmen!$C$89*(Annahmen!$B$47-Annahmen!$B$45))+J61*Annahmen!$B$48+L61*Annahmen!$B$49+(N61+P61)*Annahmen!$B$50</f>
        <v>37.5962854553319</v>
      </c>
      <c r="V61" s="23" t="n">
        <f aca="false">SUMPRODUCT((((Annahmen!$C$145:$C$155="monatlich")*(Annahmen!$D$145:$D$155&lt;=$A61))+((Annahmen!$C$145:$C$155="einmalig")*(Annahmen!$D$145:$D$155=$A61)))*Annahmen!$B$145:$B$155*Annahmen!$F$145:$F$155)</f>
        <v>50.8275708031806</v>
      </c>
      <c r="W61" s="23" t="n">
        <f aca="false">Annahmen!$C$135</f>
        <v>150</v>
      </c>
      <c r="X61" s="17" t="n">
        <f aca="false">C61+F61*Annahmen!$C$87+H61+J61+L61/Annahmen!$B$46+(N61+P61)/(Annahmen!$B$23/Annahmen!$B$24)</f>
        <v>4.3375</v>
      </c>
      <c r="Y61" s="35" t="n">
        <f aca="false">MAX(0,(X61-Annahmen!$B$140)/Annahmen!$B$141)</f>
        <v>0</v>
      </c>
      <c r="Z61" s="23" t="n">
        <f aca="false">Y61*Annahmen!$B$137</f>
        <v>0</v>
      </c>
      <c r="AA61" s="23" t="n">
        <f aca="false">T61-U61-V61-W61-Z61</f>
        <v>1925.49420825762</v>
      </c>
      <c r="AB61" s="23" t="n">
        <f aca="false">AB60+AA61</f>
        <v>19561.7891084216</v>
      </c>
      <c r="AC61" s="7" t="n">
        <f aca="false">IF(AA61&gt;0,1,0)</f>
        <v>1</v>
      </c>
      <c r="AD61" s="7" t="n">
        <f aca="false">IF(AB61&gt;=0,1,0)</f>
        <v>1</v>
      </c>
    </row>
    <row r="62" customFormat="false" ht="15" hidden="false" customHeight="false" outlineLevel="0" collapsed="false">
      <c r="A62" s="7" t="n">
        <v>16</v>
      </c>
      <c r="B62" s="7" t="s">
        <v>365</v>
      </c>
      <c r="C62" s="17" t="n">
        <f aca="false">IF($A62&gt;=Annahmen!$C$82,Annahmen!$C$83,0)</f>
        <v>0.7</v>
      </c>
      <c r="D62" s="17" t="n">
        <f aca="false">C62*Annahmen!$C$84</f>
        <v>0.21</v>
      </c>
      <c r="E62" s="23" t="n">
        <f aca="false">(C62-D62)*Annahmen!$B$96</f>
        <v>240.1</v>
      </c>
      <c r="F62" s="17" t="n">
        <f aca="false">IF($A62&gt;Annahmen!$B$86,INDEX($C$47:$C$70,$A62-Annahmen!$B$86)*Annahmen!$C$85,0)</f>
        <v>0.28</v>
      </c>
      <c r="G62" s="23" t="n">
        <f aca="false">F62*(Annahmen!$C$87*(Annahmen!$B$97+Annahmen!$B$98)-Annahmen!$B$96*(1-Annahmen!$C$84))</f>
        <v>658.56</v>
      </c>
      <c r="H62" s="17" t="n">
        <f aca="false">IF($A62&gt;=Annahmen!$C$82,Annahmen!$C$88,0)</f>
        <v>1</v>
      </c>
      <c r="I62" s="23" t="n">
        <f aca="false">H62*(Annahmen!$B$97+Annahmen!$C$89*Annahmen!$B$98)</f>
        <v>344</v>
      </c>
      <c r="J62" s="17" t="n">
        <f aca="false">IF($A62&gt;=Annahmen!$C$82,Annahmen!$C$90,0)</f>
        <v>0.5</v>
      </c>
      <c r="K62" s="23" t="n">
        <f aca="false">J62*(Annahmen!$B$99+Annahmen!$B$91*Annahmen!$B$102)</f>
        <v>127.258064516129</v>
      </c>
      <c r="L62" s="17" t="n">
        <f aca="false">IF($A62&gt;=Annahmen!$C$82,Annahmen!$C$92,0)</f>
        <v>5</v>
      </c>
      <c r="M62" s="23" t="n">
        <f aca="false">L62*Annahmen!$B$103</f>
        <v>445</v>
      </c>
      <c r="N62" s="15" t="n">
        <f aca="false">IF($A62&gt;=Annahmen!$C$82,Annahmen!$C$93,0)</f>
        <v>50</v>
      </c>
      <c r="O62" s="23" t="n">
        <f aca="false">N62*Annahmen!$B$104</f>
        <v>300</v>
      </c>
      <c r="P62" s="15" t="n">
        <f aca="false">IF($A62&gt;=Annahmen!$C$82,Annahmen!$C$94,0)</f>
        <v>0</v>
      </c>
      <c r="Q62" s="23" t="n">
        <f aca="false">P62*Annahmen!$B$105</f>
        <v>0</v>
      </c>
      <c r="R62" s="17" t="n">
        <f aca="false">IF($A62&gt;=Annahmen!$C$82,Annahmen!$C$95,0)</f>
        <v>1</v>
      </c>
      <c r="S62" s="23" t="n">
        <f aca="false">R62*Annahmen!$B$106</f>
        <v>49</v>
      </c>
      <c r="T62" s="23" t="n">
        <f aca="false">E62+G62+I62+K62+M62+O62+Q62+S62</f>
        <v>2163.91806451613</v>
      </c>
      <c r="U62" s="23" t="n">
        <f aca="false">C62*Annahmen!$B$51+F62*Annahmen!$C$87*Annahmen!$B$47+H62*(Annahmen!$B$45+Annahmen!$C$89*(Annahmen!$B$47-Annahmen!$B$45))+J62*Annahmen!$B$48+L62*Annahmen!$B$49+(N62+P62)*Annahmen!$B$50</f>
        <v>37.5962854553319</v>
      </c>
      <c r="V62" s="23" t="n">
        <f aca="false">SUMPRODUCT((((Annahmen!$C$145:$C$155="monatlich")*(Annahmen!$D$145:$D$155&lt;=$A62))+((Annahmen!$C$145:$C$155="einmalig")*(Annahmen!$D$145:$D$155=$A62)))*Annahmen!$B$145:$B$155*Annahmen!$F$145:$F$155)</f>
        <v>50.8275708031806</v>
      </c>
      <c r="W62" s="23" t="n">
        <f aca="false">Annahmen!$C$135</f>
        <v>150</v>
      </c>
      <c r="X62" s="17" t="n">
        <f aca="false">C62+F62*Annahmen!$C$87+H62+J62+L62/Annahmen!$B$46+(N62+P62)/(Annahmen!$B$23/Annahmen!$B$24)</f>
        <v>4.3375</v>
      </c>
      <c r="Y62" s="35" t="n">
        <f aca="false">MAX(0,(X62-Annahmen!$B$140)/Annahmen!$B$141)</f>
        <v>0</v>
      </c>
      <c r="Z62" s="23" t="n">
        <f aca="false">Y62*Annahmen!$B$137</f>
        <v>0</v>
      </c>
      <c r="AA62" s="23" t="n">
        <f aca="false">T62-U62-V62-W62-Z62</f>
        <v>1925.49420825762</v>
      </c>
      <c r="AB62" s="23" t="n">
        <f aca="false">AB61+AA62</f>
        <v>21487.2833166793</v>
      </c>
      <c r="AC62" s="7" t="n">
        <f aca="false">IF(AA62&gt;0,1,0)</f>
        <v>1</v>
      </c>
      <c r="AD62" s="7" t="n">
        <f aca="false">IF(AB62&gt;=0,1,0)</f>
        <v>1</v>
      </c>
    </row>
    <row r="63" customFormat="false" ht="15" hidden="false" customHeight="false" outlineLevel="0" collapsed="false">
      <c r="A63" s="7" t="n">
        <v>17</v>
      </c>
      <c r="B63" s="7" t="s">
        <v>366</v>
      </c>
      <c r="C63" s="17" t="n">
        <f aca="false">IF($A63&gt;=Annahmen!$C$82,Annahmen!$C$83,0)</f>
        <v>0.7</v>
      </c>
      <c r="D63" s="17" t="n">
        <f aca="false">C63*Annahmen!$C$84</f>
        <v>0.21</v>
      </c>
      <c r="E63" s="23" t="n">
        <f aca="false">(C63-D63)*Annahmen!$B$96</f>
        <v>240.1</v>
      </c>
      <c r="F63" s="17" t="n">
        <f aca="false">IF($A63&gt;Annahmen!$B$86,INDEX($C$47:$C$70,$A63-Annahmen!$B$86)*Annahmen!$C$85,0)</f>
        <v>0.28</v>
      </c>
      <c r="G63" s="23" t="n">
        <f aca="false">F63*(Annahmen!$C$87*(Annahmen!$B$97+Annahmen!$B$98)-Annahmen!$B$96*(1-Annahmen!$C$84))</f>
        <v>658.56</v>
      </c>
      <c r="H63" s="17" t="n">
        <f aca="false">IF($A63&gt;=Annahmen!$C$82,Annahmen!$C$88,0)</f>
        <v>1</v>
      </c>
      <c r="I63" s="23" t="n">
        <f aca="false">H63*(Annahmen!$B$97+Annahmen!$C$89*Annahmen!$B$98)</f>
        <v>344</v>
      </c>
      <c r="J63" s="17" t="n">
        <f aca="false">IF($A63&gt;=Annahmen!$C$82,Annahmen!$C$90,0)</f>
        <v>0.5</v>
      </c>
      <c r="K63" s="23" t="n">
        <f aca="false">J63*(Annahmen!$B$99+Annahmen!$B$91*Annahmen!$B$102)</f>
        <v>127.258064516129</v>
      </c>
      <c r="L63" s="17" t="n">
        <f aca="false">IF($A63&gt;=Annahmen!$C$82,Annahmen!$C$92,0)</f>
        <v>5</v>
      </c>
      <c r="M63" s="23" t="n">
        <f aca="false">L63*Annahmen!$B$103</f>
        <v>445</v>
      </c>
      <c r="N63" s="15" t="n">
        <f aca="false">IF($A63&gt;=Annahmen!$C$82,Annahmen!$C$93,0)</f>
        <v>50</v>
      </c>
      <c r="O63" s="23" t="n">
        <f aca="false">N63*Annahmen!$B$104</f>
        <v>300</v>
      </c>
      <c r="P63" s="15" t="n">
        <f aca="false">IF($A63&gt;=Annahmen!$C$82,Annahmen!$C$94,0)</f>
        <v>0</v>
      </c>
      <c r="Q63" s="23" t="n">
        <f aca="false">P63*Annahmen!$B$105</f>
        <v>0</v>
      </c>
      <c r="R63" s="17" t="n">
        <f aca="false">IF($A63&gt;=Annahmen!$C$82,Annahmen!$C$95,0)</f>
        <v>1</v>
      </c>
      <c r="S63" s="23" t="n">
        <f aca="false">R63*Annahmen!$B$106</f>
        <v>49</v>
      </c>
      <c r="T63" s="23" t="n">
        <f aca="false">E63+G63+I63+K63+M63+O63+Q63+S63</f>
        <v>2163.91806451613</v>
      </c>
      <c r="U63" s="23" t="n">
        <f aca="false">C63*Annahmen!$B$51+F63*Annahmen!$C$87*Annahmen!$B$47+H63*(Annahmen!$B$45+Annahmen!$C$89*(Annahmen!$B$47-Annahmen!$B$45))+J63*Annahmen!$B$48+L63*Annahmen!$B$49+(N63+P63)*Annahmen!$B$50</f>
        <v>37.5962854553319</v>
      </c>
      <c r="V63" s="23" t="n">
        <f aca="false">SUMPRODUCT((((Annahmen!$C$145:$C$155="monatlich")*(Annahmen!$D$145:$D$155&lt;=$A63))+((Annahmen!$C$145:$C$155="einmalig")*(Annahmen!$D$145:$D$155=$A63)))*Annahmen!$B$145:$B$155*Annahmen!$F$145:$F$155)</f>
        <v>50.8275708031806</v>
      </c>
      <c r="W63" s="23" t="n">
        <f aca="false">Annahmen!$C$135</f>
        <v>150</v>
      </c>
      <c r="X63" s="17" t="n">
        <f aca="false">C63+F63*Annahmen!$C$87+H63+J63+L63/Annahmen!$B$46+(N63+P63)/(Annahmen!$B$23/Annahmen!$B$24)</f>
        <v>4.3375</v>
      </c>
      <c r="Y63" s="35" t="n">
        <f aca="false">MAX(0,(X63-Annahmen!$B$140)/Annahmen!$B$141)</f>
        <v>0</v>
      </c>
      <c r="Z63" s="23" t="n">
        <f aca="false">Y63*Annahmen!$B$137</f>
        <v>0</v>
      </c>
      <c r="AA63" s="23" t="n">
        <f aca="false">T63-U63-V63-W63-Z63</f>
        <v>1925.49420825762</v>
      </c>
      <c r="AB63" s="23" t="n">
        <f aca="false">AB62+AA63</f>
        <v>23412.7775249369</v>
      </c>
      <c r="AC63" s="7" t="n">
        <f aca="false">IF(AA63&gt;0,1,0)</f>
        <v>1</v>
      </c>
      <c r="AD63" s="7" t="n">
        <f aca="false">IF(AB63&gt;=0,1,0)</f>
        <v>1</v>
      </c>
    </row>
    <row r="64" customFormat="false" ht="15" hidden="false" customHeight="false" outlineLevel="0" collapsed="false">
      <c r="A64" s="7" t="n">
        <v>18</v>
      </c>
      <c r="B64" s="7" t="s">
        <v>367</v>
      </c>
      <c r="C64" s="17" t="n">
        <f aca="false">IF($A64&gt;=Annahmen!$C$82,Annahmen!$C$83,0)</f>
        <v>0.7</v>
      </c>
      <c r="D64" s="17" t="n">
        <f aca="false">C64*Annahmen!$C$84</f>
        <v>0.21</v>
      </c>
      <c r="E64" s="23" t="n">
        <f aca="false">(C64-D64)*Annahmen!$B$96</f>
        <v>240.1</v>
      </c>
      <c r="F64" s="17" t="n">
        <f aca="false">IF($A64&gt;Annahmen!$B$86,INDEX($C$47:$C$70,$A64-Annahmen!$B$86)*Annahmen!$C$85,0)</f>
        <v>0.28</v>
      </c>
      <c r="G64" s="23" t="n">
        <f aca="false">F64*(Annahmen!$C$87*(Annahmen!$B$97+Annahmen!$B$98)-Annahmen!$B$96*(1-Annahmen!$C$84))</f>
        <v>658.56</v>
      </c>
      <c r="H64" s="17" t="n">
        <f aca="false">IF($A64&gt;=Annahmen!$C$82,Annahmen!$C$88,0)</f>
        <v>1</v>
      </c>
      <c r="I64" s="23" t="n">
        <f aca="false">H64*(Annahmen!$B$97+Annahmen!$C$89*Annahmen!$B$98)</f>
        <v>344</v>
      </c>
      <c r="J64" s="17" t="n">
        <f aca="false">IF($A64&gt;=Annahmen!$C$82,Annahmen!$C$90,0)</f>
        <v>0.5</v>
      </c>
      <c r="K64" s="23" t="n">
        <f aca="false">J64*(Annahmen!$B$99+Annahmen!$B$91*Annahmen!$B$102)</f>
        <v>127.258064516129</v>
      </c>
      <c r="L64" s="17" t="n">
        <f aca="false">IF($A64&gt;=Annahmen!$C$82,Annahmen!$C$92,0)</f>
        <v>5</v>
      </c>
      <c r="M64" s="23" t="n">
        <f aca="false">L64*Annahmen!$B$103</f>
        <v>445</v>
      </c>
      <c r="N64" s="15" t="n">
        <f aca="false">IF($A64&gt;=Annahmen!$C$82,Annahmen!$C$93,0)</f>
        <v>50</v>
      </c>
      <c r="O64" s="23" t="n">
        <f aca="false">N64*Annahmen!$B$104</f>
        <v>300</v>
      </c>
      <c r="P64" s="15" t="n">
        <f aca="false">IF($A64&gt;=Annahmen!$C$82,Annahmen!$C$94,0)</f>
        <v>0</v>
      </c>
      <c r="Q64" s="23" t="n">
        <f aca="false">P64*Annahmen!$B$105</f>
        <v>0</v>
      </c>
      <c r="R64" s="17" t="n">
        <f aca="false">IF($A64&gt;=Annahmen!$C$82,Annahmen!$C$95,0)</f>
        <v>1</v>
      </c>
      <c r="S64" s="23" t="n">
        <f aca="false">R64*Annahmen!$B$106</f>
        <v>49</v>
      </c>
      <c r="T64" s="23" t="n">
        <f aca="false">E64+G64+I64+K64+M64+O64+Q64+S64</f>
        <v>2163.91806451613</v>
      </c>
      <c r="U64" s="23" t="n">
        <f aca="false">C64*Annahmen!$B$51+F64*Annahmen!$C$87*Annahmen!$B$47+H64*(Annahmen!$B$45+Annahmen!$C$89*(Annahmen!$B$47-Annahmen!$B$45))+J64*Annahmen!$B$48+L64*Annahmen!$B$49+(N64+P64)*Annahmen!$B$50</f>
        <v>37.5962854553319</v>
      </c>
      <c r="V64" s="23" t="n">
        <f aca="false">SUMPRODUCT((((Annahmen!$C$145:$C$155="monatlich")*(Annahmen!$D$145:$D$155&lt;=$A64))+((Annahmen!$C$145:$C$155="einmalig")*(Annahmen!$D$145:$D$155=$A64)))*Annahmen!$B$145:$B$155*Annahmen!$F$145:$F$155)</f>
        <v>50.8275708031806</v>
      </c>
      <c r="W64" s="23" t="n">
        <f aca="false">Annahmen!$C$135</f>
        <v>150</v>
      </c>
      <c r="X64" s="17" t="n">
        <f aca="false">C64+F64*Annahmen!$C$87+H64+J64+L64/Annahmen!$B$46+(N64+P64)/(Annahmen!$B$23/Annahmen!$B$24)</f>
        <v>4.3375</v>
      </c>
      <c r="Y64" s="35" t="n">
        <f aca="false">MAX(0,(X64-Annahmen!$B$140)/Annahmen!$B$141)</f>
        <v>0</v>
      </c>
      <c r="Z64" s="23" t="n">
        <f aca="false">Y64*Annahmen!$B$137</f>
        <v>0</v>
      </c>
      <c r="AA64" s="23" t="n">
        <f aca="false">T64-U64-V64-W64-Z64</f>
        <v>1925.49420825762</v>
      </c>
      <c r="AB64" s="23" t="n">
        <f aca="false">AB63+AA64</f>
        <v>25338.2717331945</v>
      </c>
      <c r="AC64" s="7" t="n">
        <f aca="false">IF(AA64&gt;0,1,0)</f>
        <v>1</v>
      </c>
      <c r="AD64" s="7" t="n">
        <f aca="false">IF(AB64&gt;=0,1,0)</f>
        <v>1</v>
      </c>
    </row>
    <row r="65" customFormat="false" ht="15" hidden="false" customHeight="false" outlineLevel="0" collapsed="false">
      <c r="A65" s="7" t="n">
        <v>19</v>
      </c>
      <c r="B65" s="7" t="s">
        <v>368</v>
      </c>
      <c r="C65" s="17" t="n">
        <f aca="false">IF($A65&gt;=Annahmen!$C$82,Annahmen!$C$83,0)</f>
        <v>0.7</v>
      </c>
      <c r="D65" s="17" t="n">
        <f aca="false">C65*Annahmen!$C$84</f>
        <v>0.21</v>
      </c>
      <c r="E65" s="23" t="n">
        <f aca="false">(C65-D65)*Annahmen!$B$96</f>
        <v>240.1</v>
      </c>
      <c r="F65" s="17" t="n">
        <f aca="false">IF($A65&gt;Annahmen!$B$86,INDEX($C$47:$C$70,$A65-Annahmen!$B$86)*Annahmen!$C$85,0)</f>
        <v>0.28</v>
      </c>
      <c r="G65" s="23" t="n">
        <f aca="false">F65*(Annahmen!$C$87*(Annahmen!$B$97+Annahmen!$B$98)-Annahmen!$B$96*(1-Annahmen!$C$84))</f>
        <v>658.56</v>
      </c>
      <c r="H65" s="17" t="n">
        <f aca="false">IF($A65&gt;=Annahmen!$C$82,Annahmen!$C$88,0)</f>
        <v>1</v>
      </c>
      <c r="I65" s="23" t="n">
        <f aca="false">H65*(Annahmen!$B$97+Annahmen!$C$89*Annahmen!$B$98)</f>
        <v>344</v>
      </c>
      <c r="J65" s="17" t="n">
        <f aca="false">IF($A65&gt;=Annahmen!$C$82,Annahmen!$C$90,0)</f>
        <v>0.5</v>
      </c>
      <c r="K65" s="23" t="n">
        <f aca="false">J65*(Annahmen!$B$99+Annahmen!$B$91*Annahmen!$B$102)</f>
        <v>127.258064516129</v>
      </c>
      <c r="L65" s="17" t="n">
        <f aca="false">IF($A65&gt;=Annahmen!$C$82,Annahmen!$C$92,0)</f>
        <v>5</v>
      </c>
      <c r="M65" s="23" t="n">
        <f aca="false">L65*Annahmen!$B$103</f>
        <v>445</v>
      </c>
      <c r="N65" s="15" t="n">
        <f aca="false">IF($A65&gt;=Annahmen!$C$82,Annahmen!$C$93,0)</f>
        <v>50</v>
      </c>
      <c r="O65" s="23" t="n">
        <f aca="false">N65*Annahmen!$B$104</f>
        <v>300</v>
      </c>
      <c r="P65" s="15" t="n">
        <f aca="false">IF($A65&gt;=Annahmen!$C$82,Annahmen!$C$94,0)</f>
        <v>0</v>
      </c>
      <c r="Q65" s="23" t="n">
        <f aca="false">P65*Annahmen!$B$105</f>
        <v>0</v>
      </c>
      <c r="R65" s="17" t="n">
        <f aca="false">IF($A65&gt;=Annahmen!$C$82,Annahmen!$C$95,0)</f>
        <v>1</v>
      </c>
      <c r="S65" s="23" t="n">
        <f aca="false">R65*Annahmen!$B$106</f>
        <v>49</v>
      </c>
      <c r="T65" s="23" t="n">
        <f aca="false">E65+G65+I65+K65+M65+O65+Q65+S65</f>
        <v>2163.91806451613</v>
      </c>
      <c r="U65" s="23" t="n">
        <f aca="false">C65*Annahmen!$B$51+F65*Annahmen!$C$87*Annahmen!$B$47+H65*(Annahmen!$B$45+Annahmen!$C$89*(Annahmen!$B$47-Annahmen!$B$45))+J65*Annahmen!$B$48+L65*Annahmen!$B$49+(N65+P65)*Annahmen!$B$50</f>
        <v>37.5962854553319</v>
      </c>
      <c r="V65" s="23" t="n">
        <f aca="false">SUMPRODUCT((((Annahmen!$C$145:$C$155="monatlich")*(Annahmen!$D$145:$D$155&lt;=$A65))+((Annahmen!$C$145:$C$155="einmalig")*(Annahmen!$D$145:$D$155=$A65)))*Annahmen!$B$145:$B$155*Annahmen!$F$145:$F$155)</f>
        <v>50.8275708031806</v>
      </c>
      <c r="W65" s="23" t="n">
        <f aca="false">Annahmen!$C$135</f>
        <v>150</v>
      </c>
      <c r="X65" s="17" t="n">
        <f aca="false">C65+F65*Annahmen!$C$87+H65+J65+L65/Annahmen!$B$46+(N65+P65)/(Annahmen!$B$23/Annahmen!$B$24)</f>
        <v>4.3375</v>
      </c>
      <c r="Y65" s="35" t="n">
        <f aca="false">MAX(0,(X65-Annahmen!$B$140)/Annahmen!$B$141)</f>
        <v>0</v>
      </c>
      <c r="Z65" s="23" t="n">
        <f aca="false">Y65*Annahmen!$B$137</f>
        <v>0</v>
      </c>
      <c r="AA65" s="23" t="n">
        <f aca="false">T65-U65-V65-W65-Z65</f>
        <v>1925.49420825762</v>
      </c>
      <c r="AB65" s="23" t="n">
        <f aca="false">AB64+AA65</f>
        <v>27263.7659414521</v>
      </c>
      <c r="AC65" s="7" t="n">
        <f aca="false">IF(AA65&gt;0,1,0)</f>
        <v>1</v>
      </c>
      <c r="AD65" s="7" t="n">
        <f aca="false">IF(AB65&gt;=0,1,0)</f>
        <v>1</v>
      </c>
    </row>
    <row r="66" customFormat="false" ht="15" hidden="false" customHeight="false" outlineLevel="0" collapsed="false">
      <c r="A66" s="7" t="n">
        <v>20</v>
      </c>
      <c r="B66" s="7" t="s">
        <v>369</v>
      </c>
      <c r="C66" s="17" t="n">
        <f aca="false">IF($A66&gt;=Annahmen!$C$82,Annahmen!$C$83,0)</f>
        <v>0.7</v>
      </c>
      <c r="D66" s="17" t="n">
        <f aca="false">C66*Annahmen!$C$84</f>
        <v>0.21</v>
      </c>
      <c r="E66" s="23" t="n">
        <f aca="false">(C66-D66)*Annahmen!$B$96</f>
        <v>240.1</v>
      </c>
      <c r="F66" s="17" t="n">
        <f aca="false">IF($A66&gt;Annahmen!$B$86,INDEX($C$47:$C$70,$A66-Annahmen!$B$86)*Annahmen!$C$85,0)</f>
        <v>0.28</v>
      </c>
      <c r="G66" s="23" t="n">
        <f aca="false">F66*(Annahmen!$C$87*(Annahmen!$B$97+Annahmen!$B$98)-Annahmen!$B$96*(1-Annahmen!$C$84))</f>
        <v>658.56</v>
      </c>
      <c r="H66" s="17" t="n">
        <f aca="false">IF($A66&gt;=Annahmen!$C$82,Annahmen!$C$88,0)</f>
        <v>1</v>
      </c>
      <c r="I66" s="23" t="n">
        <f aca="false">H66*(Annahmen!$B$97+Annahmen!$C$89*Annahmen!$B$98)</f>
        <v>344</v>
      </c>
      <c r="J66" s="17" t="n">
        <f aca="false">IF($A66&gt;=Annahmen!$C$82,Annahmen!$C$90,0)</f>
        <v>0.5</v>
      </c>
      <c r="K66" s="23" t="n">
        <f aca="false">J66*(Annahmen!$B$99+Annahmen!$B$91*Annahmen!$B$102)</f>
        <v>127.258064516129</v>
      </c>
      <c r="L66" s="17" t="n">
        <f aca="false">IF($A66&gt;=Annahmen!$C$82,Annahmen!$C$92,0)</f>
        <v>5</v>
      </c>
      <c r="M66" s="23" t="n">
        <f aca="false">L66*Annahmen!$B$103</f>
        <v>445</v>
      </c>
      <c r="N66" s="15" t="n">
        <f aca="false">IF($A66&gt;=Annahmen!$C$82,Annahmen!$C$93,0)</f>
        <v>50</v>
      </c>
      <c r="O66" s="23" t="n">
        <f aca="false">N66*Annahmen!$B$104</f>
        <v>300</v>
      </c>
      <c r="P66" s="15" t="n">
        <f aca="false">IF($A66&gt;=Annahmen!$C$82,Annahmen!$C$94,0)</f>
        <v>0</v>
      </c>
      <c r="Q66" s="23" t="n">
        <f aca="false">P66*Annahmen!$B$105</f>
        <v>0</v>
      </c>
      <c r="R66" s="17" t="n">
        <f aca="false">IF($A66&gt;=Annahmen!$C$82,Annahmen!$C$95,0)</f>
        <v>1</v>
      </c>
      <c r="S66" s="23" t="n">
        <f aca="false">R66*Annahmen!$B$106</f>
        <v>49</v>
      </c>
      <c r="T66" s="23" t="n">
        <f aca="false">E66+G66+I66+K66+M66+O66+Q66+S66</f>
        <v>2163.91806451613</v>
      </c>
      <c r="U66" s="23" t="n">
        <f aca="false">C66*Annahmen!$B$51+F66*Annahmen!$C$87*Annahmen!$B$47+H66*(Annahmen!$B$45+Annahmen!$C$89*(Annahmen!$B$47-Annahmen!$B$45))+J66*Annahmen!$B$48+L66*Annahmen!$B$49+(N66+P66)*Annahmen!$B$50</f>
        <v>37.5962854553319</v>
      </c>
      <c r="V66" s="23" t="n">
        <f aca="false">SUMPRODUCT((((Annahmen!$C$145:$C$155="monatlich")*(Annahmen!$D$145:$D$155&lt;=$A66))+((Annahmen!$C$145:$C$155="einmalig")*(Annahmen!$D$145:$D$155=$A66)))*Annahmen!$B$145:$B$155*Annahmen!$F$145:$F$155)</f>
        <v>50.8275708031806</v>
      </c>
      <c r="W66" s="23" t="n">
        <f aca="false">Annahmen!$C$135</f>
        <v>150</v>
      </c>
      <c r="X66" s="17" t="n">
        <f aca="false">C66+F66*Annahmen!$C$87+H66+J66+L66/Annahmen!$B$46+(N66+P66)/(Annahmen!$B$23/Annahmen!$B$24)</f>
        <v>4.3375</v>
      </c>
      <c r="Y66" s="35" t="n">
        <f aca="false">MAX(0,(X66-Annahmen!$B$140)/Annahmen!$B$141)</f>
        <v>0</v>
      </c>
      <c r="Z66" s="23" t="n">
        <f aca="false">Y66*Annahmen!$B$137</f>
        <v>0</v>
      </c>
      <c r="AA66" s="23" t="n">
        <f aca="false">T66-U66-V66-W66-Z66</f>
        <v>1925.49420825762</v>
      </c>
      <c r="AB66" s="23" t="n">
        <f aca="false">AB65+AA66</f>
        <v>29189.2601497097</v>
      </c>
      <c r="AC66" s="7" t="n">
        <f aca="false">IF(AA66&gt;0,1,0)</f>
        <v>1</v>
      </c>
      <c r="AD66" s="7" t="n">
        <f aca="false">IF(AB66&gt;=0,1,0)</f>
        <v>1</v>
      </c>
    </row>
    <row r="67" customFormat="false" ht="15" hidden="false" customHeight="false" outlineLevel="0" collapsed="false">
      <c r="A67" s="7" t="n">
        <v>21</v>
      </c>
      <c r="B67" s="7" t="s">
        <v>370</v>
      </c>
      <c r="C67" s="17" t="n">
        <f aca="false">IF($A67&gt;=Annahmen!$C$82,Annahmen!$C$83,0)</f>
        <v>0.7</v>
      </c>
      <c r="D67" s="17" t="n">
        <f aca="false">C67*Annahmen!$C$84</f>
        <v>0.21</v>
      </c>
      <c r="E67" s="23" t="n">
        <f aca="false">(C67-D67)*Annahmen!$B$96</f>
        <v>240.1</v>
      </c>
      <c r="F67" s="17" t="n">
        <f aca="false">IF($A67&gt;Annahmen!$B$86,INDEX($C$47:$C$70,$A67-Annahmen!$B$86)*Annahmen!$C$85,0)</f>
        <v>0.28</v>
      </c>
      <c r="G67" s="23" t="n">
        <f aca="false">F67*(Annahmen!$C$87*(Annahmen!$B$97+Annahmen!$B$98)-Annahmen!$B$96*(1-Annahmen!$C$84))</f>
        <v>658.56</v>
      </c>
      <c r="H67" s="17" t="n">
        <f aca="false">IF($A67&gt;=Annahmen!$C$82,Annahmen!$C$88,0)</f>
        <v>1</v>
      </c>
      <c r="I67" s="23" t="n">
        <f aca="false">H67*(Annahmen!$B$97+Annahmen!$C$89*Annahmen!$B$98)</f>
        <v>344</v>
      </c>
      <c r="J67" s="17" t="n">
        <f aca="false">IF($A67&gt;=Annahmen!$C$82,Annahmen!$C$90,0)</f>
        <v>0.5</v>
      </c>
      <c r="K67" s="23" t="n">
        <f aca="false">J67*(Annahmen!$B$99+Annahmen!$B$91*Annahmen!$B$102)</f>
        <v>127.258064516129</v>
      </c>
      <c r="L67" s="17" t="n">
        <f aca="false">IF($A67&gt;=Annahmen!$C$82,Annahmen!$C$92,0)</f>
        <v>5</v>
      </c>
      <c r="M67" s="23" t="n">
        <f aca="false">L67*Annahmen!$B$103</f>
        <v>445</v>
      </c>
      <c r="N67" s="15" t="n">
        <f aca="false">IF($A67&gt;=Annahmen!$C$82,Annahmen!$C$93,0)</f>
        <v>50</v>
      </c>
      <c r="O67" s="23" t="n">
        <f aca="false">N67*Annahmen!$B$104</f>
        <v>300</v>
      </c>
      <c r="P67" s="15" t="n">
        <f aca="false">IF($A67&gt;=Annahmen!$C$82,Annahmen!$C$94,0)</f>
        <v>0</v>
      </c>
      <c r="Q67" s="23" t="n">
        <f aca="false">P67*Annahmen!$B$105</f>
        <v>0</v>
      </c>
      <c r="R67" s="17" t="n">
        <f aca="false">IF($A67&gt;=Annahmen!$C$82,Annahmen!$C$95,0)</f>
        <v>1</v>
      </c>
      <c r="S67" s="23" t="n">
        <f aca="false">R67*Annahmen!$B$106</f>
        <v>49</v>
      </c>
      <c r="T67" s="23" t="n">
        <f aca="false">E67+G67+I67+K67+M67+O67+Q67+S67</f>
        <v>2163.91806451613</v>
      </c>
      <c r="U67" s="23" t="n">
        <f aca="false">C67*Annahmen!$B$51+F67*Annahmen!$C$87*Annahmen!$B$47+H67*(Annahmen!$B$45+Annahmen!$C$89*(Annahmen!$B$47-Annahmen!$B$45))+J67*Annahmen!$B$48+L67*Annahmen!$B$49+(N67+P67)*Annahmen!$B$50</f>
        <v>37.5962854553319</v>
      </c>
      <c r="V67" s="23" t="n">
        <f aca="false">SUMPRODUCT((((Annahmen!$C$145:$C$155="monatlich")*(Annahmen!$D$145:$D$155&lt;=$A67))+((Annahmen!$C$145:$C$155="einmalig")*(Annahmen!$D$145:$D$155=$A67)))*Annahmen!$B$145:$B$155*Annahmen!$F$145:$F$155)</f>
        <v>50.8275708031806</v>
      </c>
      <c r="W67" s="23" t="n">
        <f aca="false">Annahmen!$C$135</f>
        <v>150</v>
      </c>
      <c r="X67" s="17" t="n">
        <f aca="false">C67+F67*Annahmen!$C$87+H67+J67+L67/Annahmen!$B$46+(N67+P67)/(Annahmen!$B$23/Annahmen!$B$24)</f>
        <v>4.3375</v>
      </c>
      <c r="Y67" s="35" t="n">
        <f aca="false">MAX(0,(X67-Annahmen!$B$140)/Annahmen!$B$141)</f>
        <v>0</v>
      </c>
      <c r="Z67" s="23" t="n">
        <f aca="false">Y67*Annahmen!$B$137</f>
        <v>0</v>
      </c>
      <c r="AA67" s="23" t="n">
        <f aca="false">T67-U67-V67-W67-Z67</f>
        <v>1925.49420825762</v>
      </c>
      <c r="AB67" s="23" t="n">
        <f aca="false">AB66+AA67</f>
        <v>31114.7543579673</v>
      </c>
      <c r="AC67" s="7" t="n">
        <f aca="false">IF(AA67&gt;0,1,0)</f>
        <v>1</v>
      </c>
      <c r="AD67" s="7" t="n">
        <f aca="false">IF(AB67&gt;=0,1,0)</f>
        <v>1</v>
      </c>
    </row>
    <row r="68" customFormat="false" ht="15" hidden="false" customHeight="false" outlineLevel="0" collapsed="false">
      <c r="A68" s="7" t="n">
        <v>22</v>
      </c>
      <c r="B68" s="7" t="s">
        <v>371</v>
      </c>
      <c r="C68" s="17" t="n">
        <f aca="false">IF($A68&gt;=Annahmen!$C$82,Annahmen!$C$83,0)</f>
        <v>0.7</v>
      </c>
      <c r="D68" s="17" t="n">
        <f aca="false">C68*Annahmen!$C$84</f>
        <v>0.21</v>
      </c>
      <c r="E68" s="23" t="n">
        <f aca="false">(C68-D68)*Annahmen!$B$96</f>
        <v>240.1</v>
      </c>
      <c r="F68" s="17" t="n">
        <f aca="false">IF($A68&gt;Annahmen!$B$86,INDEX($C$47:$C$70,$A68-Annahmen!$B$86)*Annahmen!$C$85,0)</f>
        <v>0.28</v>
      </c>
      <c r="G68" s="23" t="n">
        <f aca="false">F68*(Annahmen!$C$87*(Annahmen!$B$97+Annahmen!$B$98)-Annahmen!$B$96*(1-Annahmen!$C$84))</f>
        <v>658.56</v>
      </c>
      <c r="H68" s="17" t="n">
        <f aca="false">IF($A68&gt;=Annahmen!$C$82,Annahmen!$C$88,0)</f>
        <v>1</v>
      </c>
      <c r="I68" s="23" t="n">
        <f aca="false">H68*(Annahmen!$B$97+Annahmen!$C$89*Annahmen!$B$98)</f>
        <v>344</v>
      </c>
      <c r="J68" s="17" t="n">
        <f aca="false">IF($A68&gt;=Annahmen!$C$82,Annahmen!$C$90,0)</f>
        <v>0.5</v>
      </c>
      <c r="K68" s="23" t="n">
        <f aca="false">J68*(Annahmen!$B$99+Annahmen!$B$91*Annahmen!$B$102)</f>
        <v>127.258064516129</v>
      </c>
      <c r="L68" s="17" t="n">
        <f aca="false">IF($A68&gt;=Annahmen!$C$82,Annahmen!$C$92,0)</f>
        <v>5</v>
      </c>
      <c r="M68" s="23" t="n">
        <f aca="false">L68*Annahmen!$B$103</f>
        <v>445</v>
      </c>
      <c r="N68" s="15" t="n">
        <f aca="false">IF($A68&gt;=Annahmen!$C$82,Annahmen!$C$93,0)</f>
        <v>50</v>
      </c>
      <c r="O68" s="23" t="n">
        <f aca="false">N68*Annahmen!$B$104</f>
        <v>300</v>
      </c>
      <c r="P68" s="15" t="n">
        <f aca="false">IF($A68&gt;=Annahmen!$C$82,Annahmen!$C$94,0)</f>
        <v>0</v>
      </c>
      <c r="Q68" s="23" t="n">
        <f aca="false">P68*Annahmen!$B$105</f>
        <v>0</v>
      </c>
      <c r="R68" s="17" t="n">
        <f aca="false">IF($A68&gt;=Annahmen!$C$82,Annahmen!$C$95,0)</f>
        <v>1</v>
      </c>
      <c r="S68" s="23" t="n">
        <f aca="false">R68*Annahmen!$B$106</f>
        <v>49</v>
      </c>
      <c r="T68" s="23" t="n">
        <f aca="false">E68+G68+I68+K68+M68+O68+Q68+S68</f>
        <v>2163.91806451613</v>
      </c>
      <c r="U68" s="23" t="n">
        <f aca="false">C68*Annahmen!$B$51+F68*Annahmen!$C$87*Annahmen!$B$47+H68*(Annahmen!$B$45+Annahmen!$C$89*(Annahmen!$B$47-Annahmen!$B$45))+J68*Annahmen!$B$48+L68*Annahmen!$B$49+(N68+P68)*Annahmen!$B$50</f>
        <v>37.5962854553319</v>
      </c>
      <c r="V68" s="23" t="n">
        <f aca="false">SUMPRODUCT((((Annahmen!$C$145:$C$155="monatlich")*(Annahmen!$D$145:$D$155&lt;=$A68))+((Annahmen!$C$145:$C$155="einmalig")*(Annahmen!$D$145:$D$155=$A68)))*Annahmen!$B$145:$B$155*Annahmen!$F$145:$F$155)</f>
        <v>50.8275708031806</v>
      </c>
      <c r="W68" s="23" t="n">
        <f aca="false">Annahmen!$C$135</f>
        <v>150</v>
      </c>
      <c r="X68" s="17" t="n">
        <f aca="false">C68+F68*Annahmen!$C$87+H68+J68+L68/Annahmen!$B$46+(N68+P68)/(Annahmen!$B$23/Annahmen!$B$24)</f>
        <v>4.3375</v>
      </c>
      <c r="Y68" s="35" t="n">
        <f aca="false">MAX(0,(X68-Annahmen!$B$140)/Annahmen!$B$141)</f>
        <v>0</v>
      </c>
      <c r="Z68" s="23" t="n">
        <f aca="false">Y68*Annahmen!$B$137</f>
        <v>0</v>
      </c>
      <c r="AA68" s="23" t="n">
        <f aca="false">T68-U68-V68-W68-Z68</f>
        <v>1925.49420825762</v>
      </c>
      <c r="AB68" s="23" t="n">
        <f aca="false">AB67+AA68</f>
        <v>33040.248566225</v>
      </c>
      <c r="AC68" s="7" t="n">
        <f aca="false">IF(AA68&gt;0,1,0)</f>
        <v>1</v>
      </c>
      <c r="AD68" s="7" t="n">
        <f aca="false">IF(AB68&gt;=0,1,0)</f>
        <v>1</v>
      </c>
    </row>
    <row r="69" customFormat="false" ht="15" hidden="false" customHeight="false" outlineLevel="0" collapsed="false">
      <c r="A69" s="7" t="n">
        <v>23</v>
      </c>
      <c r="B69" s="7" t="s">
        <v>372</v>
      </c>
      <c r="C69" s="17" t="n">
        <f aca="false">IF($A69&gt;=Annahmen!$C$82,Annahmen!$C$83,0)</f>
        <v>0.7</v>
      </c>
      <c r="D69" s="17" t="n">
        <f aca="false">C69*Annahmen!$C$84</f>
        <v>0.21</v>
      </c>
      <c r="E69" s="23" t="n">
        <f aca="false">(C69-D69)*Annahmen!$B$96</f>
        <v>240.1</v>
      </c>
      <c r="F69" s="17" t="n">
        <f aca="false">IF($A69&gt;Annahmen!$B$86,INDEX($C$47:$C$70,$A69-Annahmen!$B$86)*Annahmen!$C$85,0)</f>
        <v>0.28</v>
      </c>
      <c r="G69" s="23" t="n">
        <f aca="false">F69*(Annahmen!$C$87*(Annahmen!$B$97+Annahmen!$B$98)-Annahmen!$B$96*(1-Annahmen!$C$84))</f>
        <v>658.56</v>
      </c>
      <c r="H69" s="17" t="n">
        <f aca="false">IF($A69&gt;=Annahmen!$C$82,Annahmen!$C$88,0)</f>
        <v>1</v>
      </c>
      <c r="I69" s="23" t="n">
        <f aca="false">H69*(Annahmen!$B$97+Annahmen!$C$89*Annahmen!$B$98)</f>
        <v>344</v>
      </c>
      <c r="J69" s="17" t="n">
        <f aca="false">IF($A69&gt;=Annahmen!$C$82,Annahmen!$C$90,0)</f>
        <v>0.5</v>
      </c>
      <c r="K69" s="23" t="n">
        <f aca="false">J69*(Annahmen!$B$99+Annahmen!$B$91*Annahmen!$B$102)</f>
        <v>127.258064516129</v>
      </c>
      <c r="L69" s="17" t="n">
        <f aca="false">IF($A69&gt;=Annahmen!$C$82,Annahmen!$C$92,0)</f>
        <v>5</v>
      </c>
      <c r="M69" s="23" t="n">
        <f aca="false">L69*Annahmen!$B$103</f>
        <v>445</v>
      </c>
      <c r="N69" s="15" t="n">
        <f aca="false">IF($A69&gt;=Annahmen!$C$82,Annahmen!$C$93,0)</f>
        <v>50</v>
      </c>
      <c r="O69" s="23" t="n">
        <f aca="false">N69*Annahmen!$B$104</f>
        <v>300</v>
      </c>
      <c r="P69" s="15" t="n">
        <f aca="false">IF($A69&gt;=Annahmen!$C$82,Annahmen!$C$94,0)</f>
        <v>0</v>
      </c>
      <c r="Q69" s="23" t="n">
        <f aca="false">P69*Annahmen!$B$105</f>
        <v>0</v>
      </c>
      <c r="R69" s="17" t="n">
        <f aca="false">IF($A69&gt;=Annahmen!$C$82,Annahmen!$C$95,0)</f>
        <v>1</v>
      </c>
      <c r="S69" s="23" t="n">
        <f aca="false">R69*Annahmen!$B$106</f>
        <v>49</v>
      </c>
      <c r="T69" s="23" t="n">
        <f aca="false">E69+G69+I69+K69+M69+O69+Q69+S69</f>
        <v>2163.91806451613</v>
      </c>
      <c r="U69" s="23" t="n">
        <f aca="false">C69*Annahmen!$B$51+F69*Annahmen!$C$87*Annahmen!$B$47+H69*(Annahmen!$B$45+Annahmen!$C$89*(Annahmen!$B$47-Annahmen!$B$45))+J69*Annahmen!$B$48+L69*Annahmen!$B$49+(N69+P69)*Annahmen!$B$50</f>
        <v>37.5962854553319</v>
      </c>
      <c r="V69" s="23" t="n">
        <f aca="false">SUMPRODUCT((((Annahmen!$C$145:$C$155="monatlich")*(Annahmen!$D$145:$D$155&lt;=$A69))+((Annahmen!$C$145:$C$155="einmalig")*(Annahmen!$D$145:$D$155=$A69)))*Annahmen!$B$145:$B$155*Annahmen!$F$145:$F$155)</f>
        <v>50.8275708031806</v>
      </c>
      <c r="W69" s="23" t="n">
        <f aca="false">Annahmen!$C$135</f>
        <v>150</v>
      </c>
      <c r="X69" s="17" t="n">
        <f aca="false">C69+F69*Annahmen!$C$87+H69+J69+L69/Annahmen!$B$46+(N69+P69)/(Annahmen!$B$23/Annahmen!$B$24)</f>
        <v>4.3375</v>
      </c>
      <c r="Y69" s="35" t="n">
        <f aca="false">MAX(0,(X69-Annahmen!$B$140)/Annahmen!$B$141)</f>
        <v>0</v>
      </c>
      <c r="Z69" s="23" t="n">
        <f aca="false">Y69*Annahmen!$B$137</f>
        <v>0</v>
      </c>
      <c r="AA69" s="23" t="n">
        <f aca="false">T69-U69-V69-W69-Z69</f>
        <v>1925.49420825762</v>
      </c>
      <c r="AB69" s="23" t="n">
        <f aca="false">AB68+AA69</f>
        <v>34965.7427744826</v>
      </c>
      <c r="AC69" s="7" t="n">
        <f aca="false">IF(AA69&gt;0,1,0)</f>
        <v>1</v>
      </c>
      <c r="AD69" s="7" t="n">
        <f aca="false">IF(AB69&gt;=0,1,0)</f>
        <v>1</v>
      </c>
    </row>
    <row r="70" customFormat="false" ht="15" hidden="false" customHeight="false" outlineLevel="0" collapsed="false">
      <c r="A70" s="7" t="n">
        <v>24</v>
      </c>
      <c r="B70" s="7" t="s">
        <v>373</v>
      </c>
      <c r="C70" s="17" t="n">
        <f aca="false">IF($A70&gt;=Annahmen!$C$82,Annahmen!$C$83,0)</f>
        <v>0.7</v>
      </c>
      <c r="D70" s="17" t="n">
        <f aca="false">C70*Annahmen!$C$84</f>
        <v>0.21</v>
      </c>
      <c r="E70" s="23" t="n">
        <f aca="false">(C70-D70)*Annahmen!$B$96</f>
        <v>240.1</v>
      </c>
      <c r="F70" s="17" t="n">
        <f aca="false">IF($A70&gt;Annahmen!$B$86,INDEX($C$47:$C$70,$A70-Annahmen!$B$86)*Annahmen!$C$85,0)</f>
        <v>0.28</v>
      </c>
      <c r="G70" s="23" t="n">
        <f aca="false">F70*(Annahmen!$C$87*(Annahmen!$B$97+Annahmen!$B$98)-Annahmen!$B$96*(1-Annahmen!$C$84))</f>
        <v>658.56</v>
      </c>
      <c r="H70" s="17" t="n">
        <f aca="false">IF($A70&gt;=Annahmen!$C$82,Annahmen!$C$88,0)</f>
        <v>1</v>
      </c>
      <c r="I70" s="23" t="n">
        <f aca="false">H70*(Annahmen!$B$97+Annahmen!$C$89*Annahmen!$B$98)</f>
        <v>344</v>
      </c>
      <c r="J70" s="17" t="n">
        <f aca="false">IF($A70&gt;=Annahmen!$C$82,Annahmen!$C$90,0)</f>
        <v>0.5</v>
      </c>
      <c r="K70" s="23" t="n">
        <f aca="false">J70*(Annahmen!$B$99+Annahmen!$B$91*Annahmen!$B$102)</f>
        <v>127.258064516129</v>
      </c>
      <c r="L70" s="17" t="n">
        <f aca="false">IF($A70&gt;=Annahmen!$C$82,Annahmen!$C$92,0)</f>
        <v>5</v>
      </c>
      <c r="M70" s="23" t="n">
        <f aca="false">L70*Annahmen!$B$103</f>
        <v>445</v>
      </c>
      <c r="N70" s="15" t="n">
        <f aca="false">IF($A70&gt;=Annahmen!$C$82,Annahmen!$C$93,0)</f>
        <v>50</v>
      </c>
      <c r="O70" s="23" t="n">
        <f aca="false">N70*Annahmen!$B$104</f>
        <v>300</v>
      </c>
      <c r="P70" s="15" t="n">
        <f aca="false">IF($A70&gt;=Annahmen!$C$82,Annahmen!$C$94,0)</f>
        <v>0</v>
      </c>
      <c r="Q70" s="23" t="n">
        <f aca="false">P70*Annahmen!$B$105</f>
        <v>0</v>
      </c>
      <c r="R70" s="17" t="n">
        <f aca="false">IF($A70&gt;=Annahmen!$C$82,Annahmen!$C$95,0)</f>
        <v>1</v>
      </c>
      <c r="S70" s="23" t="n">
        <f aca="false">R70*Annahmen!$B$106</f>
        <v>49</v>
      </c>
      <c r="T70" s="23" t="n">
        <f aca="false">E70+G70+I70+K70+M70+O70+Q70+S70</f>
        <v>2163.91806451613</v>
      </c>
      <c r="U70" s="23" t="n">
        <f aca="false">C70*Annahmen!$B$51+F70*Annahmen!$C$87*Annahmen!$B$47+H70*(Annahmen!$B$45+Annahmen!$C$89*(Annahmen!$B$47-Annahmen!$B$45))+J70*Annahmen!$B$48+L70*Annahmen!$B$49+(N70+P70)*Annahmen!$B$50</f>
        <v>37.5962854553319</v>
      </c>
      <c r="V70" s="23" t="n">
        <f aca="false">SUMPRODUCT((((Annahmen!$C$145:$C$155="monatlich")*(Annahmen!$D$145:$D$155&lt;=$A70))+((Annahmen!$C$145:$C$155="einmalig")*(Annahmen!$D$145:$D$155=$A70)))*Annahmen!$B$145:$B$155*Annahmen!$F$145:$F$155)</f>
        <v>50.8275708031806</v>
      </c>
      <c r="W70" s="23" t="n">
        <f aca="false">Annahmen!$C$135</f>
        <v>150</v>
      </c>
      <c r="X70" s="17" t="n">
        <f aca="false">C70+F70*Annahmen!$C$87+H70+J70+L70/Annahmen!$B$46+(N70+P70)/(Annahmen!$B$23/Annahmen!$B$24)</f>
        <v>4.3375</v>
      </c>
      <c r="Y70" s="35" t="n">
        <f aca="false">MAX(0,(X70-Annahmen!$B$140)/Annahmen!$B$141)</f>
        <v>0</v>
      </c>
      <c r="Z70" s="23" t="n">
        <f aca="false">Y70*Annahmen!$B$137</f>
        <v>0</v>
      </c>
      <c r="AA70" s="23" t="n">
        <f aca="false">T70-U70-V70-W70-Z70</f>
        <v>1925.49420825762</v>
      </c>
      <c r="AB70" s="23" t="n">
        <f aca="false">AB69+AA70</f>
        <v>36891.2369827402</v>
      </c>
      <c r="AC70" s="7" t="n">
        <f aca="false">IF(AA70&gt;0,1,0)</f>
        <v>1</v>
      </c>
      <c r="AD70" s="7" t="n">
        <f aca="false">IF(AB70&gt;=0,1,0)</f>
        <v>1</v>
      </c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customFormat="false" ht="15" hidden="false" customHeight="false" outlineLevel="0" collapsed="false">
      <c r="A74" s="5" t="str">
        <f aca="false">"Szenario stark – "&amp;Annahmen!$D$133</f>
        <v>Szenario stark – skalierbares Business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2"/>
      <c r="AD74" s="2"/>
    </row>
    <row r="75" customFormat="false" ht="42" hidden="false" customHeight="true" outlineLevel="0" collapsed="false">
      <c r="A75" s="34" t="s">
        <v>96</v>
      </c>
      <c r="B75" s="34" t="s">
        <v>323</v>
      </c>
      <c r="C75" s="34" t="s">
        <v>384</v>
      </c>
      <c r="D75" s="34" t="s">
        <v>385</v>
      </c>
      <c r="E75" s="34" t="s">
        <v>386</v>
      </c>
      <c r="F75" s="34" t="s">
        <v>387</v>
      </c>
      <c r="G75" s="34" t="s">
        <v>388</v>
      </c>
      <c r="H75" s="34" t="s">
        <v>389</v>
      </c>
      <c r="I75" s="34" t="s">
        <v>390</v>
      </c>
      <c r="J75" s="34" t="s">
        <v>391</v>
      </c>
      <c r="K75" s="34" t="s">
        <v>392</v>
      </c>
      <c r="L75" s="34" t="s">
        <v>393</v>
      </c>
      <c r="M75" s="34" t="s">
        <v>394</v>
      </c>
      <c r="N75" s="34" t="s">
        <v>395</v>
      </c>
      <c r="O75" s="34" t="s">
        <v>396</v>
      </c>
      <c r="P75" s="34" t="s">
        <v>397</v>
      </c>
      <c r="Q75" s="34" t="s">
        <v>398</v>
      </c>
      <c r="R75" s="34" t="s">
        <v>399</v>
      </c>
      <c r="S75" s="34" t="s">
        <v>400</v>
      </c>
      <c r="T75" s="34" t="s">
        <v>401</v>
      </c>
      <c r="U75" s="34" t="s">
        <v>402</v>
      </c>
      <c r="V75" s="34" t="s">
        <v>342</v>
      </c>
      <c r="W75" s="34" t="s">
        <v>343</v>
      </c>
      <c r="X75" s="34" t="s">
        <v>403</v>
      </c>
      <c r="Y75" s="34" t="s">
        <v>344</v>
      </c>
      <c r="Z75" s="34" t="s">
        <v>345</v>
      </c>
      <c r="AA75" s="34" t="s">
        <v>346</v>
      </c>
      <c r="AB75" s="34" t="s">
        <v>347</v>
      </c>
      <c r="AC75" s="34" t="s">
        <v>348</v>
      </c>
      <c r="AD75" s="34" t="s">
        <v>349</v>
      </c>
    </row>
    <row r="76" customFormat="false" ht="15" hidden="false" customHeight="false" outlineLevel="0" collapsed="false">
      <c r="A76" s="7" t="n">
        <v>1</v>
      </c>
      <c r="B76" s="7" t="s">
        <v>350</v>
      </c>
      <c r="C76" s="17" t="n">
        <f aca="false">IF($A76&gt;=Annahmen!$D$82,Annahmen!$D$83,0)</f>
        <v>0</v>
      </c>
      <c r="D76" s="17" t="n">
        <f aca="false">C76*Annahmen!$D$84</f>
        <v>0</v>
      </c>
      <c r="E76" s="23" t="n">
        <f aca="false">(C76-D76)*Annahmen!$B$96</f>
        <v>0</v>
      </c>
      <c r="F76" s="17" t="n">
        <f aca="false">IF($A76&gt;Annahmen!$B$86,INDEX($C$76:$C$99,$A76-Annahmen!$B$86)*Annahmen!$D$85,0)</f>
        <v>0</v>
      </c>
      <c r="G76" s="23" t="n">
        <f aca="false">F76*(Annahmen!$D$87*(Annahmen!$B$97+Annahmen!$B$98)-Annahmen!$B$96*(1-Annahmen!$D$84))</f>
        <v>0</v>
      </c>
      <c r="H76" s="17" t="n">
        <f aca="false">IF($A76&gt;=Annahmen!$D$82,Annahmen!$D$88,0)</f>
        <v>0</v>
      </c>
      <c r="I76" s="23" t="n">
        <f aca="false">H76*(Annahmen!$B$97+Annahmen!$D$89*Annahmen!$B$98)</f>
        <v>0</v>
      </c>
      <c r="J76" s="17" t="n">
        <f aca="false">IF($A76&gt;=Annahmen!$D$82,Annahmen!$D$90,0)</f>
        <v>0</v>
      </c>
      <c r="K76" s="23" t="n">
        <f aca="false">J76*(Annahmen!$B$99+Annahmen!$B$91*Annahmen!$B$102)</f>
        <v>0</v>
      </c>
      <c r="L76" s="17" t="n">
        <f aca="false">IF($A76&gt;=Annahmen!$D$82,Annahmen!$D$92,0)</f>
        <v>0</v>
      </c>
      <c r="M76" s="23" t="n">
        <f aca="false">L76*Annahmen!$B$103</f>
        <v>0</v>
      </c>
      <c r="N76" s="15" t="n">
        <f aca="false">IF($A76&gt;=Annahmen!$D$82,Annahmen!$D$93,0)</f>
        <v>0</v>
      </c>
      <c r="O76" s="23" t="n">
        <f aca="false">N76*Annahmen!$B$104</f>
        <v>0</v>
      </c>
      <c r="P76" s="15" t="n">
        <f aca="false">IF($A76&gt;=Annahmen!$D$82,Annahmen!$D$94,0)</f>
        <v>0</v>
      </c>
      <c r="Q76" s="23" t="n">
        <f aca="false">P76*Annahmen!$B$105</f>
        <v>0</v>
      </c>
      <c r="R76" s="17" t="n">
        <f aca="false">IF($A76&gt;=Annahmen!$D$82,Annahmen!$D$95,0)</f>
        <v>0</v>
      </c>
      <c r="S76" s="23" t="n">
        <f aca="false">R76*Annahmen!$B$106</f>
        <v>0</v>
      </c>
      <c r="T76" s="23" t="n">
        <f aca="false">E76+G76+I76+K76+M76+O76+Q76+S76</f>
        <v>0</v>
      </c>
      <c r="U76" s="23" t="n">
        <f aca="false">C76*Annahmen!$B$51+F76*Annahmen!$D$87*Annahmen!$B$47+H76*(Annahmen!$B$45+Annahmen!$D$89*(Annahmen!$B$47-Annahmen!$B$45))+J76*Annahmen!$B$48+L76*Annahmen!$B$49+(N76+P76)*Annahmen!$B$50</f>
        <v>0</v>
      </c>
      <c r="V76" s="23" t="n">
        <f aca="false">SUMPRODUCT((((Annahmen!$C$145:$C$155="monatlich")*(Annahmen!$D$145:$D$155&lt;=$A76))+((Annahmen!$C$145:$C$155="einmalig")*(Annahmen!$D$145:$D$155=$A76)))*Annahmen!$B$145:$B$155*Annahmen!$F$145:$F$155)</f>
        <v>213.227570803181</v>
      </c>
      <c r="W76" s="23" t="n">
        <f aca="false">Annahmen!$D$135</f>
        <v>400</v>
      </c>
      <c r="X76" s="17" t="n">
        <f aca="false">C76+F76*Annahmen!$D$87+H76+J76+L76/Annahmen!$B$46+(N76+P76)/(Annahmen!$B$23/Annahmen!$B$24)</f>
        <v>0</v>
      </c>
      <c r="Y76" s="35" t="n">
        <f aca="false">MAX(0,(X76-Annahmen!$B$140)/Annahmen!$B$141)</f>
        <v>0</v>
      </c>
      <c r="Z76" s="23" t="n">
        <f aca="false">Y76*Annahmen!$B$137</f>
        <v>0</v>
      </c>
      <c r="AA76" s="23" t="n">
        <f aca="false">T76-U76-V76-W76-Z76</f>
        <v>-613.227570803181</v>
      </c>
      <c r="AB76" s="23" t="n">
        <f aca="false">AA76</f>
        <v>-613.227570803181</v>
      </c>
      <c r="AC76" s="7" t="n">
        <f aca="false">IF(AA76&gt;0,1,0)</f>
        <v>0</v>
      </c>
      <c r="AD76" s="7" t="n">
        <f aca="false">IF(AB76&gt;=0,1,0)</f>
        <v>0</v>
      </c>
    </row>
    <row r="77" customFormat="false" ht="15" hidden="false" customHeight="false" outlineLevel="0" collapsed="false">
      <c r="A77" s="7" t="n">
        <v>2</v>
      </c>
      <c r="B77" s="7" t="s">
        <v>351</v>
      </c>
      <c r="C77" s="17" t="n">
        <f aca="false">IF($A77&gt;=Annahmen!$D$82,Annahmen!$D$83,0)</f>
        <v>0</v>
      </c>
      <c r="D77" s="17" t="n">
        <f aca="false">C77*Annahmen!$D$84</f>
        <v>0</v>
      </c>
      <c r="E77" s="23" t="n">
        <f aca="false">(C77-D77)*Annahmen!$B$96</f>
        <v>0</v>
      </c>
      <c r="F77" s="17" t="n">
        <f aca="false">IF($A77&gt;Annahmen!$B$86,INDEX($C$76:$C$99,$A77-Annahmen!$B$86)*Annahmen!$D$85,0)</f>
        <v>0</v>
      </c>
      <c r="G77" s="23" t="n">
        <f aca="false">F77*(Annahmen!$D$87*(Annahmen!$B$97+Annahmen!$B$98)-Annahmen!$B$96*(1-Annahmen!$D$84))</f>
        <v>0</v>
      </c>
      <c r="H77" s="17" t="n">
        <f aca="false">IF($A77&gt;=Annahmen!$D$82,Annahmen!$D$88,0)</f>
        <v>0</v>
      </c>
      <c r="I77" s="23" t="n">
        <f aca="false">H77*(Annahmen!$B$97+Annahmen!$D$89*Annahmen!$B$98)</f>
        <v>0</v>
      </c>
      <c r="J77" s="17" t="n">
        <f aca="false">IF($A77&gt;=Annahmen!$D$82,Annahmen!$D$90,0)</f>
        <v>0</v>
      </c>
      <c r="K77" s="23" t="n">
        <f aca="false">J77*(Annahmen!$B$99+Annahmen!$B$91*Annahmen!$B$102)</f>
        <v>0</v>
      </c>
      <c r="L77" s="17" t="n">
        <f aca="false">IF($A77&gt;=Annahmen!$D$82,Annahmen!$D$92,0)</f>
        <v>0</v>
      </c>
      <c r="M77" s="23" t="n">
        <f aca="false">L77*Annahmen!$B$103</f>
        <v>0</v>
      </c>
      <c r="N77" s="15" t="n">
        <f aca="false">IF($A77&gt;=Annahmen!$D$82,Annahmen!$D$93,0)</f>
        <v>0</v>
      </c>
      <c r="O77" s="23" t="n">
        <f aca="false">N77*Annahmen!$B$104</f>
        <v>0</v>
      </c>
      <c r="P77" s="15" t="n">
        <f aca="false">IF($A77&gt;=Annahmen!$D$82,Annahmen!$D$94,0)</f>
        <v>0</v>
      </c>
      <c r="Q77" s="23" t="n">
        <f aca="false">P77*Annahmen!$B$105</f>
        <v>0</v>
      </c>
      <c r="R77" s="17" t="n">
        <f aca="false">IF($A77&gt;=Annahmen!$D$82,Annahmen!$D$95,0)</f>
        <v>0</v>
      </c>
      <c r="S77" s="23" t="n">
        <f aca="false">R77*Annahmen!$B$106</f>
        <v>0</v>
      </c>
      <c r="T77" s="23" t="n">
        <f aca="false">E77+G77+I77+K77+M77+O77+Q77+S77</f>
        <v>0</v>
      </c>
      <c r="U77" s="23" t="n">
        <f aca="false">C77*Annahmen!$B$51+F77*Annahmen!$D$87*Annahmen!$B$47+H77*(Annahmen!$B$45+Annahmen!$D$89*(Annahmen!$B$47-Annahmen!$B$45))+J77*Annahmen!$B$48+L77*Annahmen!$B$49+(N77+P77)*Annahmen!$B$50</f>
        <v>0</v>
      </c>
      <c r="V77" s="23" t="n">
        <f aca="false">SUMPRODUCT((((Annahmen!$C$145:$C$155="monatlich")*(Annahmen!$D$145:$D$155&lt;=$A77))+((Annahmen!$C$145:$C$155="einmalig")*(Annahmen!$D$145:$D$155=$A77)))*Annahmen!$B$145:$B$155*Annahmen!$F$145:$F$155)</f>
        <v>50.8275708031806</v>
      </c>
      <c r="W77" s="23" t="n">
        <f aca="false">Annahmen!$D$135</f>
        <v>400</v>
      </c>
      <c r="X77" s="17" t="n">
        <f aca="false">C77+F77*Annahmen!$D$87+H77+J77+L77/Annahmen!$B$46+(N77+P77)/(Annahmen!$B$23/Annahmen!$B$24)</f>
        <v>0</v>
      </c>
      <c r="Y77" s="35" t="n">
        <f aca="false">MAX(0,(X77-Annahmen!$B$140)/Annahmen!$B$141)</f>
        <v>0</v>
      </c>
      <c r="Z77" s="23" t="n">
        <f aca="false">Y77*Annahmen!$B$137</f>
        <v>0</v>
      </c>
      <c r="AA77" s="23" t="n">
        <f aca="false">T77-U77-V77-W77-Z77</f>
        <v>-450.827570803181</v>
      </c>
      <c r="AB77" s="23" t="n">
        <f aca="false">AB76+AA77</f>
        <v>-1064.05514160636</v>
      </c>
      <c r="AC77" s="7" t="n">
        <f aca="false">IF(AA77&gt;0,1,0)</f>
        <v>0</v>
      </c>
      <c r="AD77" s="7" t="n">
        <f aca="false">IF(AB77&gt;=0,1,0)</f>
        <v>0</v>
      </c>
    </row>
    <row r="78" customFormat="false" ht="15" hidden="false" customHeight="false" outlineLevel="0" collapsed="false">
      <c r="A78" s="7" t="n">
        <v>3</v>
      </c>
      <c r="B78" s="7" t="s">
        <v>352</v>
      </c>
      <c r="C78" s="17" t="n">
        <f aca="false">IF($A78&gt;=Annahmen!$D$82,Annahmen!$D$83,0)</f>
        <v>1.5</v>
      </c>
      <c r="D78" s="17" t="n">
        <f aca="false">C78*Annahmen!$D$84</f>
        <v>0.3</v>
      </c>
      <c r="E78" s="23" t="n">
        <f aca="false">(C78-D78)*Annahmen!$B$96</f>
        <v>588</v>
      </c>
      <c r="F78" s="17" t="n">
        <f aca="false">IF($A78&gt;Annahmen!$B$86,INDEX($C$76:$C$99,$A78-Annahmen!$B$86)*Annahmen!$D$85,0)</f>
        <v>0</v>
      </c>
      <c r="G78" s="23" t="n">
        <f aca="false">F78*(Annahmen!$D$87*(Annahmen!$B$97+Annahmen!$B$98)-Annahmen!$B$96*(1-Annahmen!$D$84))</f>
        <v>0</v>
      </c>
      <c r="H78" s="17" t="n">
        <f aca="false">IF($A78&gt;=Annahmen!$D$82,Annahmen!$D$88,0)</f>
        <v>3</v>
      </c>
      <c r="I78" s="23" t="n">
        <f aca="false">H78*(Annahmen!$B$97+Annahmen!$D$89*Annahmen!$B$98)</f>
        <v>1149</v>
      </c>
      <c r="J78" s="17" t="n">
        <f aca="false">IF($A78&gt;=Annahmen!$D$82,Annahmen!$D$90,0)</f>
        <v>2</v>
      </c>
      <c r="K78" s="23" t="n">
        <f aca="false">J78*(Annahmen!$B$99+Annahmen!$B$91*Annahmen!$B$102)</f>
        <v>509.032258064516</v>
      </c>
      <c r="L78" s="17" t="n">
        <f aca="false">IF($A78&gt;=Annahmen!$D$82,Annahmen!$D$92,0)</f>
        <v>20</v>
      </c>
      <c r="M78" s="23" t="n">
        <f aca="false">L78*Annahmen!$B$103</f>
        <v>1780</v>
      </c>
      <c r="N78" s="15" t="n">
        <f aca="false">IF($A78&gt;=Annahmen!$D$82,Annahmen!$D$93,0)</f>
        <v>300</v>
      </c>
      <c r="O78" s="23" t="n">
        <f aca="false">N78*Annahmen!$B$104</f>
        <v>1800</v>
      </c>
      <c r="P78" s="15" t="n">
        <f aca="false">IF($A78&gt;=Annahmen!$D$82,Annahmen!$D$94,0)</f>
        <v>100</v>
      </c>
      <c r="Q78" s="23" t="n">
        <f aca="false">P78*Annahmen!$B$105</f>
        <v>400</v>
      </c>
      <c r="R78" s="17" t="n">
        <f aca="false">IF($A78&gt;=Annahmen!$D$82,Annahmen!$D$95,0)</f>
        <v>4</v>
      </c>
      <c r="S78" s="23" t="n">
        <f aca="false">R78*Annahmen!$B$106</f>
        <v>196</v>
      </c>
      <c r="T78" s="23" t="n">
        <f aca="false">E78+G78+I78+K78+M78+O78+Q78+S78</f>
        <v>6422.03225806452</v>
      </c>
      <c r="U78" s="23" t="n">
        <f aca="false">C78*Annahmen!$B$51+F78*Annahmen!$D$87*Annahmen!$B$47+H78*(Annahmen!$B$45+Annahmen!$D$89*(Annahmen!$B$47-Annahmen!$B$45))+J78*Annahmen!$B$48+L78*Annahmen!$B$49+(N78+P78)*Annahmen!$B$50</f>
        <v>82.8355446408555</v>
      </c>
      <c r="V78" s="23" t="n">
        <f aca="false">SUMPRODUCT((((Annahmen!$C$145:$C$155="monatlich")*(Annahmen!$D$145:$D$155&lt;=$A78))+((Annahmen!$C$145:$C$155="einmalig")*(Annahmen!$D$145:$D$155=$A78)))*Annahmen!$B$145:$B$155*Annahmen!$F$145:$F$155)</f>
        <v>330.827570803181</v>
      </c>
      <c r="W78" s="23" t="n">
        <f aca="false">Annahmen!$D$135</f>
        <v>400</v>
      </c>
      <c r="X78" s="17" t="n">
        <f aca="false">C78+F78*Annahmen!$D$87+H78+J78+L78/Annahmen!$B$46+(N78+P78)/(Annahmen!$B$23/Annahmen!$B$24)</f>
        <v>10.075</v>
      </c>
      <c r="Y78" s="35" t="n">
        <f aca="false">MAX(0,(X78-Annahmen!$B$140)/Annahmen!$B$141)</f>
        <v>0.138333333333333</v>
      </c>
      <c r="Z78" s="23" t="n">
        <f aca="false">Y78*Annahmen!$B$137</f>
        <v>622.5</v>
      </c>
      <c r="AA78" s="23" t="n">
        <f aca="false">T78-U78-V78-W78-Z78</f>
        <v>4985.86914262048</v>
      </c>
      <c r="AB78" s="23" t="n">
        <f aca="false">AB77+AA78</f>
        <v>3921.81400101412</v>
      </c>
      <c r="AC78" s="7" t="n">
        <f aca="false">IF(AA78&gt;0,1,0)</f>
        <v>1</v>
      </c>
      <c r="AD78" s="7" t="n">
        <f aca="false">IF(AB78&gt;=0,1,0)</f>
        <v>1</v>
      </c>
    </row>
    <row r="79" customFormat="false" ht="15" hidden="false" customHeight="false" outlineLevel="0" collapsed="false">
      <c r="A79" s="7" t="n">
        <v>4</v>
      </c>
      <c r="B79" s="7" t="s">
        <v>353</v>
      </c>
      <c r="C79" s="17" t="n">
        <f aca="false">IF($A79&gt;=Annahmen!$D$82,Annahmen!$D$83,0)</f>
        <v>1.5</v>
      </c>
      <c r="D79" s="17" t="n">
        <f aca="false">C79*Annahmen!$D$84</f>
        <v>0.3</v>
      </c>
      <c r="E79" s="23" t="n">
        <f aca="false">(C79-D79)*Annahmen!$B$96</f>
        <v>588</v>
      </c>
      <c r="F79" s="17" t="n">
        <f aca="false">IF($A79&gt;Annahmen!$B$86,INDEX($C$76:$C$99,$A79-Annahmen!$B$86)*Annahmen!$D$85,0)</f>
        <v>0</v>
      </c>
      <c r="G79" s="23" t="n">
        <f aca="false">F79*(Annahmen!$D$87*(Annahmen!$B$97+Annahmen!$B$98)-Annahmen!$B$96*(1-Annahmen!$D$84))</f>
        <v>0</v>
      </c>
      <c r="H79" s="17" t="n">
        <f aca="false">IF($A79&gt;=Annahmen!$D$82,Annahmen!$D$88,0)</f>
        <v>3</v>
      </c>
      <c r="I79" s="23" t="n">
        <f aca="false">H79*(Annahmen!$B$97+Annahmen!$D$89*Annahmen!$B$98)</f>
        <v>1149</v>
      </c>
      <c r="J79" s="17" t="n">
        <f aca="false">IF($A79&gt;=Annahmen!$D$82,Annahmen!$D$90,0)</f>
        <v>2</v>
      </c>
      <c r="K79" s="23" t="n">
        <f aca="false">J79*(Annahmen!$B$99+Annahmen!$B$91*Annahmen!$B$102)</f>
        <v>509.032258064516</v>
      </c>
      <c r="L79" s="17" t="n">
        <f aca="false">IF($A79&gt;=Annahmen!$D$82,Annahmen!$D$92,0)</f>
        <v>20</v>
      </c>
      <c r="M79" s="23" t="n">
        <f aca="false">L79*Annahmen!$B$103</f>
        <v>1780</v>
      </c>
      <c r="N79" s="15" t="n">
        <f aca="false">IF($A79&gt;=Annahmen!$D$82,Annahmen!$D$93,0)</f>
        <v>300</v>
      </c>
      <c r="O79" s="23" t="n">
        <f aca="false">N79*Annahmen!$B$104</f>
        <v>1800</v>
      </c>
      <c r="P79" s="15" t="n">
        <f aca="false">IF($A79&gt;=Annahmen!$D$82,Annahmen!$D$94,0)</f>
        <v>100</v>
      </c>
      <c r="Q79" s="23" t="n">
        <f aca="false">P79*Annahmen!$B$105</f>
        <v>400</v>
      </c>
      <c r="R79" s="17" t="n">
        <f aca="false">IF($A79&gt;=Annahmen!$D$82,Annahmen!$D$95,0)</f>
        <v>4</v>
      </c>
      <c r="S79" s="23" t="n">
        <f aca="false">R79*Annahmen!$B$106</f>
        <v>196</v>
      </c>
      <c r="T79" s="23" t="n">
        <f aca="false">E79+G79+I79+K79+M79+O79+Q79+S79</f>
        <v>6422.03225806452</v>
      </c>
      <c r="U79" s="23" t="n">
        <f aca="false">C79*Annahmen!$B$51+F79*Annahmen!$D$87*Annahmen!$B$47+H79*(Annahmen!$B$45+Annahmen!$D$89*(Annahmen!$B$47-Annahmen!$B$45))+J79*Annahmen!$B$48+L79*Annahmen!$B$49+(N79+P79)*Annahmen!$B$50</f>
        <v>82.8355446408555</v>
      </c>
      <c r="V79" s="23" t="n">
        <f aca="false">SUMPRODUCT((((Annahmen!$C$145:$C$155="monatlich")*(Annahmen!$D$145:$D$155&lt;=$A79))+((Annahmen!$C$145:$C$155="einmalig")*(Annahmen!$D$145:$D$155=$A79)))*Annahmen!$B$145:$B$155*Annahmen!$F$145:$F$155)</f>
        <v>50.8275708031806</v>
      </c>
      <c r="W79" s="23" t="n">
        <f aca="false">Annahmen!$D$135</f>
        <v>400</v>
      </c>
      <c r="X79" s="17" t="n">
        <f aca="false">C79+F79*Annahmen!$D$87+H79+J79+L79/Annahmen!$B$46+(N79+P79)/(Annahmen!$B$23/Annahmen!$B$24)</f>
        <v>10.075</v>
      </c>
      <c r="Y79" s="35" t="n">
        <f aca="false">MAX(0,(X79-Annahmen!$B$140)/Annahmen!$B$141)</f>
        <v>0.138333333333333</v>
      </c>
      <c r="Z79" s="23" t="n">
        <f aca="false">Y79*Annahmen!$B$137</f>
        <v>622.5</v>
      </c>
      <c r="AA79" s="23" t="n">
        <f aca="false">T79-U79-V79-W79-Z79</f>
        <v>5265.86914262048</v>
      </c>
      <c r="AB79" s="23" t="n">
        <f aca="false">AB78+AA79</f>
        <v>9187.6831436346</v>
      </c>
      <c r="AC79" s="7" t="n">
        <f aca="false">IF(AA79&gt;0,1,0)</f>
        <v>1</v>
      </c>
      <c r="AD79" s="7" t="n">
        <f aca="false">IF(AB79&gt;=0,1,0)</f>
        <v>1</v>
      </c>
    </row>
    <row r="80" customFormat="false" ht="15" hidden="false" customHeight="false" outlineLevel="0" collapsed="false">
      <c r="A80" s="7" t="n">
        <v>5</v>
      </c>
      <c r="B80" s="7" t="s">
        <v>354</v>
      </c>
      <c r="C80" s="17" t="n">
        <f aca="false">IF($A80&gt;=Annahmen!$D$82,Annahmen!$D$83,0)</f>
        <v>1.5</v>
      </c>
      <c r="D80" s="17" t="n">
        <f aca="false">C80*Annahmen!$D$84</f>
        <v>0.3</v>
      </c>
      <c r="E80" s="23" t="n">
        <f aca="false">(C80-D80)*Annahmen!$B$96</f>
        <v>588</v>
      </c>
      <c r="F80" s="17" t="n">
        <f aca="false">IF($A80&gt;Annahmen!$B$86,INDEX($C$76:$C$99,$A80-Annahmen!$B$86)*Annahmen!$D$85,0)</f>
        <v>0</v>
      </c>
      <c r="G80" s="23" t="n">
        <f aca="false">F80*(Annahmen!$D$87*(Annahmen!$B$97+Annahmen!$B$98)-Annahmen!$B$96*(1-Annahmen!$D$84))</f>
        <v>0</v>
      </c>
      <c r="H80" s="17" t="n">
        <f aca="false">IF($A80&gt;=Annahmen!$D$82,Annahmen!$D$88,0)</f>
        <v>3</v>
      </c>
      <c r="I80" s="23" t="n">
        <f aca="false">H80*(Annahmen!$B$97+Annahmen!$D$89*Annahmen!$B$98)</f>
        <v>1149</v>
      </c>
      <c r="J80" s="17" t="n">
        <f aca="false">IF($A80&gt;=Annahmen!$D$82,Annahmen!$D$90,0)</f>
        <v>2</v>
      </c>
      <c r="K80" s="23" t="n">
        <f aca="false">J80*(Annahmen!$B$99+Annahmen!$B$91*Annahmen!$B$102)</f>
        <v>509.032258064516</v>
      </c>
      <c r="L80" s="17" t="n">
        <f aca="false">IF($A80&gt;=Annahmen!$D$82,Annahmen!$D$92,0)</f>
        <v>20</v>
      </c>
      <c r="M80" s="23" t="n">
        <f aca="false">L80*Annahmen!$B$103</f>
        <v>1780</v>
      </c>
      <c r="N80" s="15" t="n">
        <f aca="false">IF($A80&gt;=Annahmen!$D$82,Annahmen!$D$93,0)</f>
        <v>300</v>
      </c>
      <c r="O80" s="23" t="n">
        <f aca="false">N80*Annahmen!$B$104</f>
        <v>1800</v>
      </c>
      <c r="P80" s="15" t="n">
        <f aca="false">IF($A80&gt;=Annahmen!$D$82,Annahmen!$D$94,0)</f>
        <v>100</v>
      </c>
      <c r="Q80" s="23" t="n">
        <f aca="false">P80*Annahmen!$B$105</f>
        <v>400</v>
      </c>
      <c r="R80" s="17" t="n">
        <f aca="false">IF($A80&gt;=Annahmen!$D$82,Annahmen!$D$95,0)</f>
        <v>4</v>
      </c>
      <c r="S80" s="23" t="n">
        <f aca="false">R80*Annahmen!$B$106</f>
        <v>196</v>
      </c>
      <c r="T80" s="23" t="n">
        <f aca="false">E80+G80+I80+K80+M80+O80+Q80+S80</f>
        <v>6422.03225806452</v>
      </c>
      <c r="U80" s="23" t="n">
        <f aca="false">C80*Annahmen!$B$51+F80*Annahmen!$D$87*Annahmen!$B$47+H80*(Annahmen!$B$45+Annahmen!$D$89*(Annahmen!$B$47-Annahmen!$B$45))+J80*Annahmen!$B$48+L80*Annahmen!$B$49+(N80+P80)*Annahmen!$B$50</f>
        <v>82.8355446408555</v>
      </c>
      <c r="V80" s="23" t="n">
        <f aca="false">SUMPRODUCT((((Annahmen!$C$145:$C$155="monatlich")*(Annahmen!$D$145:$D$155&lt;=$A80))+((Annahmen!$C$145:$C$155="einmalig")*(Annahmen!$D$145:$D$155=$A80)))*Annahmen!$B$145:$B$155*Annahmen!$F$145:$F$155)</f>
        <v>610.827570803181</v>
      </c>
      <c r="W80" s="23" t="n">
        <f aca="false">Annahmen!$D$135</f>
        <v>400</v>
      </c>
      <c r="X80" s="17" t="n">
        <f aca="false">C80+F80*Annahmen!$D$87+H80+J80+L80/Annahmen!$B$46+(N80+P80)/(Annahmen!$B$23/Annahmen!$B$24)</f>
        <v>10.075</v>
      </c>
      <c r="Y80" s="35" t="n">
        <f aca="false">MAX(0,(X80-Annahmen!$B$140)/Annahmen!$B$141)</f>
        <v>0.138333333333333</v>
      </c>
      <c r="Z80" s="23" t="n">
        <f aca="false">Y80*Annahmen!$B$137</f>
        <v>622.5</v>
      </c>
      <c r="AA80" s="23" t="n">
        <f aca="false">T80-U80-V80-W80-Z80</f>
        <v>4705.86914262048</v>
      </c>
      <c r="AB80" s="23" t="n">
        <f aca="false">AB79+AA80</f>
        <v>13893.5522862551</v>
      </c>
      <c r="AC80" s="7" t="n">
        <f aca="false">IF(AA80&gt;0,1,0)</f>
        <v>1</v>
      </c>
      <c r="AD80" s="7" t="n">
        <f aca="false">IF(AB80&gt;=0,1,0)</f>
        <v>1</v>
      </c>
    </row>
    <row r="81" customFormat="false" ht="15" hidden="false" customHeight="false" outlineLevel="0" collapsed="false">
      <c r="A81" s="7" t="n">
        <v>6</v>
      </c>
      <c r="B81" s="7" t="s">
        <v>355</v>
      </c>
      <c r="C81" s="17" t="n">
        <f aca="false">IF($A81&gt;=Annahmen!$D$82,Annahmen!$D$83,0)</f>
        <v>1.5</v>
      </c>
      <c r="D81" s="17" t="n">
        <f aca="false">C81*Annahmen!$D$84</f>
        <v>0.3</v>
      </c>
      <c r="E81" s="23" t="n">
        <f aca="false">(C81-D81)*Annahmen!$B$96</f>
        <v>588</v>
      </c>
      <c r="F81" s="17" t="n">
        <f aca="false">IF($A81&gt;Annahmen!$B$86,INDEX($C$76:$C$99,$A81-Annahmen!$B$86)*Annahmen!$D$85,0)</f>
        <v>0.75</v>
      </c>
      <c r="G81" s="23" t="n">
        <f aca="false">F81*(Annahmen!$D$87*(Annahmen!$B$97+Annahmen!$B$98)-Annahmen!$B$96*(1-Annahmen!$D$84))</f>
        <v>2940</v>
      </c>
      <c r="H81" s="17" t="n">
        <f aca="false">IF($A81&gt;=Annahmen!$D$82,Annahmen!$D$88,0)</f>
        <v>3</v>
      </c>
      <c r="I81" s="23" t="n">
        <f aca="false">H81*(Annahmen!$B$97+Annahmen!$D$89*Annahmen!$B$98)</f>
        <v>1149</v>
      </c>
      <c r="J81" s="17" t="n">
        <f aca="false">IF($A81&gt;=Annahmen!$D$82,Annahmen!$D$90,0)</f>
        <v>2</v>
      </c>
      <c r="K81" s="23" t="n">
        <f aca="false">J81*(Annahmen!$B$99+Annahmen!$B$91*Annahmen!$B$102)</f>
        <v>509.032258064516</v>
      </c>
      <c r="L81" s="17" t="n">
        <f aca="false">IF($A81&gt;=Annahmen!$D$82,Annahmen!$D$92,0)</f>
        <v>20</v>
      </c>
      <c r="M81" s="23" t="n">
        <f aca="false">L81*Annahmen!$B$103</f>
        <v>1780</v>
      </c>
      <c r="N81" s="15" t="n">
        <f aca="false">IF($A81&gt;=Annahmen!$D$82,Annahmen!$D$93,0)</f>
        <v>300</v>
      </c>
      <c r="O81" s="23" t="n">
        <f aca="false">N81*Annahmen!$B$104</f>
        <v>1800</v>
      </c>
      <c r="P81" s="15" t="n">
        <f aca="false">IF($A81&gt;=Annahmen!$D$82,Annahmen!$D$94,0)</f>
        <v>100</v>
      </c>
      <c r="Q81" s="23" t="n">
        <f aca="false">P81*Annahmen!$B$105</f>
        <v>400</v>
      </c>
      <c r="R81" s="17" t="n">
        <f aca="false">IF($A81&gt;=Annahmen!$D$82,Annahmen!$D$95,0)</f>
        <v>4</v>
      </c>
      <c r="S81" s="23" t="n">
        <f aca="false">R81*Annahmen!$B$106</f>
        <v>196</v>
      </c>
      <c r="T81" s="23" t="n">
        <f aca="false">E81+G81+I81+K81+M81+O81+Q81+S81</f>
        <v>9362.03225806452</v>
      </c>
      <c r="U81" s="23" t="n">
        <f aca="false">C81*Annahmen!$B$51+F81*Annahmen!$D$87*Annahmen!$B$47+H81*(Annahmen!$B$45+Annahmen!$D$89*(Annahmen!$B$47-Annahmen!$B$45))+J81*Annahmen!$B$48+L81*Annahmen!$B$49+(N81+P81)*Annahmen!$B$50</f>
        <v>134.866004269115</v>
      </c>
      <c r="V81" s="23" t="n">
        <f aca="false">SUMPRODUCT((((Annahmen!$C$145:$C$155="monatlich")*(Annahmen!$D$145:$D$155&lt;=$A81))+((Annahmen!$C$145:$C$155="einmalig")*(Annahmen!$D$145:$D$155=$A81)))*Annahmen!$B$145:$B$155*Annahmen!$F$145:$F$155)</f>
        <v>50.8275708031806</v>
      </c>
      <c r="W81" s="23" t="n">
        <f aca="false">Annahmen!$D$135</f>
        <v>400</v>
      </c>
      <c r="X81" s="17" t="n">
        <f aca="false">C81+F81*Annahmen!$D$87+H81+J81+L81/Annahmen!$B$46+(N81+P81)/(Annahmen!$B$23/Annahmen!$B$24)</f>
        <v>16.075</v>
      </c>
      <c r="Y81" s="35" t="n">
        <f aca="false">MAX(0,(X81-Annahmen!$B$140)/Annahmen!$B$141)</f>
        <v>0.538333333333333</v>
      </c>
      <c r="Z81" s="23" t="n">
        <f aca="false">Y81*Annahmen!$B$137</f>
        <v>2422.5</v>
      </c>
      <c r="AA81" s="23" t="n">
        <f aca="false">T81-U81-V81-W81-Z81</f>
        <v>6353.83868299222</v>
      </c>
      <c r="AB81" s="23" t="n">
        <f aca="false">AB80+AA81</f>
        <v>20247.3909692473</v>
      </c>
      <c r="AC81" s="7" t="n">
        <f aca="false">IF(AA81&gt;0,1,0)</f>
        <v>1</v>
      </c>
      <c r="AD81" s="7" t="n">
        <f aca="false">IF(AB81&gt;=0,1,0)</f>
        <v>1</v>
      </c>
    </row>
    <row r="82" customFormat="false" ht="15" hidden="false" customHeight="false" outlineLevel="0" collapsed="false">
      <c r="A82" s="7" t="n">
        <v>7</v>
      </c>
      <c r="B82" s="7" t="s">
        <v>356</v>
      </c>
      <c r="C82" s="17" t="n">
        <f aca="false">IF($A82&gt;=Annahmen!$D$82,Annahmen!$D$83,0)</f>
        <v>1.5</v>
      </c>
      <c r="D82" s="17" t="n">
        <f aca="false">C82*Annahmen!$D$84</f>
        <v>0.3</v>
      </c>
      <c r="E82" s="23" t="n">
        <f aca="false">(C82-D82)*Annahmen!$B$96</f>
        <v>588</v>
      </c>
      <c r="F82" s="17" t="n">
        <f aca="false">IF($A82&gt;Annahmen!$B$86,INDEX($C$76:$C$99,$A82-Annahmen!$B$86)*Annahmen!$D$85,0)</f>
        <v>0.75</v>
      </c>
      <c r="G82" s="23" t="n">
        <f aca="false">F82*(Annahmen!$D$87*(Annahmen!$B$97+Annahmen!$B$98)-Annahmen!$B$96*(1-Annahmen!$D$84))</f>
        <v>2940</v>
      </c>
      <c r="H82" s="17" t="n">
        <f aca="false">IF($A82&gt;=Annahmen!$D$82,Annahmen!$D$88,0)</f>
        <v>3</v>
      </c>
      <c r="I82" s="23" t="n">
        <f aca="false">H82*(Annahmen!$B$97+Annahmen!$D$89*Annahmen!$B$98)</f>
        <v>1149</v>
      </c>
      <c r="J82" s="17" t="n">
        <f aca="false">IF($A82&gt;=Annahmen!$D$82,Annahmen!$D$90,0)</f>
        <v>2</v>
      </c>
      <c r="K82" s="23" t="n">
        <f aca="false">J82*(Annahmen!$B$99+Annahmen!$B$91*Annahmen!$B$102)</f>
        <v>509.032258064516</v>
      </c>
      <c r="L82" s="17" t="n">
        <f aca="false">IF($A82&gt;=Annahmen!$D$82,Annahmen!$D$92,0)</f>
        <v>20</v>
      </c>
      <c r="M82" s="23" t="n">
        <f aca="false">L82*Annahmen!$B$103</f>
        <v>1780</v>
      </c>
      <c r="N82" s="15" t="n">
        <f aca="false">IF($A82&gt;=Annahmen!$D$82,Annahmen!$D$93,0)</f>
        <v>300</v>
      </c>
      <c r="O82" s="23" t="n">
        <f aca="false">N82*Annahmen!$B$104</f>
        <v>1800</v>
      </c>
      <c r="P82" s="15" t="n">
        <f aca="false">IF($A82&gt;=Annahmen!$D$82,Annahmen!$D$94,0)</f>
        <v>100</v>
      </c>
      <c r="Q82" s="23" t="n">
        <f aca="false">P82*Annahmen!$B$105</f>
        <v>400</v>
      </c>
      <c r="R82" s="17" t="n">
        <f aca="false">IF($A82&gt;=Annahmen!$D$82,Annahmen!$D$95,0)</f>
        <v>4</v>
      </c>
      <c r="S82" s="23" t="n">
        <f aca="false">R82*Annahmen!$B$106</f>
        <v>196</v>
      </c>
      <c r="T82" s="23" t="n">
        <f aca="false">E82+G82+I82+K82+M82+O82+Q82+S82</f>
        <v>9362.03225806452</v>
      </c>
      <c r="U82" s="23" t="n">
        <f aca="false">C82*Annahmen!$B$51+F82*Annahmen!$D$87*Annahmen!$B$47+H82*(Annahmen!$B$45+Annahmen!$D$89*(Annahmen!$B$47-Annahmen!$B$45))+J82*Annahmen!$B$48+L82*Annahmen!$B$49+(N82+P82)*Annahmen!$B$50</f>
        <v>134.866004269115</v>
      </c>
      <c r="V82" s="23" t="n">
        <f aca="false">SUMPRODUCT((((Annahmen!$C$145:$C$155="monatlich")*(Annahmen!$D$145:$D$155&lt;=$A82))+((Annahmen!$C$145:$C$155="einmalig")*(Annahmen!$D$145:$D$155=$A82)))*Annahmen!$B$145:$B$155*Annahmen!$F$145:$F$155)</f>
        <v>50.8275708031806</v>
      </c>
      <c r="W82" s="23" t="n">
        <f aca="false">Annahmen!$D$135</f>
        <v>400</v>
      </c>
      <c r="X82" s="17" t="n">
        <f aca="false">C82+F82*Annahmen!$D$87+H82+J82+L82/Annahmen!$B$46+(N82+P82)/(Annahmen!$B$23/Annahmen!$B$24)</f>
        <v>16.075</v>
      </c>
      <c r="Y82" s="35" t="n">
        <f aca="false">MAX(0,(X82-Annahmen!$B$140)/Annahmen!$B$141)</f>
        <v>0.538333333333333</v>
      </c>
      <c r="Z82" s="23" t="n">
        <f aca="false">Y82*Annahmen!$B$137</f>
        <v>2422.5</v>
      </c>
      <c r="AA82" s="23" t="n">
        <f aca="false">T82-U82-V82-W82-Z82</f>
        <v>6353.83868299222</v>
      </c>
      <c r="AB82" s="23" t="n">
        <f aca="false">AB81+AA82</f>
        <v>26601.2296522395</v>
      </c>
      <c r="AC82" s="7" t="n">
        <f aca="false">IF(AA82&gt;0,1,0)</f>
        <v>1</v>
      </c>
      <c r="AD82" s="7" t="n">
        <f aca="false">IF(AB82&gt;=0,1,0)</f>
        <v>1</v>
      </c>
    </row>
    <row r="83" customFormat="false" ht="15" hidden="false" customHeight="false" outlineLevel="0" collapsed="false">
      <c r="A83" s="7" t="n">
        <v>8</v>
      </c>
      <c r="B83" s="7" t="s">
        <v>357</v>
      </c>
      <c r="C83" s="17" t="n">
        <f aca="false">IF($A83&gt;=Annahmen!$D$82,Annahmen!$D$83,0)</f>
        <v>1.5</v>
      </c>
      <c r="D83" s="17" t="n">
        <f aca="false">C83*Annahmen!$D$84</f>
        <v>0.3</v>
      </c>
      <c r="E83" s="23" t="n">
        <f aca="false">(C83-D83)*Annahmen!$B$96</f>
        <v>588</v>
      </c>
      <c r="F83" s="17" t="n">
        <f aca="false">IF($A83&gt;Annahmen!$B$86,INDEX($C$76:$C$99,$A83-Annahmen!$B$86)*Annahmen!$D$85,0)</f>
        <v>0.75</v>
      </c>
      <c r="G83" s="23" t="n">
        <f aca="false">F83*(Annahmen!$D$87*(Annahmen!$B$97+Annahmen!$B$98)-Annahmen!$B$96*(1-Annahmen!$D$84))</f>
        <v>2940</v>
      </c>
      <c r="H83" s="17" t="n">
        <f aca="false">IF($A83&gt;=Annahmen!$D$82,Annahmen!$D$88,0)</f>
        <v>3</v>
      </c>
      <c r="I83" s="23" t="n">
        <f aca="false">H83*(Annahmen!$B$97+Annahmen!$D$89*Annahmen!$B$98)</f>
        <v>1149</v>
      </c>
      <c r="J83" s="17" t="n">
        <f aca="false">IF($A83&gt;=Annahmen!$D$82,Annahmen!$D$90,0)</f>
        <v>2</v>
      </c>
      <c r="K83" s="23" t="n">
        <f aca="false">J83*(Annahmen!$B$99+Annahmen!$B$91*Annahmen!$B$102)</f>
        <v>509.032258064516</v>
      </c>
      <c r="L83" s="17" t="n">
        <f aca="false">IF($A83&gt;=Annahmen!$D$82,Annahmen!$D$92,0)</f>
        <v>20</v>
      </c>
      <c r="M83" s="23" t="n">
        <f aca="false">L83*Annahmen!$B$103</f>
        <v>1780</v>
      </c>
      <c r="N83" s="15" t="n">
        <f aca="false">IF($A83&gt;=Annahmen!$D$82,Annahmen!$D$93,0)</f>
        <v>300</v>
      </c>
      <c r="O83" s="23" t="n">
        <f aca="false">N83*Annahmen!$B$104</f>
        <v>1800</v>
      </c>
      <c r="P83" s="15" t="n">
        <f aca="false">IF($A83&gt;=Annahmen!$D$82,Annahmen!$D$94,0)</f>
        <v>100</v>
      </c>
      <c r="Q83" s="23" t="n">
        <f aca="false">P83*Annahmen!$B$105</f>
        <v>400</v>
      </c>
      <c r="R83" s="17" t="n">
        <f aca="false">IF($A83&gt;=Annahmen!$D$82,Annahmen!$D$95,0)</f>
        <v>4</v>
      </c>
      <c r="S83" s="23" t="n">
        <f aca="false">R83*Annahmen!$B$106</f>
        <v>196</v>
      </c>
      <c r="T83" s="23" t="n">
        <f aca="false">E83+G83+I83+K83+M83+O83+Q83+S83</f>
        <v>9362.03225806452</v>
      </c>
      <c r="U83" s="23" t="n">
        <f aca="false">C83*Annahmen!$B$51+F83*Annahmen!$D$87*Annahmen!$B$47+H83*(Annahmen!$B$45+Annahmen!$D$89*(Annahmen!$B$47-Annahmen!$B$45))+J83*Annahmen!$B$48+L83*Annahmen!$B$49+(N83+P83)*Annahmen!$B$50</f>
        <v>134.866004269115</v>
      </c>
      <c r="V83" s="23" t="n">
        <f aca="false">SUMPRODUCT((((Annahmen!$C$145:$C$155="monatlich")*(Annahmen!$D$145:$D$155&lt;=$A83))+((Annahmen!$C$145:$C$155="einmalig")*(Annahmen!$D$145:$D$155=$A83)))*Annahmen!$B$145:$B$155*Annahmen!$F$145:$F$155)</f>
        <v>50.8275708031806</v>
      </c>
      <c r="W83" s="23" t="n">
        <f aca="false">Annahmen!$D$135</f>
        <v>400</v>
      </c>
      <c r="X83" s="17" t="n">
        <f aca="false">C83+F83*Annahmen!$D$87+H83+J83+L83/Annahmen!$B$46+(N83+P83)/(Annahmen!$B$23/Annahmen!$B$24)</f>
        <v>16.075</v>
      </c>
      <c r="Y83" s="35" t="n">
        <f aca="false">MAX(0,(X83-Annahmen!$B$140)/Annahmen!$B$141)</f>
        <v>0.538333333333333</v>
      </c>
      <c r="Z83" s="23" t="n">
        <f aca="false">Y83*Annahmen!$B$137</f>
        <v>2422.5</v>
      </c>
      <c r="AA83" s="23" t="n">
        <f aca="false">T83-U83-V83-W83-Z83</f>
        <v>6353.83868299222</v>
      </c>
      <c r="AB83" s="23" t="n">
        <f aca="false">AB82+AA83</f>
        <v>32955.0683352317</v>
      </c>
      <c r="AC83" s="7" t="n">
        <f aca="false">IF(AA83&gt;0,1,0)</f>
        <v>1</v>
      </c>
      <c r="AD83" s="7" t="n">
        <f aca="false">IF(AB83&gt;=0,1,0)</f>
        <v>1</v>
      </c>
    </row>
    <row r="84" customFormat="false" ht="15" hidden="false" customHeight="false" outlineLevel="0" collapsed="false">
      <c r="A84" s="7" t="n">
        <v>9</v>
      </c>
      <c r="B84" s="7" t="s">
        <v>358</v>
      </c>
      <c r="C84" s="17" t="n">
        <f aca="false">IF($A84&gt;=Annahmen!$D$82,Annahmen!$D$83,0)</f>
        <v>1.5</v>
      </c>
      <c r="D84" s="17" t="n">
        <f aca="false">C84*Annahmen!$D$84</f>
        <v>0.3</v>
      </c>
      <c r="E84" s="23" t="n">
        <f aca="false">(C84-D84)*Annahmen!$B$96</f>
        <v>588</v>
      </c>
      <c r="F84" s="17" t="n">
        <f aca="false">IF($A84&gt;Annahmen!$B$86,INDEX($C$76:$C$99,$A84-Annahmen!$B$86)*Annahmen!$D$85,0)</f>
        <v>0.75</v>
      </c>
      <c r="G84" s="23" t="n">
        <f aca="false">F84*(Annahmen!$D$87*(Annahmen!$B$97+Annahmen!$B$98)-Annahmen!$B$96*(1-Annahmen!$D$84))</f>
        <v>2940</v>
      </c>
      <c r="H84" s="17" t="n">
        <f aca="false">IF($A84&gt;=Annahmen!$D$82,Annahmen!$D$88,0)</f>
        <v>3</v>
      </c>
      <c r="I84" s="23" t="n">
        <f aca="false">H84*(Annahmen!$B$97+Annahmen!$D$89*Annahmen!$B$98)</f>
        <v>1149</v>
      </c>
      <c r="J84" s="17" t="n">
        <f aca="false">IF($A84&gt;=Annahmen!$D$82,Annahmen!$D$90,0)</f>
        <v>2</v>
      </c>
      <c r="K84" s="23" t="n">
        <f aca="false">J84*(Annahmen!$B$99+Annahmen!$B$91*Annahmen!$B$102)</f>
        <v>509.032258064516</v>
      </c>
      <c r="L84" s="17" t="n">
        <f aca="false">IF($A84&gt;=Annahmen!$D$82,Annahmen!$D$92,0)</f>
        <v>20</v>
      </c>
      <c r="M84" s="23" t="n">
        <f aca="false">L84*Annahmen!$B$103</f>
        <v>1780</v>
      </c>
      <c r="N84" s="15" t="n">
        <f aca="false">IF($A84&gt;=Annahmen!$D$82,Annahmen!$D$93,0)</f>
        <v>300</v>
      </c>
      <c r="O84" s="23" t="n">
        <f aca="false">N84*Annahmen!$B$104</f>
        <v>1800</v>
      </c>
      <c r="P84" s="15" t="n">
        <f aca="false">IF($A84&gt;=Annahmen!$D$82,Annahmen!$D$94,0)</f>
        <v>100</v>
      </c>
      <c r="Q84" s="23" t="n">
        <f aca="false">P84*Annahmen!$B$105</f>
        <v>400</v>
      </c>
      <c r="R84" s="17" t="n">
        <f aca="false">IF($A84&gt;=Annahmen!$D$82,Annahmen!$D$95,0)</f>
        <v>4</v>
      </c>
      <c r="S84" s="23" t="n">
        <f aca="false">R84*Annahmen!$B$106</f>
        <v>196</v>
      </c>
      <c r="T84" s="23" t="n">
        <f aca="false">E84+G84+I84+K84+M84+O84+Q84+S84</f>
        <v>9362.03225806452</v>
      </c>
      <c r="U84" s="23" t="n">
        <f aca="false">C84*Annahmen!$B$51+F84*Annahmen!$D$87*Annahmen!$B$47+H84*(Annahmen!$B$45+Annahmen!$D$89*(Annahmen!$B$47-Annahmen!$B$45))+J84*Annahmen!$B$48+L84*Annahmen!$B$49+(N84+P84)*Annahmen!$B$50</f>
        <v>134.866004269115</v>
      </c>
      <c r="V84" s="23" t="n">
        <f aca="false">SUMPRODUCT((((Annahmen!$C$145:$C$155="monatlich")*(Annahmen!$D$145:$D$155&lt;=$A84))+((Annahmen!$C$145:$C$155="einmalig")*(Annahmen!$D$145:$D$155=$A84)))*Annahmen!$B$145:$B$155*Annahmen!$F$145:$F$155)</f>
        <v>50.8275708031806</v>
      </c>
      <c r="W84" s="23" t="n">
        <f aca="false">Annahmen!$D$135</f>
        <v>400</v>
      </c>
      <c r="X84" s="17" t="n">
        <f aca="false">C84+F84*Annahmen!$D$87+H84+J84+L84/Annahmen!$B$46+(N84+P84)/(Annahmen!$B$23/Annahmen!$B$24)</f>
        <v>16.075</v>
      </c>
      <c r="Y84" s="35" t="n">
        <f aca="false">MAX(0,(X84-Annahmen!$B$140)/Annahmen!$B$141)</f>
        <v>0.538333333333333</v>
      </c>
      <c r="Z84" s="23" t="n">
        <f aca="false">Y84*Annahmen!$B$137</f>
        <v>2422.5</v>
      </c>
      <c r="AA84" s="23" t="n">
        <f aca="false">T84-U84-V84-W84-Z84</f>
        <v>6353.83868299222</v>
      </c>
      <c r="AB84" s="23" t="n">
        <f aca="false">AB83+AA84</f>
        <v>39308.907018224</v>
      </c>
      <c r="AC84" s="7" t="n">
        <f aca="false">IF(AA84&gt;0,1,0)</f>
        <v>1</v>
      </c>
      <c r="AD84" s="7" t="n">
        <f aca="false">IF(AB84&gt;=0,1,0)</f>
        <v>1</v>
      </c>
    </row>
    <row r="85" customFormat="false" ht="15" hidden="false" customHeight="false" outlineLevel="0" collapsed="false">
      <c r="A85" s="7" t="n">
        <v>10</v>
      </c>
      <c r="B85" s="7" t="s">
        <v>359</v>
      </c>
      <c r="C85" s="17" t="n">
        <f aca="false">IF($A85&gt;=Annahmen!$D$82,Annahmen!$D$83,0)</f>
        <v>1.5</v>
      </c>
      <c r="D85" s="17" t="n">
        <f aca="false">C85*Annahmen!$D$84</f>
        <v>0.3</v>
      </c>
      <c r="E85" s="23" t="n">
        <f aca="false">(C85-D85)*Annahmen!$B$96</f>
        <v>588</v>
      </c>
      <c r="F85" s="17" t="n">
        <f aca="false">IF($A85&gt;Annahmen!$B$86,INDEX($C$76:$C$99,$A85-Annahmen!$B$86)*Annahmen!$D$85,0)</f>
        <v>0.75</v>
      </c>
      <c r="G85" s="23" t="n">
        <f aca="false">F85*(Annahmen!$D$87*(Annahmen!$B$97+Annahmen!$B$98)-Annahmen!$B$96*(1-Annahmen!$D$84))</f>
        <v>2940</v>
      </c>
      <c r="H85" s="17" t="n">
        <f aca="false">IF($A85&gt;=Annahmen!$D$82,Annahmen!$D$88,0)</f>
        <v>3</v>
      </c>
      <c r="I85" s="23" t="n">
        <f aca="false">H85*(Annahmen!$B$97+Annahmen!$D$89*Annahmen!$B$98)</f>
        <v>1149</v>
      </c>
      <c r="J85" s="17" t="n">
        <f aca="false">IF($A85&gt;=Annahmen!$D$82,Annahmen!$D$90,0)</f>
        <v>2</v>
      </c>
      <c r="K85" s="23" t="n">
        <f aca="false">J85*(Annahmen!$B$99+Annahmen!$B$91*Annahmen!$B$102)</f>
        <v>509.032258064516</v>
      </c>
      <c r="L85" s="17" t="n">
        <f aca="false">IF($A85&gt;=Annahmen!$D$82,Annahmen!$D$92,0)</f>
        <v>20</v>
      </c>
      <c r="M85" s="23" t="n">
        <f aca="false">L85*Annahmen!$B$103</f>
        <v>1780</v>
      </c>
      <c r="N85" s="15" t="n">
        <f aca="false">IF($A85&gt;=Annahmen!$D$82,Annahmen!$D$93,0)</f>
        <v>300</v>
      </c>
      <c r="O85" s="23" t="n">
        <f aca="false">N85*Annahmen!$B$104</f>
        <v>1800</v>
      </c>
      <c r="P85" s="15" t="n">
        <f aca="false">IF($A85&gt;=Annahmen!$D$82,Annahmen!$D$94,0)</f>
        <v>100</v>
      </c>
      <c r="Q85" s="23" t="n">
        <f aca="false">P85*Annahmen!$B$105</f>
        <v>400</v>
      </c>
      <c r="R85" s="17" t="n">
        <f aca="false">IF($A85&gt;=Annahmen!$D$82,Annahmen!$D$95,0)</f>
        <v>4</v>
      </c>
      <c r="S85" s="23" t="n">
        <f aca="false">R85*Annahmen!$B$106</f>
        <v>196</v>
      </c>
      <c r="T85" s="23" t="n">
        <f aca="false">E85+G85+I85+K85+M85+O85+Q85+S85</f>
        <v>9362.03225806452</v>
      </c>
      <c r="U85" s="23" t="n">
        <f aca="false">C85*Annahmen!$B$51+F85*Annahmen!$D$87*Annahmen!$B$47+H85*(Annahmen!$B$45+Annahmen!$D$89*(Annahmen!$B$47-Annahmen!$B$45))+J85*Annahmen!$B$48+L85*Annahmen!$B$49+(N85+P85)*Annahmen!$B$50</f>
        <v>134.866004269115</v>
      </c>
      <c r="V85" s="23" t="n">
        <f aca="false">SUMPRODUCT((((Annahmen!$C$145:$C$155="monatlich")*(Annahmen!$D$145:$D$155&lt;=$A85))+((Annahmen!$C$145:$C$155="einmalig")*(Annahmen!$D$145:$D$155=$A85)))*Annahmen!$B$145:$B$155*Annahmen!$F$145:$F$155)</f>
        <v>50.8275708031806</v>
      </c>
      <c r="W85" s="23" t="n">
        <f aca="false">Annahmen!$D$135</f>
        <v>400</v>
      </c>
      <c r="X85" s="17" t="n">
        <f aca="false">C85+F85*Annahmen!$D$87+H85+J85+L85/Annahmen!$B$46+(N85+P85)/(Annahmen!$B$23/Annahmen!$B$24)</f>
        <v>16.075</v>
      </c>
      <c r="Y85" s="35" t="n">
        <f aca="false">MAX(0,(X85-Annahmen!$B$140)/Annahmen!$B$141)</f>
        <v>0.538333333333333</v>
      </c>
      <c r="Z85" s="23" t="n">
        <f aca="false">Y85*Annahmen!$B$137</f>
        <v>2422.5</v>
      </c>
      <c r="AA85" s="23" t="n">
        <f aca="false">T85-U85-V85-W85-Z85</f>
        <v>6353.83868299222</v>
      </c>
      <c r="AB85" s="23" t="n">
        <f aca="false">AB84+AA85</f>
        <v>45662.7457012162</v>
      </c>
      <c r="AC85" s="7" t="n">
        <f aca="false">IF(AA85&gt;0,1,0)</f>
        <v>1</v>
      </c>
      <c r="AD85" s="7" t="n">
        <f aca="false">IF(AB85&gt;=0,1,0)</f>
        <v>1</v>
      </c>
    </row>
    <row r="86" customFormat="false" ht="15" hidden="false" customHeight="false" outlineLevel="0" collapsed="false">
      <c r="A86" s="7" t="n">
        <v>11</v>
      </c>
      <c r="B86" s="7" t="s">
        <v>360</v>
      </c>
      <c r="C86" s="17" t="n">
        <f aca="false">IF($A86&gt;=Annahmen!$D$82,Annahmen!$D$83,0)</f>
        <v>1.5</v>
      </c>
      <c r="D86" s="17" t="n">
        <f aca="false">C86*Annahmen!$D$84</f>
        <v>0.3</v>
      </c>
      <c r="E86" s="23" t="n">
        <f aca="false">(C86-D86)*Annahmen!$B$96</f>
        <v>588</v>
      </c>
      <c r="F86" s="17" t="n">
        <f aca="false">IF($A86&gt;Annahmen!$B$86,INDEX($C$76:$C$99,$A86-Annahmen!$B$86)*Annahmen!$D$85,0)</f>
        <v>0.75</v>
      </c>
      <c r="G86" s="23" t="n">
        <f aca="false">F86*(Annahmen!$D$87*(Annahmen!$B$97+Annahmen!$B$98)-Annahmen!$B$96*(1-Annahmen!$D$84))</f>
        <v>2940</v>
      </c>
      <c r="H86" s="17" t="n">
        <f aca="false">IF($A86&gt;=Annahmen!$D$82,Annahmen!$D$88,0)</f>
        <v>3</v>
      </c>
      <c r="I86" s="23" t="n">
        <f aca="false">H86*(Annahmen!$B$97+Annahmen!$D$89*Annahmen!$B$98)</f>
        <v>1149</v>
      </c>
      <c r="J86" s="17" t="n">
        <f aca="false">IF($A86&gt;=Annahmen!$D$82,Annahmen!$D$90,0)</f>
        <v>2</v>
      </c>
      <c r="K86" s="23" t="n">
        <f aca="false">J86*(Annahmen!$B$99+Annahmen!$B$91*Annahmen!$B$102)</f>
        <v>509.032258064516</v>
      </c>
      <c r="L86" s="17" t="n">
        <f aca="false">IF($A86&gt;=Annahmen!$D$82,Annahmen!$D$92,0)</f>
        <v>20</v>
      </c>
      <c r="M86" s="23" t="n">
        <f aca="false">L86*Annahmen!$B$103</f>
        <v>1780</v>
      </c>
      <c r="N86" s="15" t="n">
        <f aca="false">IF($A86&gt;=Annahmen!$D$82,Annahmen!$D$93,0)</f>
        <v>300</v>
      </c>
      <c r="O86" s="23" t="n">
        <f aca="false">N86*Annahmen!$B$104</f>
        <v>1800</v>
      </c>
      <c r="P86" s="15" t="n">
        <f aca="false">IF($A86&gt;=Annahmen!$D$82,Annahmen!$D$94,0)</f>
        <v>100</v>
      </c>
      <c r="Q86" s="23" t="n">
        <f aca="false">P86*Annahmen!$B$105</f>
        <v>400</v>
      </c>
      <c r="R86" s="17" t="n">
        <f aca="false">IF($A86&gt;=Annahmen!$D$82,Annahmen!$D$95,0)</f>
        <v>4</v>
      </c>
      <c r="S86" s="23" t="n">
        <f aca="false">R86*Annahmen!$B$106</f>
        <v>196</v>
      </c>
      <c r="T86" s="23" t="n">
        <f aca="false">E86+G86+I86+K86+M86+O86+Q86+S86</f>
        <v>9362.03225806452</v>
      </c>
      <c r="U86" s="23" t="n">
        <f aca="false">C86*Annahmen!$B$51+F86*Annahmen!$D$87*Annahmen!$B$47+H86*(Annahmen!$B$45+Annahmen!$D$89*(Annahmen!$B$47-Annahmen!$B$45))+J86*Annahmen!$B$48+L86*Annahmen!$B$49+(N86+P86)*Annahmen!$B$50</f>
        <v>134.866004269115</v>
      </c>
      <c r="V86" s="23" t="n">
        <f aca="false">SUMPRODUCT((((Annahmen!$C$145:$C$155="monatlich")*(Annahmen!$D$145:$D$155&lt;=$A86))+((Annahmen!$C$145:$C$155="einmalig")*(Annahmen!$D$145:$D$155=$A86)))*Annahmen!$B$145:$B$155*Annahmen!$F$145:$F$155)</f>
        <v>50.8275708031806</v>
      </c>
      <c r="W86" s="23" t="n">
        <f aca="false">Annahmen!$D$135</f>
        <v>400</v>
      </c>
      <c r="X86" s="17" t="n">
        <f aca="false">C86+F86*Annahmen!$D$87+H86+J86+L86/Annahmen!$B$46+(N86+P86)/(Annahmen!$B$23/Annahmen!$B$24)</f>
        <v>16.075</v>
      </c>
      <c r="Y86" s="35" t="n">
        <f aca="false">MAX(0,(X86-Annahmen!$B$140)/Annahmen!$B$141)</f>
        <v>0.538333333333333</v>
      </c>
      <c r="Z86" s="23" t="n">
        <f aca="false">Y86*Annahmen!$B$137</f>
        <v>2422.5</v>
      </c>
      <c r="AA86" s="23" t="n">
        <f aca="false">T86-U86-V86-W86-Z86</f>
        <v>6353.83868299222</v>
      </c>
      <c r="AB86" s="23" t="n">
        <f aca="false">AB85+AA86</f>
        <v>52016.5843842084</v>
      </c>
      <c r="AC86" s="7" t="n">
        <f aca="false">IF(AA86&gt;0,1,0)</f>
        <v>1</v>
      </c>
      <c r="AD86" s="7" t="n">
        <f aca="false">IF(AB86&gt;=0,1,0)</f>
        <v>1</v>
      </c>
    </row>
    <row r="87" customFormat="false" ht="15" hidden="false" customHeight="false" outlineLevel="0" collapsed="false">
      <c r="A87" s="7" t="n">
        <v>12</v>
      </c>
      <c r="B87" s="7" t="s">
        <v>361</v>
      </c>
      <c r="C87" s="17" t="n">
        <f aca="false">IF($A87&gt;=Annahmen!$D$82,Annahmen!$D$83,0)</f>
        <v>1.5</v>
      </c>
      <c r="D87" s="17" t="n">
        <f aca="false">C87*Annahmen!$D$84</f>
        <v>0.3</v>
      </c>
      <c r="E87" s="23" t="n">
        <f aca="false">(C87-D87)*Annahmen!$B$96</f>
        <v>588</v>
      </c>
      <c r="F87" s="17" t="n">
        <f aca="false">IF($A87&gt;Annahmen!$B$86,INDEX($C$76:$C$99,$A87-Annahmen!$B$86)*Annahmen!$D$85,0)</f>
        <v>0.75</v>
      </c>
      <c r="G87" s="23" t="n">
        <f aca="false">F87*(Annahmen!$D$87*(Annahmen!$B$97+Annahmen!$B$98)-Annahmen!$B$96*(1-Annahmen!$D$84))</f>
        <v>2940</v>
      </c>
      <c r="H87" s="17" t="n">
        <f aca="false">IF($A87&gt;=Annahmen!$D$82,Annahmen!$D$88,0)</f>
        <v>3</v>
      </c>
      <c r="I87" s="23" t="n">
        <f aca="false">H87*(Annahmen!$B$97+Annahmen!$D$89*Annahmen!$B$98)</f>
        <v>1149</v>
      </c>
      <c r="J87" s="17" t="n">
        <f aca="false">IF($A87&gt;=Annahmen!$D$82,Annahmen!$D$90,0)</f>
        <v>2</v>
      </c>
      <c r="K87" s="23" t="n">
        <f aca="false">J87*(Annahmen!$B$99+Annahmen!$B$91*Annahmen!$B$102)</f>
        <v>509.032258064516</v>
      </c>
      <c r="L87" s="17" t="n">
        <f aca="false">IF($A87&gt;=Annahmen!$D$82,Annahmen!$D$92,0)</f>
        <v>20</v>
      </c>
      <c r="M87" s="23" t="n">
        <f aca="false">L87*Annahmen!$B$103</f>
        <v>1780</v>
      </c>
      <c r="N87" s="15" t="n">
        <f aca="false">IF($A87&gt;=Annahmen!$D$82,Annahmen!$D$93,0)</f>
        <v>300</v>
      </c>
      <c r="O87" s="23" t="n">
        <f aca="false">N87*Annahmen!$B$104</f>
        <v>1800</v>
      </c>
      <c r="P87" s="15" t="n">
        <f aca="false">IF($A87&gt;=Annahmen!$D$82,Annahmen!$D$94,0)</f>
        <v>100</v>
      </c>
      <c r="Q87" s="23" t="n">
        <f aca="false">P87*Annahmen!$B$105</f>
        <v>400</v>
      </c>
      <c r="R87" s="17" t="n">
        <f aca="false">IF($A87&gt;=Annahmen!$D$82,Annahmen!$D$95,0)</f>
        <v>4</v>
      </c>
      <c r="S87" s="23" t="n">
        <f aca="false">R87*Annahmen!$B$106</f>
        <v>196</v>
      </c>
      <c r="T87" s="23" t="n">
        <f aca="false">E87+G87+I87+K87+M87+O87+Q87+S87</f>
        <v>9362.03225806452</v>
      </c>
      <c r="U87" s="23" t="n">
        <f aca="false">C87*Annahmen!$B$51+F87*Annahmen!$D$87*Annahmen!$B$47+H87*(Annahmen!$B$45+Annahmen!$D$89*(Annahmen!$B$47-Annahmen!$B$45))+J87*Annahmen!$B$48+L87*Annahmen!$B$49+(N87+P87)*Annahmen!$B$50</f>
        <v>134.866004269115</v>
      </c>
      <c r="V87" s="23" t="n">
        <f aca="false">SUMPRODUCT((((Annahmen!$C$145:$C$155="monatlich")*(Annahmen!$D$145:$D$155&lt;=$A87))+((Annahmen!$C$145:$C$155="einmalig")*(Annahmen!$D$145:$D$155=$A87)))*Annahmen!$B$145:$B$155*Annahmen!$F$145:$F$155)</f>
        <v>50.8275708031806</v>
      </c>
      <c r="W87" s="23" t="n">
        <f aca="false">Annahmen!$D$135</f>
        <v>400</v>
      </c>
      <c r="X87" s="17" t="n">
        <f aca="false">C87+F87*Annahmen!$D$87+H87+J87+L87/Annahmen!$B$46+(N87+P87)/(Annahmen!$B$23/Annahmen!$B$24)</f>
        <v>16.075</v>
      </c>
      <c r="Y87" s="35" t="n">
        <f aca="false">MAX(0,(X87-Annahmen!$B$140)/Annahmen!$B$141)</f>
        <v>0.538333333333333</v>
      </c>
      <c r="Z87" s="23" t="n">
        <f aca="false">Y87*Annahmen!$B$137</f>
        <v>2422.5</v>
      </c>
      <c r="AA87" s="23" t="n">
        <f aca="false">T87-U87-V87-W87-Z87</f>
        <v>6353.83868299222</v>
      </c>
      <c r="AB87" s="23" t="n">
        <f aca="false">AB86+AA87</f>
        <v>58370.4230672006</v>
      </c>
      <c r="AC87" s="7" t="n">
        <f aca="false">IF(AA87&gt;0,1,0)</f>
        <v>1</v>
      </c>
      <c r="AD87" s="7" t="n">
        <f aca="false">IF(AB87&gt;=0,1,0)</f>
        <v>1</v>
      </c>
    </row>
    <row r="88" customFormat="false" ht="15" hidden="false" customHeight="false" outlineLevel="0" collapsed="false">
      <c r="A88" s="7" t="n">
        <v>13</v>
      </c>
      <c r="B88" s="7" t="s">
        <v>362</v>
      </c>
      <c r="C88" s="17" t="n">
        <f aca="false">IF($A88&gt;=Annahmen!$D$82,Annahmen!$D$83,0)</f>
        <v>1.5</v>
      </c>
      <c r="D88" s="17" t="n">
        <f aca="false">C88*Annahmen!$D$84</f>
        <v>0.3</v>
      </c>
      <c r="E88" s="23" t="n">
        <f aca="false">(C88-D88)*Annahmen!$B$96</f>
        <v>588</v>
      </c>
      <c r="F88" s="17" t="n">
        <f aca="false">IF($A88&gt;Annahmen!$B$86,INDEX($C$76:$C$99,$A88-Annahmen!$B$86)*Annahmen!$D$85,0)</f>
        <v>0.75</v>
      </c>
      <c r="G88" s="23" t="n">
        <f aca="false">F88*(Annahmen!$D$87*(Annahmen!$B$97+Annahmen!$B$98)-Annahmen!$B$96*(1-Annahmen!$D$84))</f>
        <v>2940</v>
      </c>
      <c r="H88" s="17" t="n">
        <f aca="false">IF($A88&gt;=Annahmen!$D$82,Annahmen!$D$88,0)</f>
        <v>3</v>
      </c>
      <c r="I88" s="23" t="n">
        <f aca="false">H88*(Annahmen!$B$97+Annahmen!$D$89*Annahmen!$B$98)</f>
        <v>1149</v>
      </c>
      <c r="J88" s="17" t="n">
        <f aca="false">IF($A88&gt;=Annahmen!$D$82,Annahmen!$D$90,0)</f>
        <v>2</v>
      </c>
      <c r="K88" s="23" t="n">
        <f aca="false">J88*(Annahmen!$B$99+Annahmen!$B$91*Annahmen!$B$102)</f>
        <v>509.032258064516</v>
      </c>
      <c r="L88" s="17" t="n">
        <f aca="false">IF($A88&gt;=Annahmen!$D$82,Annahmen!$D$92,0)</f>
        <v>20</v>
      </c>
      <c r="M88" s="23" t="n">
        <f aca="false">L88*Annahmen!$B$103</f>
        <v>1780</v>
      </c>
      <c r="N88" s="15" t="n">
        <f aca="false">IF($A88&gt;=Annahmen!$D$82,Annahmen!$D$93,0)</f>
        <v>300</v>
      </c>
      <c r="O88" s="23" t="n">
        <f aca="false">N88*Annahmen!$B$104</f>
        <v>1800</v>
      </c>
      <c r="P88" s="15" t="n">
        <f aca="false">IF($A88&gt;=Annahmen!$D$82,Annahmen!$D$94,0)</f>
        <v>100</v>
      </c>
      <c r="Q88" s="23" t="n">
        <f aca="false">P88*Annahmen!$B$105</f>
        <v>400</v>
      </c>
      <c r="R88" s="17" t="n">
        <f aca="false">IF($A88&gt;=Annahmen!$D$82,Annahmen!$D$95,0)</f>
        <v>4</v>
      </c>
      <c r="S88" s="23" t="n">
        <f aca="false">R88*Annahmen!$B$106</f>
        <v>196</v>
      </c>
      <c r="T88" s="23" t="n">
        <f aca="false">E88+G88+I88+K88+M88+O88+Q88+S88</f>
        <v>9362.03225806452</v>
      </c>
      <c r="U88" s="23" t="n">
        <f aca="false">C88*Annahmen!$B$51+F88*Annahmen!$D$87*Annahmen!$B$47+H88*(Annahmen!$B$45+Annahmen!$D$89*(Annahmen!$B$47-Annahmen!$B$45))+J88*Annahmen!$B$48+L88*Annahmen!$B$49+(N88+P88)*Annahmen!$B$50</f>
        <v>134.866004269115</v>
      </c>
      <c r="V88" s="23" t="n">
        <f aca="false">SUMPRODUCT((((Annahmen!$C$145:$C$155="monatlich")*(Annahmen!$D$145:$D$155&lt;=$A88))+((Annahmen!$C$145:$C$155="einmalig")*(Annahmen!$D$145:$D$155=$A88)))*Annahmen!$B$145:$B$155*Annahmen!$F$145:$F$155)</f>
        <v>50.8275708031806</v>
      </c>
      <c r="W88" s="23" t="n">
        <f aca="false">Annahmen!$D$135</f>
        <v>400</v>
      </c>
      <c r="X88" s="17" t="n">
        <f aca="false">C88+F88*Annahmen!$D$87+H88+J88+L88/Annahmen!$B$46+(N88+P88)/(Annahmen!$B$23/Annahmen!$B$24)</f>
        <v>16.075</v>
      </c>
      <c r="Y88" s="35" t="n">
        <f aca="false">MAX(0,(X88-Annahmen!$B$140)/Annahmen!$B$141)</f>
        <v>0.538333333333333</v>
      </c>
      <c r="Z88" s="23" t="n">
        <f aca="false">Y88*Annahmen!$B$137</f>
        <v>2422.5</v>
      </c>
      <c r="AA88" s="23" t="n">
        <f aca="false">T88-U88-V88-W88-Z88</f>
        <v>6353.83868299222</v>
      </c>
      <c r="AB88" s="23" t="n">
        <f aca="false">AB87+AA88</f>
        <v>64724.2617501929</v>
      </c>
      <c r="AC88" s="7" t="n">
        <f aca="false">IF(AA88&gt;0,1,0)</f>
        <v>1</v>
      </c>
      <c r="AD88" s="7" t="n">
        <f aca="false">IF(AB88&gt;=0,1,0)</f>
        <v>1</v>
      </c>
    </row>
    <row r="89" customFormat="false" ht="15" hidden="false" customHeight="false" outlineLevel="0" collapsed="false">
      <c r="A89" s="7" t="n">
        <v>14</v>
      </c>
      <c r="B89" s="7" t="s">
        <v>363</v>
      </c>
      <c r="C89" s="17" t="n">
        <f aca="false">IF($A89&gt;=Annahmen!$D$82,Annahmen!$D$83,0)</f>
        <v>1.5</v>
      </c>
      <c r="D89" s="17" t="n">
        <f aca="false">C89*Annahmen!$D$84</f>
        <v>0.3</v>
      </c>
      <c r="E89" s="23" t="n">
        <f aca="false">(C89-D89)*Annahmen!$B$96</f>
        <v>588</v>
      </c>
      <c r="F89" s="17" t="n">
        <f aca="false">IF($A89&gt;Annahmen!$B$86,INDEX($C$76:$C$99,$A89-Annahmen!$B$86)*Annahmen!$D$85,0)</f>
        <v>0.75</v>
      </c>
      <c r="G89" s="23" t="n">
        <f aca="false">F89*(Annahmen!$D$87*(Annahmen!$B$97+Annahmen!$B$98)-Annahmen!$B$96*(1-Annahmen!$D$84))</f>
        <v>2940</v>
      </c>
      <c r="H89" s="17" t="n">
        <f aca="false">IF($A89&gt;=Annahmen!$D$82,Annahmen!$D$88,0)</f>
        <v>3</v>
      </c>
      <c r="I89" s="23" t="n">
        <f aca="false">H89*(Annahmen!$B$97+Annahmen!$D$89*Annahmen!$B$98)</f>
        <v>1149</v>
      </c>
      <c r="J89" s="17" t="n">
        <f aca="false">IF($A89&gt;=Annahmen!$D$82,Annahmen!$D$90,0)</f>
        <v>2</v>
      </c>
      <c r="K89" s="23" t="n">
        <f aca="false">J89*(Annahmen!$B$99+Annahmen!$B$91*Annahmen!$B$102)</f>
        <v>509.032258064516</v>
      </c>
      <c r="L89" s="17" t="n">
        <f aca="false">IF($A89&gt;=Annahmen!$D$82,Annahmen!$D$92,0)</f>
        <v>20</v>
      </c>
      <c r="M89" s="23" t="n">
        <f aca="false">L89*Annahmen!$B$103</f>
        <v>1780</v>
      </c>
      <c r="N89" s="15" t="n">
        <f aca="false">IF($A89&gt;=Annahmen!$D$82,Annahmen!$D$93,0)</f>
        <v>300</v>
      </c>
      <c r="O89" s="23" t="n">
        <f aca="false">N89*Annahmen!$B$104</f>
        <v>1800</v>
      </c>
      <c r="P89" s="15" t="n">
        <f aca="false">IF($A89&gt;=Annahmen!$D$82,Annahmen!$D$94,0)</f>
        <v>100</v>
      </c>
      <c r="Q89" s="23" t="n">
        <f aca="false">P89*Annahmen!$B$105</f>
        <v>400</v>
      </c>
      <c r="R89" s="17" t="n">
        <f aca="false">IF($A89&gt;=Annahmen!$D$82,Annahmen!$D$95,0)</f>
        <v>4</v>
      </c>
      <c r="S89" s="23" t="n">
        <f aca="false">R89*Annahmen!$B$106</f>
        <v>196</v>
      </c>
      <c r="T89" s="23" t="n">
        <f aca="false">E89+G89+I89+K89+M89+O89+Q89+S89</f>
        <v>9362.03225806452</v>
      </c>
      <c r="U89" s="23" t="n">
        <f aca="false">C89*Annahmen!$B$51+F89*Annahmen!$D$87*Annahmen!$B$47+H89*(Annahmen!$B$45+Annahmen!$D$89*(Annahmen!$B$47-Annahmen!$B$45))+J89*Annahmen!$B$48+L89*Annahmen!$B$49+(N89+P89)*Annahmen!$B$50</f>
        <v>134.866004269115</v>
      </c>
      <c r="V89" s="23" t="n">
        <f aca="false">SUMPRODUCT((((Annahmen!$C$145:$C$155="monatlich")*(Annahmen!$D$145:$D$155&lt;=$A89))+((Annahmen!$C$145:$C$155="einmalig")*(Annahmen!$D$145:$D$155=$A89)))*Annahmen!$B$145:$B$155*Annahmen!$F$145:$F$155)</f>
        <v>50.8275708031806</v>
      </c>
      <c r="W89" s="23" t="n">
        <f aca="false">Annahmen!$D$135</f>
        <v>400</v>
      </c>
      <c r="X89" s="17" t="n">
        <f aca="false">C89+F89*Annahmen!$D$87+H89+J89+L89/Annahmen!$B$46+(N89+P89)/(Annahmen!$B$23/Annahmen!$B$24)</f>
        <v>16.075</v>
      </c>
      <c r="Y89" s="35" t="n">
        <f aca="false">MAX(0,(X89-Annahmen!$B$140)/Annahmen!$B$141)</f>
        <v>0.538333333333333</v>
      </c>
      <c r="Z89" s="23" t="n">
        <f aca="false">Y89*Annahmen!$B$137</f>
        <v>2422.5</v>
      </c>
      <c r="AA89" s="23" t="n">
        <f aca="false">T89-U89-V89-W89-Z89</f>
        <v>6353.83868299222</v>
      </c>
      <c r="AB89" s="23" t="n">
        <f aca="false">AB88+AA89</f>
        <v>71078.1004331851</v>
      </c>
      <c r="AC89" s="7" t="n">
        <f aca="false">IF(AA89&gt;0,1,0)</f>
        <v>1</v>
      </c>
      <c r="AD89" s="7" t="n">
        <f aca="false">IF(AB89&gt;=0,1,0)</f>
        <v>1</v>
      </c>
    </row>
    <row r="90" customFormat="false" ht="15" hidden="false" customHeight="false" outlineLevel="0" collapsed="false">
      <c r="A90" s="7" t="n">
        <v>15</v>
      </c>
      <c r="B90" s="7" t="s">
        <v>364</v>
      </c>
      <c r="C90" s="17" t="n">
        <f aca="false">IF($A90&gt;=Annahmen!$D$82,Annahmen!$D$83,0)</f>
        <v>1.5</v>
      </c>
      <c r="D90" s="17" t="n">
        <f aca="false">C90*Annahmen!$D$84</f>
        <v>0.3</v>
      </c>
      <c r="E90" s="23" t="n">
        <f aca="false">(C90-D90)*Annahmen!$B$96</f>
        <v>588</v>
      </c>
      <c r="F90" s="17" t="n">
        <f aca="false">IF($A90&gt;Annahmen!$B$86,INDEX($C$76:$C$99,$A90-Annahmen!$B$86)*Annahmen!$D$85,0)</f>
        <v>0.75</v>
      </c>
      <c r="G90" s="23" t="n">
        <f aca="false">F90*(Annahmen!$D$87*(Annahmen!$B$97+Annahmen!$B$98)-Annahmen!$B$96*(1-Annahmen!$D$84))</f>
        <v>2940</v>
      </c>
      <c r="H90" s="17" t="n">
        <f aca="false">IF($A90&gt;=Annahmen!$D$82,Annahmen!$D$88,0)</f>
        <v>3</v>
      </c>
      <c r="I90" s="23" t="n">
        <f aca="false">H90*(Annahmen!$B$97+Annahmen!$D$89*Annahmen!$B$98)</f>
        <v>1149</v>
      </c>
      <c r="J90" s="17" t="n">
        <f aca="false">IF($A90&gt;=Annahmen!$D$82,Annahmen!$D$90,0)</f>
        <v>2</v>
      </c>
      <c r="K90" s="23" t="n">
        <f aca="false">J90*(Annahmen!$B$99+Annahmen!$B$91*Annahmen!$B$102)</f>
        <v>509.032258064516</v>
      </c>
      <c r="L90" s="17" t="n">
        <f aca="false">IF($A90&gt;=Annahmen!$D$82,Annahmen!$D$92,0)</f>
        <v>20</v>
      </c>
      <c r="M90" s="23" t="n">
        <f aca="false">L90*Annahmen!$B$103</f>
        <v>1780</v>
      </c>
      <c r="N90" s="15" t="n">
        <f aca="false">IF($A90&gt;=Annahmen!$D$82,Annahmen!$D$93,0)</f>
        <v>300</v>
      </c>
      <c r="O90" s="23" t="n">
        <f aca="false">N90*Annahmen!$B$104</f>
        <v>1800</v>
      </c>
      <c r="P90" s="15" t="n">
        <f aca="false">IF($A90&gt;=Annahmen!$D$82,Annahmen!$D$94,0)</f>
        <v>100</v>
      </c>
      <c r="Q90" s="23" t="n">
        <f aca="false">P90*Annahmen!$B$105</f>
        <v>400</v>
      </c>
      <c r="R90" s="17" t="n">
        <f aca="false">IF($A90&gt;=Annahmen!$D$82,Annahmen!$D$95,0)</f>
        <v>4</v>
      </c>
      <c r="S90" s="23" t="n">
        <f aca="false">R90*Annahmen!$B$106</f>
        <v>196</v>
      </c>
      <c r="T90" s="23" t="n">
        <f aca="false">E90+G90+I90+K90+M90+O90+Q90+S90</f>
        <v>9362.03225806452</v>
      </c>
      <c r="U90" s="23" t="n">
        <f aca="false">C90*Annahmen!$B$51+F90*Annahmen!$D$87*Annahmen!$B$47+H90*(Annahmen!$B$45+Annahmen!$D$89*(Annahmen!$B$47-Annahmen!$B$45))+J90*Annahmen!$B$48+L90*Annahmen!$B$49+(N90+P90)*Annahmen!$B$50</f>
        <v>134.866004269115</v>
      </c>
      <c r="V90" s="23" t="n">
        <f aca="false">SUMPRODUCT((((Annahmen!$C$145:$C$155="monatlich")*(Annahmen!$D$145:$D$155&lt;=$A90))+((Annahmen!$C$145:$C$155="einmalig")*(Annahmen!$D$145:$D$155=$A90)))*Annahmen!$B$145:$B$155*Annahmen!$F$145:$F$155)</f>
        <v>50.8275708031806</v>
      </c>
      <c r="W90" s="23" t="n">
        <f aca="false">Annahmen!$D$135</f>
        <v>400</v>
      </c>
      <c r="X90" s="17" t="n">
        <f aca="false">C90+F90*Annahmen!$D$87+H90+J90+L90/Annahmen!$B$46+(N90+P90)/(Annahmen!$B$23/Annahmen!$B$24)</f>
        <v>16.075</v>
      </c>
      <c r="Y90" s="35" t="n">
        <f aca="false">MAX(0,(X90-Annahmen!$B$140)/Annahmen!$B$141)</f>
        <v>0.538333333333333</v>
      </c>
      <c r="Z90" s="23" t="n">
        <f aca="false">Y90*Annahmen!$B$137</f>
        <v>2422.5</v>
      </c>
      <c r="AA90" s="23" t="n">
        <f aca="false">T90-U90-V90-W90-Z90</f>
        <v>6353.83868299222</v>
      </c>
      <c r="AB90" s="23" t="n">
        <f aca="false">AB89+AA90</f>
        <v>77431.9391161773</v>
      </c>
      <c r="AC90" s="7" t="n">
        <f aca="false">IF(AA90&gt;0,1,0)</f>
        <v>1</v>
      </c>
      <c r="AD90" s="7" t="n">
        <f aca="false">IF(AB90&gt;=0,1,0)</f>
        <v>1</v>
      </c>
    </row>
    <row r="91" customFormat="false" ht="15" hidden="false" customHeight="false" outlineLevel="0" collapsed="false">
      <c r="A91" s="7" t="n">
        <v>16</v>
      </c>
      <c r="B91" s="7" t="s">
        <v>365</v>
      </c>
      <c r="C91" s="17" t="n">
        <f aca="false">IF($A91&gt;=Annahmen!$D$82,Annahmen!$D$83,0)</f>
        <v>1.5</v>
      </c>
      <c r="D91" s="17" t="n">
        <f aca="false">C91*Annahmen!$D$84</f>
        <v>0.3</v>
      </c>
      <c r="E91" s="23" t="n">
        <f aca="false">(C91-D91)*Annahmen!$B$96</f>
        <v>588</v>
      </c>
      <c r="F91" s="17" t="n">
        <f aca="false">IF($A91&gt;Annahmen!$B$86,INDEX($C$76:$C$99,$A91-Annahmen!$B$86)*Annahmen!$D$85,0)</f>
        <v>0.75</v>
      </c>
      <c r="G91" s="23" t="n">
        <f aca="false">F91*(Annahmen!$D$87*(Annahmen!$B$97+Annahmen!$B$98)-Annahmen!$B$96*(1-Annahmen!$D$84))</f>
        <v>2940</v>
      </c>
      <c r="H91" s="17" t="n">
        <f aca="false">IF($A91&gt;=Annahmen!$D$82,Annahmen!$D$88,0)</f>
        <v>3</v>
      </c>
      <c r="I91" s="23" t="n">
        <f aca="false">H91*(Annahmen!$B$97+Annahmen!$D$89*Annahmen!$B$98)</f>
        <v>1149</v>
      </c>
      <c r="J91" s="17" t="n">
        <f aca="false">IF($A91&gt;=Annahmen!$D$82,Annahmen!$D$90,0)</f>
        <v>2</v>
      </c>
      <c r="K91" s="23" t="n">
        <f aca="false">J91*(Annahmen!$B$99+Annahmen!$B$91*Annahmen!$B$102)</f>
        <v>509.032258064516</v>
      </c>
      <c r="L91" s="17" t="n">
        <f aca="false">IF($A91&gt;=Annahmen!$D$82,Annahmen!$D$92,0)</f>
        <v>20</v>
      </c>
      <c r="M91" s="23" t="n">
        <f aca="false">L91*Annahmen!$B$103</f>
        <v>1780</v>
      </c>
      <c r="N91" s="15" t="n">
        <f aca="false">IF($A91&gt;=Annahmen!$D$82,Annahmen!$D$93,0)</f>
        <v>300</v>
      </c>
      <c r="O91" s="23" t="n">
        <f aca="false">N91*Annahmen!$B$104</f>
        <v>1800</v>
      </c>
      <c r="P91" s="15" t="n">
        <f aca="false">IF($A91&gt;=Annahmen!$D$82,Annahmen!$D$94,0)</f>
        <v>100</v>
      </c>
      <c r="Q91" s="23" t="n">
        <f aca="false">P91*Annahmen!$B$105</f>
        <v>400</v>
      </c>
      <c r="R91" s="17" t="n">
        <f aca="false">IF($A91&gt;=Annahmen!$D$82,Annahmen!$D$95,0)</f>
        <v>4</v>
      </c>
      <c r="S91" s="23" t="n">
        <f aca="false">R91*Annahmen!$B$106</f>
        <v>196</v>
      </c>
      <c r="T91" s="23" t="n">
        <f aca="false">E91+G91+I91+K91+M91+O91+Q91+S91</f>
        <v>9362.03225806452</v>
      </c>
      <c r="U91" s="23" t="n">
        <f aca="false">C91*Annahmen!$B$51+F91*Annahmen!$D$87*Annahmen!$B$47+H91*(Annahmen!$B$45+Annahmen!$D$89*(Annahmen!$B$47-Annahmen!$B$45))+J91*Annahmen!$B$48+L91*Annahmen!$B$49+(N91+P91)*Annahmen!$B$50</f>
        <v>134.866004269115</v>
      </c>
      <c r="V91" s="23" t="n">
        <f aca="false">SUMPRODUCT((((Annahmen!$C$145:$C$155="monatlich")*(Annahmen!$D$145:$D$155&lt;=$A91))+((Annahmen!$C$145:$C$155="einmalig")*(Annahmen!$D$145:$D$155=$A91)))*Annahmen!$B$145:$B$155*Annahmen!$F$145:$F$155)</f>
        <v>50.8275708031806</v>
      </c>
      <c r="W91" s="23" t="n">
        <f aca="false">Annahmen!$D$135</f>
        <v>400</v>
      </c>
      <c r="X91" s="17" t="n">
        <f aca="false">C91+F91*Annahmen!$D$87+H91+J91+L91/Annahmen!$B$46+(N91+P91)/(Annahmen!$B$23/Annahmen!$B$24)</f>
        <v>16.075</v>
      </c>
      <c r="Y91" s="35" t="n">
        <f aca="false">MAX(0,(X91-Annahmen!$B$140)/Annahmen!$B$141)</f>
        <v>0.538333333333333</v>
      </c>
      <c r="Z91" s="23" t="n">
        <f aca="false">Y91*Annahmen!$B$137</f>
        <v>2422.5</v>
      </c>
      <c r="AA91" s="23" t="n">
        <f aca="false">T91-U91-V91-W91-Z91</f>
        <v>6353.83868299222</v>
      </c>
      <c r="AB91" s="23" t="n">
        <f aca="false">AB90+AA91</f>
        <v>83785.7777991695</v>
      </c>
      <c r="AC91" s="7" t="n">
        <f aca="false">IF(AA91&gt;0,1,0)</f>
        <v>1</v>
      </c>
      <c r="AD91" s="7" t="n">
        <f aca="false">IF(AB91&gt;=0,1,0)</f>
        <v>1</v>
      </c>
    </row>
    <row r="92" customFormat="false" ht="15" hidden="false" customHeight="false" outlineLevel="0" collapsed="false">
      <c r="A92" s="7" t="n">
        <v>17</v>
      </c>
      <c r="B92" s="7" t="s">
        <v>366</v>
      </c>
      <c r="C92" s="17" t="n">
        <f aca="false">IF($A92&gt;=Annahmen!$D$82,Annahmen!$D$83,0)</f>
        <v>1.5</v>
      </c>
      <c r="D92" s="17" t="n">
        <f aca="false">C92*Annahmen!$D$84</f>
        <v>0.3</v>
      </c>
      <c r="E92" s="23" t="n">
        <f aca="false">(C92-D92)*Annahmen!$B$96</f>
        <v>588</v>
      </c>
      <c r="F92" s="17" t="n">
        <f aca="false">IF($A92&gt;Annahmen!$B$86,INDEX($C$76:$C$99,$A92-Annahmen!$B$86)*Annahmen!$D$85,0)</f>
        <v>0.75</v>
      </c>
      <c r="G92" s="23" t="n">
        <f aca="false">F92*(Annahmen!$D$87*(Annahmen!$B$97+Annahmen!$B$98)-Annahmen!$B$96*(1-Annahmen!$D$84))</f>
        <v>2940</v>
      </c>
      <c r="H92" s="17" t="n">
        <f aca="false">IF($A92&gt;=Annahmen!$D$82,Annahmen!$D$88,0)</f>
        <v>3</v>
      </c>
      <c r="I92" s="23" t="n">
        <f aca="false">H92*(Annahmen!$B$97+Annahmen!$D$89*Annahmen!$B$98)</f>
        <v>1149</v>
      </c>
      <c r="J92" s="17" t="n">
        <f aca="false">IF($A92&gt;=Annahmen!$D$82,Annahmen!$D$90,0)</f>
        <v>2</v>
      </c>
      <c r="K92" s="23" t="n">
        <f aca="false">J92*(Annahmen!$B$99+Annahmen!$B$91*Annahmen!$B$102)</f>
        <v>509.032258064516</v>
      </c>
      <c r="L92" s="17" t="n">
        <f aca="false">IF($A92&gt;=Annahmen!$D$82,Annahmen!$D$92,0)</f>
        <v>20</v>
      </c>
      <c r="M92" s="23" t="n">
        <f aca="false">L92*Annahmen!$B$103</f>
        <v>1780</v>
      </c>
      <c r="N92" s="15" t="n">
        <f aca="false">IF($A92&gt;=Annahmen!$D$82,Annahmen!$D$93,0)</f>
        <v>300</v>
      </c>
      <c r="O92" s="23" t="n">
        <f aca="false">N92*Annahmen!$B$104</f>
        <v>1800</v>
      </c>
      <c r="P92" s="15" t="n">
        <f aca="false">IF($A92&gt;=Annahmen!$D$82,Annahmen!$D$94,0)</f>
        <v>100</v>
      </c>
      <c r="Q92" s="23" t="n">
        <f aca="false">P92*Annahmen!$B$105</f>
        <v>400</v>
      </c>
      <c r="R92" s="17" t="n">
        <f aca="false">IF($A92&gt;=Annahmen!$D$82,Annahmen!$D$95,0)</f>
        <v>4</v>
      </c>
      <c r="S92" s="23" t="n">
        <f aca="false">R92*Annahmen!$B$106</f>
        <v>196</v>
      </c>
      <c r="T92" s="23" t="n">
        <f aca="false">E92+G92+I92+K92+M92+O92+Q92+S92</f>
        <v>9362.03225806452</v>
      </c>
      <c r="U92" s="23" t="n">
        <f aca="false">C92*Annahmen!$B$51+F92*Annahmen!$D$87*Annahmen!$B$47+H92*(Annahmen!$B$45+Annahmen!$D$89*(Annahmen!$B$47-Annahmen!$B$45))+J92*Annahmen!$B$48+L92*Annahmen!$B$49+(N92+P92)*Annahmen!$B$50</f>
        <v>134.866004269115</v>
      </c>
      <c r="V92" s="23" t="n">
        <f aca="false">SUMPRODUCT((((Annahmen!$C$145:$C$155="monatlich")*(Annahmen!$D$145:$D$155&lt;=$A92))+((Annahmen!$C$145:$C$155="einmalig")*(Annahmen!$D$145:$D$155=$A92)))*Annahmen!$B$145:$B$155*Annahmen!$F$145:$F$155)</f>
        <v>50.8275708031806</v>
      </c>
      <c r="W92" s="23" t="n">
        <f aca="false">Annahmen!$D$135</f>
        <v>400</v>
      </c>
      <c r="X92" s="17" t="n">
        <f aca="false">C92+F92*Annahmen!$D$87+H92+J92+L92/Annahmen!$B$46+(N92+P92)/(Annahmen!$B$23/Annahmen!$B$24)</f>
        <v>16.075</v>
      </c>
      <c r="Y92" s="35" t="n">
        <f aca="false">MAX(0,(X92-Annahmen!$B$140)/Annahmen!$B$141)</f>
        <v>0.538333333333333</v>
      </c>
      <c r="Z92" s="23" t="n">
        <f aca="false">Y92*Annahmen!$B$137</f>
        <v>2422.5</v>
      </c>
      <c r="AA92" s="23" t="n">
        <f aca="false">T92-U92-V92-W92-Z92</f>
        <v>6353.83868299222</v>
      </c>
      <c r="AB92" s="23" t="n">
        <f aca="false">AB91+AA92</f>
        <v>90139.6164821618</v>
      </c>
      <c r="AC92" s="7" t="n">
        <f aca="false">IF(AA92&gt;0,1,0)</f>
        <v>1</v>
      </c>
      <c r="AD92" s="7" t="n">
        <f aca="false">IF(AB92&gt;=0,1,0)</f>
        <v>1</v>
      </c>
    </row>
    <row r="93" customFormat="false" ht="15" hidden="false" customHeight="false" outlineLevel="0" collapsed="false">
      <c r="A93" s="7" t="n">
        <v>18</v>
      </c>
      <c r="B93" s="7" t="s">
        <v>367</v>
      </c>
      <c r="C93" s="17" t="n">
        <f aca="false">IF($A93&gt;=Annahmen!$D$82,Annahmen!$D$83,0)</f>
        <v>1.5</v>
      </c>
      <c r="D93" s="17" t="n">
        <f aca="false">C93*Annahmen!$D$84</f>
        <v>0.3</v>
      </c>
      <c r="E93" s="23" t="n">
        <f aca="false">(C93-D93)*Annahmen!$B$96</f>
        <v>588</v>
      </c>
      <c r="F93" s="17" t="n">
        <f aca="false">IF($A93&gt;Annahmen!$B$86,INDEX($C$76:$C$99,$A93-Annahmen!$B$86)*Annahmen!$D$85,0)</f>
        <v>0.75</v>
      </c>
      <c r="G93" s="23" t="n">
        <f aca="false">F93*(Annahmen!$D$87*(Annahmen!$B$97+Annahmen!$B$98)-Annahmen!$B$96*(1-Annahmen!$D$84))</f>
        <v>2940</v>
      </c>
      <c r="H93" s="17" t="n">
        <f aca="false">IF($A93&gt;=Annahmen!$D$82,Annahmen!$D$88,0)</f>
        <v>3</v>
      </c>
      <c r="I93" s="23" t="n">
        <f aca="false">H93*(Annahmen!$B$97+Annahmen!$D$89*Annahmen!$B$98)</f>
        <v>1149</v>
      </c>
      <c r="J93" s="17" t="n">
        <f aca="false">IF($A93&gt;=Annahmen!$D$82,Annahmen!$D$90,0)</f>
        <v>2</v>
      </c>
      <c r="K93" s="23" t="n">
        <f aca="false">J93*(Annahmen!$B$99+Annahmen!$B$91*Annahmen!$B$102)</f>
        <v>509.032258064516</v>
      </c>
      <c r="L93" s="17" t="n">
        <f aca="false">IF($A93&gt;=Annahmen!$D$82,Annahmen!$D$92,0)</f>
        <v>20</v>
      </c>
      <c r="M93" s="23" t="n">
        <f aca="false">L93*Annahmen!$B$103</f>
        <v>1780</v>
      </c>
      <c r="N93" s="15" t="n">
        <f aca="false">IF($A93&gt;=Annahmen!$D$82,Annahmen!$D$93,0)</f>
        <v>300</v>
      </c>
      <c r="O93" s="23" t="n">
        <f aca="false">N93*Annahmen!$B$104</f>
        <v>1800</v>
      </c>
      <c r="P93" s="15" t="n">
        <f aca="false">IF($A93&gt;=Annahmen!$D$82,Annahmen!$D$94,0)</f>
        <v>100</v>
      </c>
      <c r="Q93" s="23" t="n">
        <f aca="false">P93*Annahmen!$B$105</f>
        <v>400</v>
      </c>
      <c r="R93" s="17" t="n">
        <f aca="false">IF($A93&gt;=Annahmen!$D$82,Annahmen!$D$95,0)</f>
        <v>4</v>
      </c>
      <c r="S93" s="23" t="n">
        <f aca="false">R93*Annahmen!$B$106</f>
        <v>196</v>
      </c>
      <c r="T93" s="23" t="n">
        <f aca="false">E93+G93+I93+K93+M93+O93+Q93+S93</f>
        <v>9362.03225806452</v>
      </c>
      <c r="U93" s="23" t="n">
        <f aca="false">C93*Annahmen!$B$51+F93*Annahmen!$D$87*Annahmen!$B$47+H93*(Annahmen!$B$45+Annahmen!$D$89*(Annahmen!$B$47-Annahmen!$B$45))+J93*Annahmen!$B$48+L93*Annahmen!$B$49+(N93+P93)*Annahmen!$B$50</f>
        <v>134.866004269115</v>
      </c>
      <c r="V93" s="23" t="n">
        <f aca="false">SUMPRODUCT((((Annahmen!$C$145:$C$155="monatlich")*(Annahmen!$D$145:$D$155&lt;=$A93))+((Annahmen!$C$145:$C$155="einmalig")*(Annahmen!$D$145:$D$155=$A93)))*Annahmen!$B$145:$B$155*Annahmen!$F$145:$F$155)</f>
        <v>50.8275708031806</v>
      </c>
      <c r="W93" s="23" t="n">
        <f aca="false">Annahmen!$D$135</f>
        <v>400</v>
      </c>
      <c r="X93" s="17" t="n">
        <f aca="false">C93+F93*Annahmen!$D$87+H93+J93+L93/Annahmen!$B$46+(N93+P93)/(Annahmen!$B$23/Annahmen!$B$24)</f>
        <v>16.075</v>
      </c>
      <c r="Y93" s="35" t="n">
        <f aca="false">MAX(0,(X93-Annahmen!$B$140)/Annahmen!$B$141)</f>
        <v>0.538333333333333</v>
      </c>
      <c r="Z93" s="23" t="n">
        <f aca="false">Y93*Annahmen!$B$137</f>
        <v>2422.5</v>
      </c>
      <c r="AA93" s="23" t="n">
        <f aca="false">T93-U93-V93-W93-Z93</f>
        <v>6353.83868299222</v>
      </c>
      <c r="AB93" s="23" t="n">
        <f aca="false">AB92+AA93</f>
        <v>96493.455165154</v>
      </c>
      <c r="AC93" s="7" t="n">
        <f aca="false">IF(AA93&gt;0,1,0)</f>
        <v>1</v>
      </c>
      <c r="AD93" s="7" t="n">
        <f aca="false">IF(AB93&gt;=0,1,0)</f>
        <v>1</v>
      </c>
    </row>
    <row r="94" customFormat="false" ht="15" hidden="false" customHeight="false" outlineLevel="0" collapsed="false">
      <c r="A94" s="7" t="n">
        <v>19</v>
      </c>
      <c r="B94" s="7" t="s">
        <v>368</v>
      </c>
      <c r="C94" s="17" t="n">
        <f aca="false">IF($A94&gt;=Annahmen!$D$82,Annahmen!$D$83,0)</f>
        <v>1.5</v>
      </c>
      <c r="D94" s="17" t="n">
        <f aca="false">C94*Annahmen!$D$84</f>
        <v>0.3</v>
      </c>
      <c r="E94" s="23" t="n">
        <f aca="false">(C94-D94)*Annahmen!$B$96</f>
        <v>588</v>
      </c>
      <c r="F94" s="17" t="n">
        <f aca="false">IF($A94&gt;Annahmen!$B$86,INDEX($C$76:$C$99,$A94-Annahmen!$B$86)*Annahmen!$D$85,0)</f>
        <v>0.75</v>
      </c>
      <c r="G94" s="23" t="n">
        <f aca="false">F94*(Annahmen!$D$87*(Annahmen!$B$97+Annahmen!$B$98)-Annahmen!$B$96*(1-Annahmen!$D$84))</f>
        <v>2940</v>
      </c>
      <c r="H94" s="17" t="n">
        <f aca="false">IF($A94&gt;=Annahmen!$D$82,Annahmen!$D$88,0)</f>
        <v>3</v>
      </c>
      <c r="I94" s="23" t="n">
        <f aca="false">H94*(Annahmen!$B$97+Annahmen!$D$89*Annahmen!$B$98)</f>
        <v>1149</v>
      </c>
      <c r="J94" s="17" t="n">
        <f aca="false">IF($A94&gt;=Annahmen!$D$82,Annahmen!$D$90,0)</f>
        <v>2</v>
      </c>
      <c r="K94" s="23" t="n">
        <f aca="false">J94*(Annahmen!$B$99+Annahmen!$B$91*Annahmen!$B$102)</f>
        <v>509.032258064516</v>
      </c>
      <c r="L94" s="17" t="n">
        <f aca="false">IF($A94&gt;=Annahmen!$D$82,Annahmen!$D$92,0)</f>
        <v>20</v>
      </c>
      <c r="M94" s="23" t="n">
        <f aca="false">L94*Annahmen!$B$103</f>
        <v>1780</v>
      </c>
      <c r="N94" s="15" t="n">
        <f aca="false">IF($A94&gt;=Annahmen!$D$82,Annahmen!$D$93,0)</f>
        <v>300</v>
      </c>
      <c r="O94" s="23" t="n">
        <f aca="false">N94*Annahmen!$B$104</f>
        <v>1800</v>
      </c>
      <c r="P94" s="15" t="n">
        <f aca="false">IF($A94&gt;=Annahmen!$D$82,Annahmen!$D$94,0)</f>
        <v>100</v>
      </c>
      <c r="Q94" s="23" t="n">
        <f aca="false">P94*Annahmen!$B$105</f>
        <v>400</v>
      </c>
      <c r="R94" s="17" t="n">
        <f aca="false">IF($A94&gt;=Annahmen!$D$82,Annahmen!$D$95,0)</f>
        <v>4</v>
      </c>
      <c r="S94" s="23" t="n">
        <f aca="false">R94*Annahmen!$B$106</f>
        <v>196</v>
      </c>
      <c r="T94" s="23" t="n">
        <f aca="false">E94+G94+I94+K94+M94+O94+Q94+S94</f>
        <v>9362.03225806452</v>
      </c>
      <c r="U94" s="23" t="n">
        <f aca="false">C94*Annahmen!$B$51+F94*Annahmen!$D$87*Annahmen!$B$47+H94*(Annahmen!$B$45+Annahmen!$D$89*(Annahmen!$B$47-Annahmen!$B$45))+J94*Annahmen!$B$48+L94*Annahmen!$B$49+(N94+P94)*Annahmen!$B$50</f>
        <v>134.866004269115</v>
      </c>
      <c r="V94" s="23" t="n">
        <f aca="false">SUMPRODUCT((((Annahmen!$C$145:$C$155="monatlich")*(Annahmen!$D$145:$D$155&lt;=$A94))+((Annahmen!$C$145:$C$155="einmalig")*(Annahmen!$D$145:$D$155=$A94)))*Annahmen!$B$145:$B$155*Annahmen!$F$145:$F$155)</f>
        <v>50.8275708031806</v>
      </c>
      <c r="W94" s="23" t="n">
        <f aca="false">Annahmen!$D$135</f>
        <v>400</v>
      </c>
      <c r="X94" s="17" t="n">
        <f aca="false">C94+F94*Annahmen!$D$87+H94+J94+L94/Annahmen!$B$46+(N94+P94)/(Annahmen!$B$23/Annahmen!$B$24)</f>
        <v>16.075</v>
      </c>
      <c r="Y94" s="35" t="n">
        <f aca="false">MAX(0,(X94-Annahmen!$B$140)/Annahmen!$B$141)</f>
        <v>0.538333333333333</v>
      </c>
      <c r="Z94" s="23" t="n">
        <f aca="false">Y94*Annahmen!$B$137</f>
        <v>2422.5</v>
      </c>
      <c r="AA94" s="23" t="n">
        <f aca="false">T94-U94-V94-W94-Z94</f>
        <v>6353.83868299222</v>
      </c>
      <c r="AB94" s="23" t="n">
        <f aca="false">AB93+AA94</f>
        <v>102847.293848146</v>
      </c>
      <c r="AC94" s="7" t="n">
        <f aca="false">IF(AA94&gt;0,1,0)</f>
        <v>1</v>
      </c>
      <c r="AD94" s="7" t="n">
        <f aca="false">IF(AB94&gt;=0,1,0)</f>
        <v>1</v>
      </c>
    </row>
    <row r="95" customFormat="false" ht="15" hidden="false" customHeight="false" outlineLevel="0" collapsed="false">
      <c r="A95" s="7" t="n">
        <v>20</v>
      </c>
      <c r="B95" s="7" t="s">
        <v>369</v>
      </c>
      <c r="C95" s="17" t="n">
        <f aca="false">IF($A95&gt;=Annahmen!$D$82,Annahmen!$D$83,0)</f>
        <v>1.5</v>
      </c>
      <c r="D95" s="17" t="n">
        <f aca="false">C95*Annahmen!$D$84</f>
        <v>0.3</v>
      </c>
      <c r="E95" s="23" t="n">
        <f aca="false">(C95-D95)*Annahmen!$B$96</f>
        <v>588</v>
      </c>
      <c r="F95" s="17" t="n">
        <f aca="false">IF($A95&gt;Annahmen!$B$86,INDEX($C$76:$C$99,$A95-Annahmen!$B$86)*Annahmen!$D$85,0)</f>
        <v>0.75</v>
      </c>
      <c r="G95" s="23" t="n">
        <f aca="false">F95*(Annahmen!$D$87*(Annahmen!$B$97+Annahmen!$B$98)-Annahmen!$B$96*(1-Annahmen!$D$84))</f>
        <v>2940</v>
      </c>
      <c r="H95" s="17" t="n">
        <f aca="false">IF($A95&gt;=Annahmen!$D$82,Annahmen!$D$88,0)</f>
        <v>3</v>
      </c>
      <c r="I95" s="23" t="n">
        <f aca="false">H95*(Annahmen!$B$97+Annahmen!$D$89*Annahmen!$B$98)</f>
        <v>1149</v>
      </c>
      <c r="J95" s="17" t="n">
        <f aca="false">IF($A95&gt;=Annahmen!$D$82,Annahmen!$D$90,0)</f>
        <v>2</v>
      </c>
      <c r="K95" s="23" t="n">
        <f aca="false">J95*(Annahmen!$B$99+Annahmen!$B$91*Annahmen!$B$102)</f>
        <v>509.032258064516</v>
      </c>
      <c r="L95" s="17" t="n">
        <f aca="false">IF($A95&gt;=Annahmen!$D$82,Annahmen!$D$92,0)</f>
        <v>20</v>
      </c>
      <c r="M95" s="23" t="n">
        <f aca="false">L95*Annahmen!$B$103</f>
        <v>1780</v>
      </c>
      <c r="N95" s="15" t="n">
        <f aca="false">IF($A95&gt;=Annahmen!$D$82,Annahmen!$D$93,0)</f>
        <v>300</v>
      </c>
      <c r="O95" s="23" t="n">
        <f aca="false">N95*Annahmen!$B$104</f>
        <v>1800</v>
      </c>
      <c r="P95" s="15" t="n">
        <f aca="false">IF($A95&gt;=Annahmen!$D$82,Annahmen!$D$94,0)</f>
        <v>100</v>
      </c>
      <c r="Q95" s="23" t="n">
        <f aca="false">P95*Annahmen!$B$105</f>
        <v>400</v>
      </c>
      <c r="R95" s="17" t="n">
        <f aca="false">IF($A95&gt;=Annahmen!$D$82,Annahmen!$D$95,0)</f>
        <v>4</v>
      </c>
      <c r="S95" s="23" t="n">
        <f aca="false">R95*Annahmen!$B$106</f>
        <v>196</v>
      </c>
      <c r="T95" s="23" t="n">
        <f aca="false">E95+G95+I95+K95+M95+O95+Q95+S95</f>
        <v>9362.03225806452</v>
      </c>
      <c r="U95" s="23" t="n">
        <f aca="false">C95*Annahmen!$B$51+F95*Annahmen!$D$87*Annahmen!$B$47+H95*(Annahmen!$B$45+Annahmen!$D$89*(Annahmen!$B$47-Annahmen!$B$45))+J95*Annahmen!$B$48+L95*Annahmen!$B$49+(N95+P95)*Annahmen!$B$50</f>
        <v>134.866004269115</v>
      </c>
      <c r="V95" s="23" t="n">
        <f aca="false">SUMPRODUCT((((Annahmen!$C$145:$C$155="monatlich")*(Annahmen!$D$145:$D$155&lt;=$A95))+((Annahmen!$C$145:$C$155="einmalig")*(Annahmen!$D$145:$D$155=$A95)))*Annahmen!$B$145:$B$155*Annahmen!$F$145:$F$155)</f>
        <v>50.8275708031806</v>
      </c>
      <c r="W95" s="23" t="n">
        <f aca="false">Annahmen!$D$135</f>
        <v>400</v>
      </c>
      <c r="X95" s="17" t="n">
        <f aca="false">C95+F95*Annahmen!$D$87+H95+J95+L95/Annahmen!$B$46+(N95+P95)/(Annahmen!$B$23/Annahmen!$B$24)</f>
        <v>16.075</v>
      </c>
      <c r="Y95" s="35" t="n">
        <f aca="false">MAX(0,(X95-Annahmen!$B$140)/Annahmen!$B$141)</f>
        <v>0.538333333333333</v>
      </c>
      <c r="Z95" s="23" t="n">
        <f aca="false">Y95*Annahmen!$B$137</f>
        <v>2422.5</v>
      </c>
      <c r="AA95" s="23" t="n">
        <f aca="false">T95-U95-V95-W95-Z95</f>
        <v>6353.83868299222</v>
      </c>
      <c r="AB95" s="23" t="n">
        <f aca="false">AB94+AA95</f>
        <v>109201.132531138</v>
      </c>
      <c r="AC95" s="7" t="n">
        <f aca="false">IF(AA95&gt;0,1,0)</f>
        <v>1</v>
      </c>
      <c r="AD95" s="7" t="n">
        <f aca="false">IF(AB95&gt;=0,1,0)</f>
        <v>1</v>
      </c>
    </row>
    <row r="96" customFormat="false" ht="15" hidden="false" customHeight="false" outlineLevel="0" collapsed="false">
      <c r="A96" s="7" t="n">
        <v>21</v>
      </c>
      <c r="B96" s="7" t="s">
        <v>370</v>
      </c>
      <c r="C96" s="17" t="n">
        <f aca="false">IF($A96&gt;=Annahmen!$D$82,Annahmen!$D$83,0)</f>
        <v>1.5</v>
      </c>
      <c r="D96" s="17" t="n">
        <f aca="false">C96*Annahmen!$D$84</f>
        <v>0.3</v>
      </c>
      <c r="E96" s="23" t="n">
        <f aca="false">(C96-D96)*Annahmen!$B$96</f>
        <v>588</v>
      </c>
      <c r="F96" s="17" t="n">
        <f aca="false">IF($A96&gt;Annahmen!$B$86,INDEX($C$76:$C$99,$A96-Annahmen!$B$86)*Annahmen!$D$85,0)</f>
        <v>0.75</v>
      </c>
      <c r="G96" s="23" t="n">
        <f aca="false">F96*(Annahmen!$D$87*(Annahmen!$B$97+Annahmen!$B$98)-Annahmen!$B$96*(1-Annahmen!$D$84))</f>
        <v>2940</v>
      </c>
      <c r="H96" s="17" t="n">
        <f aca="false">IF($A96&gt;=Annahmen!$D$82,Annahmen!$D$88,0)</f>
        <v>3</v>
      </c>
      <c r="I96" s="23" t="n">
        <f aca="false">H96*(Annahmen!$B$97+Annahmen!$D$89*Annahmen!$B$98)</f>
        <v>1149</v>
      </c>
      <c r="J96" s="17" t="n">
        <f aca="false">IF($A96&gt;=Annahmen!$D$82,Annahmen!$D$90,0)</f>
        <v>2</v>
      </c>
      <c r="K96" s="23" t="n">
        <f aca="false">J96*(Annahmen!$B$99+Annahmen!$B$91*Annahmen!$B$102)</f>
        <v>509.032258064516</v>
      </c>
      <c r="L96" s="17" t="n">
        <f aca="false">IF($A96&gt;=Annahmen!$D$82,Annahmen!$D$92,0)</f>
        <v>20</v>
      </c>
      <c r="M96" s="23" t="n">
        <f aca="false">L96*Annahmen!$B$103</f>
        <v>1780</v>
      </c>
      <c r="N96" s="15" t="n">
        <f aca="false">IF($A96&gt;=Annahmen!$D$82,Annahmen!$D$93,0)</f>
        <v>300</v>
      </c>
      <c r="O96" s="23" t="n">
        <f aca="false">N96*Annahmen!$B$104</f>
        <v>1800</v>
      </c>
      <c r="P96" s="15" t="n">
        <f aca="false">IF($A96&gt;=Annahmen!$D$82,Annahmen!$D$94,0)</f>
        <v>100</v>
      </c>
      <c r="Q96" s="23" t="n">
        <f aca="false">P96*Annahmen!$B$105</f>
        <v>400</v>
      </c>
      <c r="R96" s="17" t="n">
        <f aca="false">IF($A96&gt;=Annahmen!$D$82,Annahmen!$D$95,0)</f>
        <v>4</v>
      </c>
      <c r="S96" s="23" t="n">
        <f aca="false">R96*Annahmen!$B$106</f>
        <v>196</v>
      </c>
      <c r="T96" s="23" t="n">
        <f aca="false">E96+G96+I96+K96+M96+O96+Q96+S96</f>
        <v>9362.03225806452</v>
      </c>
      <c r="U96" s="23" t="n">
        <f aca="false">C96*Annahmen!$B$51+F96*Annahmen!$D$87*Annahmen!$B$47+H96*(Annahmen!$B$45+Annahmen!$D$89*(Annahmen!$B$47-Annahmen!$B$45))+J96*Annahmen!$B$48+L96*Annahmen!$B$49+(N96+P96)*Annahmen!$B$50</f>
        <v>134.866004269115</v>
      </c>
      <c r="V96" s="23" t="n">
        <f aca="false">SUMPRODUCT((((Annahmen!$C$145:$C$155="monatlich")*(Annahmen!$D$145:$D$155&lt;=$A96))+((Annahmen!$C$145:$C$155="einmalig")*(Annahmen!$D$145:$D$155=$A96)))*Annahmen!$B$145:$B$155*Annahmen!$F$145:$F$155)</f>
        <v>50.8275708031806</v>
      </c>
      <c r="W96" s="23" t="n">
        <f aca="false">Annahmen!$D$135</f>
        <v>400</v>
      </c>
      <c r="X96" s="17" t="n">
        <f aca="false">C96+F96*Annahmen!$D$87+H96+J96+L96/Annahmen!$B$46+(N96+P96)/(Annahmen!$B$23/Annahmen!$B$24)</f>
        <v>16.075</v>
      </c>
      <c r="Y96" s="35" t="n">
        <f aca="false">MAX(0,(X96-Annahmen!$B$140)/Annahmen!$B$141)</f>
        <v>0.538333333333333</v>
      </c>
      <c r="Z96" s="23" t="n">
        <f aca="false">Y96*Annahmen!$B$137</f>
        <v>2422.5</v>
      </c>
      <c r="AA96" s="23" t="n">
        <f aca="false">T96-U96-V96-W96-Z96</f>
        <v>6353.83868299222</v>
      </c>
      <c r="AB96" s="23" t="n">
        <f aca="false">AB95+AA96</f>
        <v>115554.971214131</v>
      </c>
      <c r="AC96" s="7" t="n">
        <f aca="false">IF(AA96&gt;0,1,0)</f>
        <v>1</v>
      </c>
      <c r="AD96" s="7" t="n">
        <f aca="false">IF(AB96&gt;=0,1,0)</f>
        <v>1</v>
      </c>
    </row>
    <row r="97" customFormat="false" ht="15" hidden="false" customHeight="false" outlineLevel="0" collapsed="false">
      <c r="A97" s="7" t="n">
        <v>22</v>
      </c>
      <c r="B97" s="7" t="s">
        <v>371</v>
      </c>
      <c r="C97" s="17" t="n">
        <f aca="false">IF($A97&gt;=Annahmen!$D$82,Annahmen!$D$83,0)</f>
        <v>1.5</v>
      </c>
      <c r="D97" s="17" t="n">
        <f aca="false">C97*Annahmen!$D$84</f>
        <v>0.3</v>
      </c>
      <c r="E97" s="23" t="n">
        <f aca="false">(C97-D97)*Annahmen!$B$96</f>
        <v>588</v>
      </c>
      <c r="F97" s="17" t="n">
        <f aca="false">IF($A97&gt;Annahmen!$B$86,INDEX($C$76:$C$99,$A97-Annahmen!$B$86)*Annahmen!$D$85,0)</f>
        <v>0.75</v>
      </c>
      <c r="G97" s="23" t="n">
        <f aca="false">F97*(Annahmen!$D$87*(Annahmen!$B$97+Annahmen!$B$98)-Annahmen!$B$96*(1-Annahmen!$D$84))</f>
        <v>2940</v>
      </c>
      <c r="H97" s="17" t="n">
        <f aca="false">IF($A97&gt;=Annahmen!$D$82,Annahmen!$D$88,0)</f>
        <v>3</v>
      </c>
      <c r="I97" s="23" t="n">
        <f aca="false">H97*(Annahmen!$B$97+Annahmen!$D$89*Annahmen!$B$98)</f>
        <v>1149</v>
      </c>
      <c r="J97" s="17" t="n">
        <f aca="false">IF($A97&gt;=Annahmen!$D$82,Annahmen!$D$90,0)</f>
        <v>2</v>
      </c>
      <c r="K97" s="23" t="n">
        <f aca="false">J97*(Annahmen!$B$99+Annahmen!$B$91*Annahmen!$B$102)</f>
        <v>509.032258064516</v>
      </c>
      <c r="L97" s="17" t="n">
        <f aca="false">IF($A97&gt;=Annahmen!$D$82,Annahmen!$D$92,0)</f>
        <v>20</v>
      </c>
      <c r="M97" s="23" t="n">
        <f aca="false">L97*Annahmen!$B$103</f>
        <v>1780</v>
      </c>
      <c r="N97" s="15" t="n">
        <f aca="false">IF($A97&gt;=Annahmen!$D$82,Annahmen!$D$93,0)</f>
        <v>300</v>
      </c>
      <c r="O97" s="23" t="n">
        <f aca="false">N97*Annahmen!$B$104</f>
        <v>1800</v>
      </c>
      <c r="P97" s="15" t="n">
        <f aca="false">IF($A97&gt;=Annahmen!$D$82,Annahmen!$D$94,0)</f>
        <v>100</v>
      </c>
      <c r="Q97" s="23" t="n">
        <f aca="false">P97*Annahmen!$B$105</f>
        <v>400</v>
      </c>
      <c r="R97" s="17" t="n">
        <f aca="false">IF($A97&gt;=Annahmen!$D$82,Annahmen!$D$95,0)</f>
        <v>4</v>
      </c>
      <c r="S97" s="23" t="n">
        <f aca="false">R97*Annahmen!$B$106</f>
        <v>196</v>
      </c>
      <c r="T97" s="23" t="n">
        <f aca="false">E97+G97+I97+K97+M97+O97+Q97+S97</f>
        <v>9362.03225806452</v>
      </c>
      <c r="U97" s="23" t="n">
        <f aca="false">C97*Annahmen!$B$51+F97*Annahmen!$D$87*Annahmen!$B$47+H97*(Annahmen!$B$45+Annahmen!$D$89*(Annahmen!$B$47-Annahmen!$B$45))+J97*Annahmen!$B$48+L97*Annahmen!$B$49+(N97+P97)*Annahmen!$B$50</f>
        <v>134.866004269115</v>
      </c>
      <c r="V97" s="23" t="n">
        <f aca="false">SUMPRODUCT((((Annahmen!$C$145:$C$155="monatlich")*(Annahmen!$D$145:$D$155&lt;=$A97))+((Annahmen!$C$145:$C$155="einmalig")*(Annahmen!$D$145:$D$155=$A97)))*Annahmen!$B$145:$B$155*Annahmen!$F$145:$F$155)</f>
        <v>50.8275708031806</v>
      </c>
      <c r="W97" s="23" t="n">
        <f aca="false">Annahmen!$D$135</f>
        <v>400</v>
      </c>
      <c r="X97" s="17" t="n">
        <f aca="false">C97+F97*Annahmen!$D$87+H97+J97+L97/Annahmen!$B$46+(N97+P97)/(Annahmen!$B$23/Annahmen!$B$24)</f>
        <v>16.075</v>
      </c>
      <c r="Y97" s="35" t="n">
        <f aca="false">MAX(0,(X97-Annahmen!$B$140)/Annahmen!$B$141)</f>
        <v>0.538333333333333</v>
      </c>
      <c r="Z97" s="23" t="n">
        <f aca="false">Y97*Annahmen!$B$137</f>
        <v>2422.5</v>
      </c>
      <c r="AA97" s="23" t="n">
        <f aca="false">T97-U97-V97-W97-Z97</f>
        <v>6353.83868299222</v>
      </c>
      <c r="AB97" s="23" t="n">
        <f aca="false">AB96+AA97</f>
        <v>121908.809897123</v>
      </c>
      <c r="AC97" s="7" t="n">
        <f aca="false">IF(AA97&gt;0,1,0)</f>
        <v>1</v>
      </c>
      <c r="AD97" s="7" t="n">
        <f aca="false">IF(AB97&gt;=0,1,0)</f>
        <v>1</v>
      </c>
    </row>
    <row r="98" customFormat="false" ht="15" hidden="false" customHeight="false" outlineLevel="0" collapsed="false">
      <c r="A98" s="7" t="n">
        <v>23</v>
      </c>
      <c r="B98" s="7" t="s">
        <v>372</v>
      </c>
      <c r="C98" s="17" t="n">
        <f aca="false">IF($A98&gt;=Annahmen!$D$82,Annahmen!$D$83,0)</f>
        <v>1.5</v>
      </c>
      <c r="D98" s="17" t="n">
        <f aca="false">C98*Annahmen!$D$84</f>
        <v>0.3</v>
      </c>
      <c r="E98" s="23" t="n">
        <f aca="false">(C98-D98)*Annahmen!$B$96</f>
        <v>588</v>
      </c>
      <c r="F98" s="17" t="n">
        <f aca="false">IF($A98&gt;Annahmen!$B$86,INDEX($C$76:$C$99,$A98-Annahmen!$B$86)*Annahmen!$D$85,0)</f>
        <v>0.75</v>
      </c>
      <c r="G98" s="23" t="n">
        <f aca="false">F98*(Annahmen!$D$87*(Annahmen!$B$97+Annahmen!$B$98)-Annahmen!$B$96*(1-Annahmen!$D$84))</f>
        <v>2940</v>
      </c>
      <c r="H98" s="17" t="n">
        <f aca="false">IF($A98&gt;=Annahmen!$D$82,Annahmen!$D$88,0)</f>
        <v>3</v>
      </c>
      <c r="I98" s="23" t="n">
        <f aca="false">H98*(Annahmen!$B$97+Annahmen!$D$89*Annahmen!$B$98)</f>
        <v>1149</v>
      </c>
      <c r="J98" s="17" t="n">
        <f aca="false">IF($A98&gt;=Annahmen!$D$82,Annahmen!$D$90,0)</f>
        <v>2</v>
      </c>
      <c r="K98" s="23" t="n">
        <f aca="false">J98*(Annahmen!$B$99+Annahmen!$B$91*Annahmen!$B$102)</f>
        <v>509.032258064516</v>
      </c>
      <c r="L98" s="17" t="n">
        <f aca="false">IF($A98&gt;=Annahmen!$D$82,Annahmen!$D$92,0)</f>
        <v>20</v>
      </c>
      <c r="M98" s="23" t="n">
        <f aca="false">L98*Annahmen!$B$103</f>
        <v>1780</v>
      </c>
      <c r="N98" s="15" t="n">
        <f aca="false">IF($A98&gt;=Annahmen!$D$82,Annahmen!$D$93,0)</f>
        <v>300</v>
      </c>
      <c r="O98" s="23" t="n">
        <f aca="false">N98*Annahmen!$B$104</f>
        <v>1800</v>
      </c>
      <c r="P98" s="15" t="n">
        <f aca="false">IF($A98&gt;=Annahmen!$D$82,Annahmen!$D$94,0)</f>
        <v>100</v>
      </c>
      <c r="Q98" s="23" t="n">
        <f aca="false">P98*Annahmen!$B$105</f>
        <v>400</v>
      </c>
      <c r="R98" s="17" t="n">
        <f aca="false">IF($A98&gt;=Annahmen!$D$82,Annahmen!$D$95,0)</f>
        <v>4</v>
      </c>
      <c r="S98" s="23" t="n">
        <f aca="false">R98*Annahmen!$B$106</f>
        <v>196</v>
      </c>
      <c r="T98" s="23" t="n">
        <f aca="false">E98+G98+I98+K98+M98+O98+Q98+S98</f>
        <v>9362.03225806452</v>
      </c>
      <c r="U98" s="23" t="n">
        <f aca="false">C98*Annahmen!$B$51+F98*Annahmen!$D$87*Annahmen!$B$47+H98*(Annahmen!$B$45+Annahmen!$D$89*(Annahmen!$B$47-Annahmen!$B$45))+J98*Annahmen!$B$48+L98*Annahmen!$B$49+(N98+P98)*Annahmen!$B$50</f>
        <v>134.866004269115</v>
      </c>
      <c r="V98" s="23" t="n">
        <f aca="false">SUMPRODUCT((((Annahmen!$C$145:$C$155="monatlich")*(Annahmen!$D$145:$D$155&lt;=$A98))+((Annahmen!$C$145:$C$155="einmalig")*(Annahmen!$D$145:$D$155=$A98)))*Annahmen!$B$145:$B$155*Annahmen!$F$145:$F$155)</f>
        <v>50.8275708031806</v>
      </c>
      <c r="W98" s="23" t="n">
        <f aca="false">Annahmen!$D$135</f>
        <v>400</v>
      </c>
      <c r="X98" s="17" t="n">
        <f aca="false">C98+F98*Annahmen!$D$87+H98+J98+L98/Annahmen!$B$46+(N98+P98)/(Annahmen!$B$23/Annahmen!$B$24)</f>
        <v>16.075</v>
      </c>
      <c r="Y98" s="35" t="n">
        <f aca="false">MAX(0,(X98-Annahmen!$B$140)/Annahmen!$B$141)</f>
        <v>0.538333333333333</v>
      </c>
      <c r="Z98" s="23" t="n">
        <f aca="false">Y98*Annahmen!$B$137</f>
        <v>2422.5</v>
      </c>
      <c r="AA98" s="23" t="n">
        <f aca="false">T98-U98-V98-W98-Z98</f>
        <v>6353.83868299222</v>
      </c>
      <c r="AB98" s="23" t="n">
        <f aca="false">AB97+AA98</f>
        <v>128262.648580115</v>
      </c>
      <c r="AC98" s="7" t="n">
        <f aca="false">IF(AA98&gt;0,1,0)</f>
        <v>1</v>
      </c>
      <c r="AD98" s="7" t="n">
        <f aca="false">IF(AB98&gt;=0,1,0)</f>
        <v>1</v>
      </c>
    </row>
    <row r="99" customFormat="false" ht="15" hidden="false" customHeight="false" outlineLevel="0" collapsed="false">
      <c r="A99" s="7" t="n">
        <v>24</v>
      </c>
      <c r="B99" s="7" t="s">
        <v>373</v>
      </c>
      <c r="C99" s="17" t="n">
        <f aca="false">IF($A99&gt;=Annahmen!$D$82,Annahmen!$D$83,0)</f>
        <v>1.5</v>
      </c>
      <c r="D99" s="17" t="n">
        <f aca="false">C99*Annahmen!$D$84</f>
        <v>0.3</v>
      </c>
      <c r="E99" s="23" t="n">
        <f aca="false">(C99-D99)*Annahmen!$B$96</f>
        <v>588</v>
      </c>
      <c r="F99" s="17" t="n">
        <f aca="false">IF($A99&gt;Annahmen!$B$86,INDEX($C$76:$C$99,$A99-Annahmen!$B$86)*Annahmen!$D$85,0)</f>
        <v>0.75</v>
      </c>
      <c r="G99" s="23" t="n">
        <f aca="false">F99*(Annahmen!$D$87*(Annahmen!$B$97+Annahmen!$B$98)-Annahmen!$B$96*(1-Annahmen!$D$84))</f>
        <v>2940</v>
      </c>
      <c r="H99" s="17" t="n">
        <f aca="false">IF($A99&gt;=Annahmen!$D$82,Annahmen!$D$88,0)</f>
        <v>3</v>
      </c>
      <c r="I99" s="23" t="n">
        <f aca="false">H99*(Annahmen!$B$97+Annahmen!$D$89*Annahmen!$B$98)</f>
        <v>1149</v>
      </c>
      <c r="J99" s="17" t="n">
        <f aca="false">IF($A99&gt;=Annahmen!$D$82,Annahmen!$D$90,0)</f>
        <v>2</v>
      </c>
      <c r="K99" s="23" t="n">
        <f aca="false">J99*(Annahmen!$B$99+Annahmen!$B$91*Annahmen!$B$102)</f>
        <v>509.032258064516</v>
      </c>
      <c r="L99" s="17" t="n">
        <f aca="false">IF($A99&gt;=Annahmen!$D$82,Annahmen!$D$92,0)</f>
        <v>20</v>
      </c>
      <c r="M99" s="23" t="n">
        <f aca="false">L99*Annahmen!$B$103</f>
        <v>1780</v>
      </c>
      <c r="N99" s="15" t="n">
        <f aca="false">IF($A99&gt;=Annahmen!$D$82,Annahmen!$D$93,0)</f>
        <v>300</v>
      </c>
      <c r="O99" s="23" t="n">
        <f aca="false">N99*Annahmen!$B$104</f>
        <v>1800</v>
      </c>
      <c r="P99" s="15" t="n">
        <f aca="false">IF($A99&gt;=Annahmen!$D$82,Annahmen!$D$94,0)</f>
        <v>100</v>
      </c>
      <c r="Q99" s="23" t="n">
        <f aca="false">P99*Annahmen!$B$105</f>
        <v>400</v>
      </c>
      <c r="R99" s="17" t="n">
        <f aca="false">IF($A99&gt;=Annahmen!$D$82,Annahmen!$D$95,0)</f>
        <v>4</v>
      </c>
      <c r="S99" s="23" t="n">
        <f aca="false">R99*Annahmen!$B$106</f>
        <v>196</v>
      </c>
      <c r="T99" s="23" t="n">
        <f aca="false">E99+G99+I99+K99+M99+O99+Q99+S99</f>
        <v>9362.03225806452</v>
      </c>
      <c r="U99" s="23" t="n">
        <f aca="false">C99*Annahmen!$B$51+F99*Annahmen!$D$87*Annahmen!$B$47+H99*(Annahmen!$B$45+Annahmen!$D$89*(Annahmen!$B$47-Annahmen!$B$45))+J99*Annahmen!$B$48+L99*Annahmen!$B$49+(N99+P99)*Annahmen!$B$50</f>
        <v>134.866004269115</v>
      </c>
      <c r="V99" s="23" t="n">
        <f aca="false">SUMPRODUCT((((Annahmen!$C$145:$C$155="monatlich")*(Annahmen!$D$145:$D$155&lt;=$A99))+((Annahmen!$C$145:$C$155="einmalig")*(Annahmen!$D$145:$D$155=$A99)))*Annahmen!$B$145:$B$155*Annahmen!$F$145:$F$155)</f>
        <v>50.8275708031806</v>
      </c>
      <c r="W99" s="23" t="n">
        <f aca="false">Annahmen!$D$135</f>
        <v>400</v>
      </c>
      <c r="X99" s="17" t="n">
        <f aca="false">C99+F99*Annahmen!$D$87+H99+J99+L99/Annahmen!$B$46+(N99+P99)/(Annahmen!$B$23/Annahmen!$B$24)</f>
        <v>16.075</v>
      </c>
      <c r="Y99" s="35" t="n">
        <f aca="false">MAX(0,(X99-Annahmen!$B$140)/Annahmen!$B$141)</f>
        <v>0.538333333333333</v>
      </c>
      <c r="Z99" s="23" t="n">
        <f aca="false">Y99*Annahmen!$B$137</f>
        <v>2422.5</v>
      </c>
      <c r="AA99" s="23" t="n">
        <f aca="false">T99-U99-V99-W99-Z99</f>
        <v>6353.83868299222</v>
      </c>
      <c r="AB99" s="23" t="n">
        <f aca="false">AB98+AA99</f>
        <v>134616.487263107</v>
      </c>
      <c r="AC99" s="7" t="n">
        <f aca="false">IF(AA99&gt;0,1,0)</f>
        <v>1</v>
      </c>
      <c r="AD99" s="7" t="n">
        <f aca="false">IF(AB99&gt;=0,1,0)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24" min="3" style="0" width="13"/>
  </cols>
  <sheetData>
    <row r="1" customFormat="false" ht="17.35" hidden="false" customHeight="false" outlineLevel="0" collapsed="false">
      <c r="A1" s="1" t="s">
        <v>404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52.2" hidden="false" customHeight="false" outlineLevel="0" collapsed="false">
      <c r="A3" s="4" t="s">
        <v>312</v>
      </c>
      <c r="B3" s="31" t="str">
        <f aca="false">"vorsichtig – "&amp;Annahmen!$B$133</f>
        <v>vorsichtig – teures Hobby</v>
      </c>
      <c r="C3" s="31" t="str">
        <f aca="false">"mittel – "&amp;Annahmen!$C$133</f>
        <v>mittel – profitabler Nebenerwerb</v>
      </c>
      <c r="D3" s="31" t="str">
        <f aca="false">"stark – "&amp;Annahmen!$D$133</f>
        <v>stark – skalierbares Business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false" outlineLevel="0" collapsed="false">
      <c r="A4" s="32" t="s">
        <v>313</v>
      </c>
      <c r="B4" s="32" t="str">
        <f aca="false">IFERROR("Monat "&amp;MATCH(1,W18:W41,0)&amp;" ("&amp;INDEX($B$18:$B$41,MATCH(1,W18:W41,0))&amp;")","nicht in 24 M")</f>
        <v>nicht in 24 M</v>
      </c>
      <c r="C4" s="32" t="str">
        <f aca="false">IFERROR("Monat "&amp;MATCH(1,W47:W70,0)&amp;" ("&amp;INDEX($B$47:$B$70,MATCH(1,W47:W70,0))&amp;")","nicht in 24 M")</f>
        <v>Monat 10 (10/2027)</v>
      </c>
      <c r="D4" s="32" t="str">
        <f aca="false">IFERROR("Monat "&amp;MATCH(1,W76:W99,0)&amp;" ("&amp;INDEX($B$76:$B$99,MATCH(1,W76:W99,0))&amp;")","nicht in 24 M")</f>
        <v>Monat 7 (07/2027)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" hidden="false" customHeight="false" outlineLevel="0" collapsed="false">
      <c r="A5" s="32" t="s">
        <v>314</v>
      </c>
      <c r="B5" s="32" t="str">
        <f aca="false">IFERROR("Monat "&amp;MATCH(1,X18:X41,0)&amp;" ("&amp;INDEX($B$18:$B$41,MATCH(1,X18:X41,0))&amp;")","nicht in 24 M")</f>
        <v>nicht in 24 M</v>
      </c>
      <c r="C5" s="32" t="str">
        <f aca="false">IFERROR("Monat "&amp;MATCH(1,X47:X70,0)&amp;" ("&amp;INDEX($B$47:$B$70,MATCH(1,X47:X70,0))&amp;")","nicht in 24 M")</f>
        <v>Monat 15 (03/2028)</v>
      </c>
      <c r="D5" s="32" t="str">
        <f aca="false">IFERROR("Monat "&amp;MATCH(1,X76:X99,0)&amp;" ("&amp;INDEX($B$76:$B$99,MATCH(1,X76:X99,0))&amp;")","nicht in 24 M")</f>
        <v>Monat 8 (08/2027)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false" outlineLevel="0" collapsed="false">
      <c r="A6" s="32" t="s">
        <v>405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" hidden="false" customHeight="false" outlineLevel="0" collapsed="false">
      <c r="A7" s="7" t="s">
        <v>406</v>
      </c>
      <c r="B7" s="33" t="n">
        <f aca="false">Annahmen!$B$116/(1+Annahmen!$B$9)*Annahmen!$B$129</f>
        <v>1.46705607476636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" hidden="false" customHeight="false" outlineLevel="0" collapsed="false">
      <c r="A8" s="7" t="s">
        <v>407</v>
      </c>
      <c r="B8" s="33" t="n">
        <f aca="false">Annahmen!$B$117/(1+Annahmen!$B$9)*Annahmen!$B$130</f>
        <v>4.10700934579439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5" hidden="false" customHeight="false" outlineLevel="0" collapsed="false">
      <c r="A9" s="7" t="s">
        <v>408</v>
      </c>
      <c r="B9" s="33" t="n">
        <f aca="false">Annahmen!$B$118/(1+Annahmen!$B$9)*Annahmen!$B$129</f>
        <v>2.44836448598131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5" hidden="false" customHeight="false" outlineLevel="0" collapsed="false">
      <c r="A10" s="7" t="s">
        <v>409</v>
      </c>
      <c r="B10" s="33" t="n">
        <f aca="false">Annahmen!$B$127-Annahmen!$B$47</f>
        <v>381.328256728623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" hidden="false" customHeight="false" outlineLevel="0" collapsed="false">
      <c r="A12" s="7" t="s">
        <v>410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5" hidden="false" customHeight="false" outlineLevel="0" collapsed="false">
      <c r="A16" s="5" t="str">
        <f aca="false">"Szenario vorsichtig – "&amp;Annahmen!$B$133</f>
        <v>Szenario vorsichtig – teures Hobby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"/>
      <c r="X16" s="2"/>
    </row>
    <row r="17" customFormat="false" ht="42" hidden="false" customHeight="true" outlineLevel="0" collapsed="false">
      <c r="A17" s="34" t="s">
        <v>96</v>
      </c>
      <c r="B17" s="34" t="s">
        <v>323</v>
      </c>
      <c r="C17" s="34" t="s">
        <v>411</v>
      </c>
      <c r="D17" s="34" t="s">
        <v>412</v>
      </c>
      <c r="E17" s="34" t="s">
        <v>413</v>
      </c>
      <c r="F17" s="34" t="s">
        <v>414</v>
      </c>
      <c r="G17" s="34" t="s">
        <v>415</v>
      </c>
      <c r="H17" s="34" t="s">
        <v>416</v>
      </c>
      <c r="I17" s="34" t="s">
        <v>417</v>
      </c>
      <c r="J17" s="34" t="s">
        <v>418</v>
      </c>
      <c r="K17" s="34" t="s">
        <v>419</v>
      </c>
      <c r="L17" s="34" t="s">
        <v>420</v>
      </c>
      <c r="M17" s="34" t="s">
        <v>421</v>
      </c>
      <c r="N17" s="34" t="s">
        <v>422</v>
      </c>
      <c r="O17" s="34" t="s">
        <v>423</v>
      </c>
      <c r="P17" s="34" t="s">
        <v>424</v>
      </c>
      <c r="Q17" s="34" t="s">
        <v>401</v>
      </c>
      <c r="R17" s="34" t="s">
        <v>425</v>
      </c>
      <c r="S17" s="34" t="s">
        <v>342</v>
      </c>
      <c r="T17" s="34" t="s">
        <v>343</v>
      </c>
      <c r="U17" s="34" t="s">
        <v>346</v>
      </c>
      <c r="V17" s="34" t="s">
        <v>347</v>
      </c>
      <c r="W17" s="34" t="s">
        <v>348</v>
      </c>
      <c r="X17" s="34" t="s">
        <v>349</v>
      </c>
    </row>
    <row r="18" customFormat="false" ht="15" hidden="false" customHeight="false" outlineLevel="0" collapsed="false">
      <c r="A18" s="7" t="n">
        <v>1</v>
      </c>
      <c r="B18" s="7" t="s">
        <v>350</v>
      </c>
      <c r="C18" s="17" t="n">
        <f aca="false">IF($A18&gt;=Annahmen!$B$109,Annahmen!$B$110,0)</f>
        <v>0</v>
      </c>
      <c r="D18" s="17" t="n">
        <f aca="false">C18</f>
        <v>0</v>
      </c>
      <c r="E18" s="17" t="n">
        <f aca="false">D18*Annahmen!$B$113</f>
        <v>0</v>
      </c>
      <c r="F18" s="18" t="n">
        <f aca="false">E18*Annahmen!$B$116/(1+Annahmen!$B$9)*Annahmen!$B$129</f>
        <v>0</v>
      </c>
      <c r="G18" s="17" t="n">
        <f aca="false">IF($A18&gt;=Annahmen!$B$109,Annahmen!$B$111,0)</f>
        <v>0</v>
      </c>
      <c r="H18" s="17" t="n">
        <f aca="false">G18</f>
        <v>0</v>
      </c>
      <c r="I18" s="17" t="n">
        <f aca="false">H18*Annahmen!$B$114</f>
        <v>0</v>
      </c>
      <c r="J18" s="18" t="n">
        <f aca="false">I18*Annahmen!$B$117/(1+Annahmen!$B$9)*Annahmen!$B$130</f>
        <v>0</v>
      </c>
      <c r="K18" s="17" t="n">
        <f aca="false">IF($A18&gt;=Annahmen!$B$109,Annahmen!$B$112,0)</f>
        <v>0</v>
      </c>
      <c r="L18" s="17" t="n">
        <f aca="false">K18</f>
        <v>0</v>
      </c>
      <c r="M18" s="17" t="n">
        <f aca="false">L18*Annahmen!$B$115</f>
        <v>0</v>
      </c>
      <c r="N18" s="18" t="n">
        <f aca="false">M18*Annahmen!$B$118/(1+Annahmen!$B$9)*Annahmen!$B$129</f>
        <v>0</v>
      </c>
      <c r="O18" s="17" t="n">
        <f aca="false">IF($A18&gt;=Annahmen!$B$125,Annahmen!$B$126,0)</f>
        <v>0</v>
      </c>
      <c r="P18" s="23" t="n">
        <f aca="false">O18*Annahmen!$B$127</f>
        <v>0</v>
      </c>
      <c r="Q18" s="23" t="n">
        <f aca="false">F18+J18+N18+P18</f>
        <v>0</v>
      </c>
      <c r="R18" s="23" t="n">
        <f aca="false">O18*Annahmen!$B$47+(C18+G18+K18)*Annahmen!$B$128</f>
        <v>0</v>
      </c>
      <c r="S18" s="23" t="n">
        <f aca="false">SUMPRODUCT((((Annahmen!$C$145:$C$155="monatlich")*(Annahmen!$D$145:$D$155&lt;=$A18))+((Annahmen!$C$145:$C$155="einmalig")*(Annahmen!$D$145:$D$155=$A18)))*Annahmen!$B$145:$B$155*Annahmen!$G$145:$G$155)</f>
        <v>109.560493165371</v>
      </c>
      <c r="T18" s="23" t="n">
        <f aca="false">IF($A18&gt;=Annahmen!$B$109,Annahmen!$B$136,0)</f>
        <v>0</v>
      </c>
      <c r="U18" s="23" t="n">
        <f aca="false">Q18-R18-S18-T18</f>
        <v>-109.560493165371</v>
      </c>
      <c r="V18" s="23" t="n">
        <f aca="false">U18</f>
        <v>-109.560493165371</v>
      </c>
      <c r="W18" s="7" t="n">
        <f aca="false">IF(U18&gt;0,1,0)</f>
        <v>0</v>
      </c>
      <c r="X18" s="7" t="n">
        <f aca="false">IF(V18&gt;=0,1,0)</f>
        <v>0</v>
      </c>
    </row>
    <row r="19" customFormat="false" ht="15" hidden="false" customHeight="false" outlineLevel="0" collapsed="false">
      <c r="A19" s="7" t="n">
        <v>2</v>
      </c>
      <c r="B19" s="7" t="s">
        <v>351</v>
      </c>
      <c r="C19" s="17" t="n">
        <f aca="false">IF($A19&gt;=Annahmen!$B$109,Annahmen!$B$110,0)</f>
        <v>0</v>
      </c>
      <c r="D19" s="17" t="n">
        <f aca="false">D18+C19</f>
        <v>0</v>
      </c>
      <c r="E19" s="17" t="n">
        <f aca="false">D19*Annahmen!$B$113</f>
        <v>0</v>
      </c>
      <c r="F19" s="18" t="n">
        <f aca="false">E19*Annahmen!$B$116/(1+Annahmen!$B$9)*Annahmen!$B$129</f>
        <v>0</v>
      </c>
      <c r="G19" s="17" t="n">
        <f aca="false">IF($A19&gt;=Annahmen!$B$109,Annahmen!$B$111,0)</f>
        <v>0</v>
      </c>
      <c r="H19" s="17" t="n">
        <f aca="false">H18+G19</f>
        <v>0</v>
      </c>
      <c r="I19" s="17" t="n">
        <f aca="false">H19*Annahmen!$B$114</f>
        <v>0</v>
      </c>
      <c r="J19" s="18" t="n">
        <f aca="false">I19*Annahmen!$B$117/(1+Annahmen!$B$9)*Annahmen!$B$130</f>
        <v>0</v>
      </c>
      <c r="K19" s="17" t="n">
        <f aca="false">IF($A19&gt;=Annahmen!$B$109,Annahmen!$B$112,0)</f>
        <v>0</v>
      </c>
      <c r="L19" s="17" t="n">
        <f aca="false">L18+K19</f>
        <v>0</v>
      </c>
      <c r="M19" s="17" t="n">
        <f aca="false">L19*Annahmen!$B$115</f>
        <v>0</v>
      </c>
      <c r="N19" s="18" t="n">
        <f aca="false">M19*Annahmen!$B$118/(1+Annahmen!$B$9)*Annahmen!$B$129</f>
        <v>0</v>
      </c>
      <c r="O19" s="17" t="n">
        <f aca="false">IF($A19&gt;=Annahmen!$B$125,Annahmen!$B$126,0)</f>
        <v>0</v>
      </c>
      <c r="P19" s="23" t="n">
        <f aca="false">O19*Annahmen!$B$127</f>
        <v>0</v>
      </c>
      <c r="Q19" s="23" t="n">
        <f aca="false">F19+J19+N19+P19</f>
        <v>0</v>
      </c>
      <c r="R19" s="23" t="n">
        <f aca="false">O19*Annahmen!$B$47+(C19+G19+K19)*Annahmen!$B$128</f>
        <v>0</v>
      </c>
      <c r="S19" s="23" t="n">
        <f aca="false">SUMPRODUCT((((Annahmen!$C$145:$C$155="monatlich")*(Annahmen!$D$145:$D$155&lt;=$A19))+((Annahmen!$C$145:$C$155="einmalig")*(Annahmen!$D$145:$D$155=$A19)))*Annahmen!$B$145:$B$155*Annahmen!$G$145:$G$155)</f>
        <v>28.3604931653712</v>
      </c>
      <c r="T19" s="23" t="n">
        <f aca="false">IF($A19&gt;=Annahmen!$B$109,Annahmen!$B$136,0)</f>
        <v>0</v>
      </c>
      <c r="U19" s="23" t="n">
        <f aca="false">Q19-R19-S19-T19</f>
        <v>-28.3604931653712</v>
      </c>
      <c r="V19" s="23" t="n">
        <f aca="false">V18+U19</f>
        <v>-137.920986330742</v>
      </c>
      <c r="W19" s="7" t="n">
        <f aca="false">IF(U19&gt;0,1,0)</f>
        <v>0</v>
      </c>
      <c r="X19" s="7" t="n">
        <f aca="false">IF(V19&gt;=0,1,0)</f>
        <v>0</v>
      </c>
    </row>
    <row r="20" customFormat="false" ht="15" hidden="false" customHeight="false" outlineLevel="0" collapsed="false">
      <c r="A20" s="7" t="n">
        <v>3</v>
      </c>
      <c r="B20" s="7" t="s">
        <v>352</v>
      </c>
      <c r="C20" s="17" t="n">
        <f aca="false">IF($A20&gt;=Annahmen!$B$109,Annahmen!$B$110,0)</f>
        <v>0</v>
      </c>
      <c r="D20" s="17" t="n">
        <f aca="false">D19+C20</f>
        <v>0</v>
      </c>
      <c r="E20" s="17" t="n">
        <f aca="false">D20*Annahmen!$B$113</f>
        <v>0</v>
      </c>
      <c r="F20" s="18" t="n">
        <f aca="false">E20*Annahmen!$B$116/(1+Annahmen!$B$9)*Annahmen!$B$129</f>
        <v>0</v>
      </c>
      <c r="G20" s="17" t="n">
        <f aca="false">IF($A20&gt;=Annahmen!$B$109,Annahmen!$B$111,0)</f>
        <v>0</v>
      </c>
      <c r="H20" s="17" t="n">
        <f aca="false">H19+G20</f>
        <v>0</v>
      </c>
      <c r="I20" s="17" t="n">
        <f aca="false">H20*Annahmen!$B$114</f>
        <v>0</v>
      </c>
      <c r="J20" s="18" t="n">
        <f aca="false">I20*Annahmen!$B$117/(1+Annahmen!$B$9)*Annahmen!$B$130</f>
        <v>0</v>
      </c>
      <c r="K20" s="17" t="n">
        <f aca="false">IF($A20&gt;=Annahmen!$B$109,Annahmen!$B$112,0)</f>
        <v>0</v>
      </c>
      <c r="L20" s="17" t="n">
        <f aca="false">L19+K20</f>
        <v>0</v>
      </c>
      <c r="M20" s="17" t="n">
        <f aca="false">L20*Annahmen!$B$115</f>
        <v>0</v>
      </c>
      <c r="N20" s="18" t="n">
        <f aca="false">M20*Annahmen!$B$118/(1+Annahmen!$B$9)*Annahmen!$B$129</f>
        <v>0</v>
      </c>
      <c r="O20" s="17" t="n">
        <f aca="false">IF($A20&gt;=Annahmen!$B$125,Annahmen!$B$126,0)</f>
        <v>0</v>
      </c>
      <c r="P20" s="23" t="n">
        <f aca="false">O20*Annahmen!$B$127</f>
        <v>0</v>
      </c>
      <c r="Q20" s="23" t="n">
        <f aca="false">F20+J20+N20+P20</f>
        <v>0</v>
      </c>
      <c r="R20" s="23" t="n">
        <f aca="false">O20*Annahmen!$B$47+(C20+G20+K20)*Annahmen!$B$128</f>
        <v>0</v>
      </c>
      <c r="S20" s="23" t="n">
        <f aca="false">SUMPRODUCT((((Annahmen!$C$145:$C$155="monatlich")*(Annahmen!$D$145:$D$155&lt;=$A20))+((Annahmen!$C$145:$C$155="einmalig")*(Annahmen!$D$145:$D$155=$A20)))*Annahmen!$B$145:$B$155*Annahmen!$G$145:$G$155)</f>
        <v>98.3604931653712</v>
      </c>
      <c r="T20" s="23" t="n">
        <f aca="false">IF($A20&gt;=Annahmen!$B$109,Annahmen!$B$136,0)</f>
        <v>0</v>
      </c>
      <c r="U20" s="23" t="n">
        <f aca="false">Q20-R20-S20-T20</f>
        <v>-98.3604931653712</v>
      </c>
      <c r="V20" s="23" t="n">
        <f aca="false">V19+U20</f>
        <v>-236.281479496114</v>
      </c>
      <c r="W20" s="7" t="n">
        <f aca="false">IF(U20&gt;0,1,0)</f>
        <v>0</v>
      </c>
      <c r="X20" s="7" t="n">
        <f aca="false">IF(V20&gt;=0,1,0)</f>
        <v>0</v>
      </c>
    </row>
    <row r="21" customFormat="false" ht="15" hidden="false" customHeight="false" outlineLevel="0" collapsed="false">
      <c r="A21" s="7" t="n">
        <v>4</v>
      </c>
      <c r="B21" s="7" t="s">
        <v>353</v>
      </c>
      <c r="C21" s="17" t="n">
        <f aca="false">IF($A21&gt;=Annahmen!$B$109,Annahmen!$B$110,0)</f>
        <v>0</v>
      </c>
      <c r="D21" s="17" t="n">
        <f aca="false">D20+C21</f>
        <v>0</v>
      </c>
      <c r="E21" s="17" t="n">
        <f aca="false">D21*Annahmen!$B$113</f>
        <v>0</v>
      </c>
      <c r="F21" s="18" t="n">
        <f aca="false">E21*Annahmen!$B$116/(1+Annahmen!$B$9)*Annahmen!$B$129</f>
        <v>0</v>
      </c>
      <c r="G21" s="17" t="n">
        <f aca="false">IF($A21&gt;=Annahmen!$B$109,Annahmen!$B$111,0)</f>
        <v>0</v>
      </c>
      <c r="H21" s="17" t="n">
        <f aca="false">H20+G21</f>
        <v>0</v>
      </c>
      <c r="I21" s="17" t="n">
        <f aca="false">H21*Annahmen!$B$114</f>
        <v>0</v>
      </c>
      <c r="J21" s="18" t="n">
        <f aca="false">I21*Annahmen!$B$117/(1+Annahmen!$B$9)*Annahmen!$B$130</f>
        <v>0</v>
      </c>
      <c r="K21" s="17" t="n">
        <f aca="false">IF($A21&gt;=Annahmen!$B$109,Annahmen!$B$112,0)</f>
        <v>0</v>
      </c>
      <c r="L21" s="17" t="n">
        <f aca="false">L20+K21</f>
        <v>0</v>
      </c>
      <c r="M21" s="17" t="n">
        <f aca="false">L21*Annahmen!$B$115</f>
        <v>0</v>
      </c>
      <c r="N21" s="18" t="n">
        <f aca="false">M21*Annahmen!$B$118/(1+Annahmen!$B$9)*Annahmen!$B$129</f>
        <v>0</v>
      </c>
      <c r="O21" s="17" t="n">
        <f aca="false">IF($A21&gt;=Annahmen!$B$125,Annahmen!$B$126,0)</f>
        <v>0</v>
      </c>
      <c r="P21" s="23" t="n">
        <f aca="false">O21*Annahmen!$B$127</f>
        <v>0</v>
      </c>
      <c r="Q21" s="23" t="n">
        <f aca="false">F21+J21+N21+P21</f>
        <v>0</v>
      </c>
      <c r="R21" s="23" t="n">
        <f aca="false">O21*Annahmen!$B$47+(C21+G21+K21)*Annahmen!$B$128</f>
        <v>0</v>
      </c>
      <c r="S21" s="23" t="n">
        <f aca="false">SUMPRODUCT((((Annahmen!$C$145:$C$155="monatlich")*(Annahmen!$D$145:$D$155&lt;=$A21))+((Annahmen!$C$145:$C$155="einmalig")*(Annahmen!$D$145:$D$155=$A21)))*Annahmen!$B$145:$B$155*Annahmen!$G$145:$G$155)</f>
        <v>28.3604931653712</v>
      </c>
      <c r="T21" s="23" t="n">
        <f aca="false">IF($A21&gt;=Annahmen!$B$109,Annahmen!$B$136,0)</f>
        <v>0</v>
      </c>
      <c r="U21" s="23" t="n">
        <f aca="false">Q21-R21-S21-T21</f>
        <v>-28.3604931653712</v>
      </c>
      <c r="V21" s="23" t="n">
        <f aca="false">V20+U21</f>
        <v>-264.641972661485</v>
      </c>
      <c r="W21" s="7" t="n">
        <f aca="false">IF(U21&gt;0,1,0)</f>
        <v>0</v>
      </c>
      <c r="X21" s="7" t="n">
        <f aca="false">IF(V21&gt;=0,1,0)</f>
        <v>0</v>
      </c>
    </row>
    <row r="22" customFormat="false" ht="15" hidden="false" customHeight="false" outlineLevel="0" collapsed="false">
      <c r="A22" s="7" t="n">
        <v>5</v>
      </c>
      <c r="B22" s="7" t="s">
        <v>354</v>
      </c>
      <c r="C22" s="17" t="n">
        <f aca="false">IF($A22&gt;=Annahmen!$B$109,Annahmen!$B$110,0)</f>
        <v>0</v>
      </c>
      <c r="D22" s="17" t="n">
        <f aca="false">D21+C22</f>
        <v>0</v>
      </c>
      <c r="E22" s="17" t="n">
        <f aca="false">D22*Annahmen!$B$113</f>
        <v>0</v>
      </c>
      <c r="F22" s="18" t="n">
        <f aca="false">E22*Annahmen!$B$116/(1+Annahmen!$B$9)*Annahmen!$B$129</f>
        <v>0</v>
      </c>
      <c r="G22" s="17" t="n">
        <f aca="false">IF($A22&gt;=Annahmen!$B$109,Annahmen!$B$111,0)</f>
        <v>0</v>
      </c>
      <c r="H22" s="17" t="n">
        <f aca="false">H21+G22</f>
        <v>0</v>
      </c>
      <c r="I22" s="17" t="n">
        <f aca="false">H22*Annahmen!$B$114</f>
        <v>0</v>
      </c>
      <c r="J22" s="18" t="n">
        <f aca="false">I22*Annahmen!$B$117/(1+Annahmen!$B$9)*Annahmen!$B$130</f>
        <v>0</v>
      </c>
      <c r="K22" s="17" t="n">
        <f aca="false">IF($A22&gt;=Annahmen!$B$109,Annahmen!$B$112,0)</f>
        <v>0</v>
      </c>
      <c r="L22" s="17" t="n">
        <f aca="false">L21+K22</f>
        <v>0</v>
      </c>
      <c r="M22" s="17" t="n">
        <f aca="false">L22*Annahmen!$B$115</f>
        <v>0</v>
      </c>
      <c r="N22" s="18" t="n">
        <f aca="false">M22*Annahmen!$B$118/(1+Annahmen!$B$9)*Annahmen!$B$129</f>
        <v>0</v>
      </c>
      <c r="O22" s="17" t="n">
        <f aca="false">IF($A22&gt;=Annahmen!$B$125,Annahmen!$B$126,0)</f>
        <v>0</v>
      </c>
      <c r="P22" s="23" t="n">
        <f aca="false">O22*Annahmen!$B$127</f>
        <v>0</v>
      </c>
      <c r="Q22" s="23" t="n">
        <f aca="false">F22+J22+N22+P22</f>
        <v>0</v>
      </c>
      <c r="R22" s="23" t="n">
        <f aca="false">O22*Annahmen!$B$47+(C22+G22+K22)*Annahmen!$B$128</f>
        <v>0</v>
      </c>
      <c r="S22" s="23" t="n">
        <f aca="false">SUMPRODUCT((((Annahmen!$C$145:$C$155="monatlich")*(Annahmen!$D$145:$D$155&lt;=$A22))+((Annahmen!$C$145:$C$155="einmalig")*(Annahmen!$D$145:$D$155=$A22)))*Annahmen!$B$145:$B$155*Annahmen!$G$145:$G$155)</f>
        <v>28.3604931653712</v>
      </c>
      <c r="T22" s="23" t="n">
        <f aca="false">IF($A22&gt;=Annahmen!$B$109,Annahmen!$B$136,0)</f>
        <v>0</v>
      </c>
      <c r="U22" s="23" t="n">
        <f aca="false">Q22-R22-S22-T22</f>
        <v>-28.3604931653712</v>
      </c>
      <c r="V22" s="23" t="n">
        <f aca="false">V21+U22</f>
        <v>-293.002465826856</v>
      </c>
      <c r="W22" s="7" t="n">
        <f aca="false">IF(U22&gt;0,1,0)</f>
        <v>0</v>
      </c>
      <c r="X22" s="7" t="n">
        <f aca="false">IF(V22&gt;=0,1,0)</f>
        <v>0</v>
      </c>
    </row>
    <row r="23" customFormat="false" ht="15" hidden="false" customHeight="false" outlineLevel="0" collapsed="false">
      <c r="A23" s="7" t="n">
        <v>6</v>
      </c>
      <c r="B23" s="7" t="s">
        <v>355</v>
      </c>
      <c r="C23" s="17" t="n">
        <f aca="false">IF($A23&gt;=Annahmen!$B$109,Annahmen!$B$110,0)</f>
        <v>2</v>
      </c>
      <c r="D23" s="17" t="n">
        <f aca="false">D22+C23</f>
        <v>2</v>
      </c>
      <c r="E23" s="17" t="n">
        <f aca="false">D23*Annahmen!$B$113</f>
        <v>0.4</v>
      </c>
      <c r="F23" s="18" t="n">
        <f aca="false">E23*Annahmen!$B$116/(1+Annahmen!$B$9)*Annahmen!$B$129</f>
        <v>0.586822429906542</v>
      </c>
      <c r="G23" s="17" t="n">
        <f aca="false">IF($A23&gt;=Annahmen!$B$109,Annahmen!$B$111,0)</f>
        <v>1</v>
      </c>
      <c r="H23" s="17" t="n">
        <f aca="false">H22+G23</f>
        <v>1</v>
      </c>
      <c r="I23" s="17" t="n">
        <f aca="false">H23*Annahmen!$B$114</f>
        <v>0.1</v>
      </c>
      <c r="J23" s="18" t="n">
        <f aca="false">I23*Annahmen!$B$117/(1+Annahmen!$B$9)*Annahmen!$B$130</f>
        <v>0.410700934579439</v>
      </c>
      <c r="K23" s="17" t="n">
        <f aca="false">IF($A23&gt;=Annahmen!$B$109,Annahmen!$B$112,0)</f>
        <v>1</v>
      </c>
      <c r="L23" s="17" t="n">
        <f aca="false">L22+K23</f>
        <v>1</v>
      </c>
      <c r="M23" s="17" t="n">
        <f aca="false">L23*Annahmen!$B$115</f>
        <v>0.2</v>
      </c>
      <c r="N23" s="18" t="n">
        <f aca="false">M23*Annahmen!$B$118/(1+Annahmen!$B$9)*Annahmen!$B$129</f>
        <v>0.489672897196262</v>
      </c>
      <c r="O23" s="17" t="n">
        <f aca="false">IF($A23&gt;=Annahmen!$B$125,Annahmen!$B$126,0)</f>
        <v>0</v>
      </c>
      <c r="P23" s="23" t="n">
        <f aca="false">O23*Annahmen!$B$127</f>
        <v>0</v>
      </c>
      <c r="Q23" s="23" t="n">
        <f aca="false">F23+J23+N23+P23</f>
        <v>1.48719626168224</v>
      </c>
      <c r="R23" s="23" t="n">
        <f aca="false">O23*Annahmen!$B$47+(C23+G23+K23)*Annahmen!$B$128</f>
        <v>0</v>
      </c>
      <c r="S23" s="23" t="n">
        <f aca="false">SUMPRODUCT((((Annahmen!$C$145:$C$155="monatlich")*(Annahmen!$D$145:$D$155&lt;=$A23))+((Annahmen!$C$145:$C$155="einmalig")*(Annahmen!$D$145:$D$155=$A23)))*Annahmen!$B$145:$B$155*Annahmen!$G$145:$G$155)</f>
        <v>28.3604931653712</v>
      </c>
      <c r="T23" s="23" t="n">
        <f aca="false">IF($A23&gt;=Annahmen!$B$109,Annahmen!$B$136,0)</f>
        <v>0</v>
      </c>
      <c r="U23" s="23" t="n">
        <f aca="false">Q23-R23-S23-T23</f>
        <v>-26.873296903689</v>
      </c>
      <c r="V23" s="23" t="n">
        <f aca="false">V22+U23</f>
        <v>-319.875762730545</v>
      </c>
      <c r="W23" s="7" t="n">
        <f aca="false">IF(U23&gt;0,1,0)</f>
        <v>0</v>
      </c>
      <c r="X23" s="7" t="n">
        <f aca="false">IF(V23&gt;=0,1,0)</f>
        <v>0</v>
      </c>
    </row>
    <row r="24" customFormat="false" ht="15" hidden="false" customHeight="false" outlineLevel="0" collapsed="false">
      <c r="A24" s="7" t="n">
        <v>7</v>
      </c>
      <c r="B24" s="7" t="s">
        <v>356</v>
      </c>
      <c r="C24" s="17" t="n">
        <f aca="false">IF($A24&gt;=Annahmen!$B$109,Annahmen!$B$110,0)</f>
        <v>2</v>
      </c>
      <c r="D24" s="17" t="n">
        <f aca="false">D23+C24</f>
        <v>4</v>
      </c>
      <c r="E24" s="17" t="n">
        <f aca="false">D24*Annahmen!$B$113</f>
        <v>0.8</v>
      </c>
      <c r="F24" s="18" t="n">
        <f aca="false">E24*Annahmen!$B$116/(1+Annahmen!$B$9)*Annahmen!$B$129</f>
        <v>1.17364485981308</v>
      </c>
      <c r="G24" s="17" t="n">
        <f aca="false">IF($A24&gt;=Annahmen!$B$109,Annahmen!$B$111,0)</f>
        <v>1</v>
      </c>
      <c r="H24" s="17" t="n">
        <f aca="false">H23+G24</f>
        <v>2</v>
      </c>
      <c r="I24" s="17" t="n">
        <f aca="false">H24*Annahmen!$B$114</f>
        <v>0.2</v>
      </c>
      <c r="J24" s="18" t="n">
        <f aca="false">I24*Annahmen!$B$117/(1+Annahmen!$B$9)*Annahmen!$B$130</f>
        <v>0.821401869158879</v>
      </c>
      <c r="K24" s="17" t="n">
        <f aca="false">IF($A24&gt;=Annahmen!$B$109,Annahmen!$B$112,0)</f>
        <v>1</v>
      </c>
      <c r="L24" s="17" t="n">
        <f aca="false">L23+K24</f>
        <v>2</v>
      </c>
      <c r="M24" s="17" t="n">
        <f aca="false">L24*Annahmen!$B$115</f>
        <v>0.4</v>
      </c>
      <c r="N24" s="18" t="n">
        <f aca="false">M24*Annahmen!$B$118/(1+Annahmen!$B$9)*Annahmen!$B$129</f>
        <v>0.979345794392523</v>
      </c>
      <c r="O24" s="17" t="n">
        <f aca="false">IF($A24&gt;=Annahmen!$B$125,Annahmen!$B$126,0)</f>
        <v>0</v>
      </c>
      <c r="P24" s="23" t="n">
        <f aca="false">O24*Annahmen!$B$127</f>
        <v>0</v>
      </c>
      <c r="Q24" s="23" t="n">
        <f aca="false">F24+J24+N24+P24</f>
        <v>2.97439252336449</v>
      </c>
      <c r="R24" s="23" t="n">
        <f aca="false">O24*Annahmen!$B$47+(C24+G24+K24)*Annahmen!$B$128</f>
        <v>0</v>
      </c>
      <c r="S24" s="23" t="n">
        <f aca="false">SUMPRODUCT((((Annahmen!$C$145:$C$155="monatlich")*(Annahmen!$D$145:$D$155&lt;=$A24))+((Annahmen!$C$145:$C$155="einmalig")*(Annahmen!$D$145:$D$155=$A24)))*Annahmen!$B$145:$B$155*Annahmen!$G$145:$G$155)</f>
        <v>28.3604931653712</v>
      </c>
      <c r="T24" s="23" t="n">
        <f aca="false">IF($A24&gt;=Annahmen!$B$109,Annahmen!$B$136,0)</f>
        <v>0</v>
      </c>
      <c r="U24" s="23" t="n">
        <f aca="false">Q24-R24-S24-T24</f>
        <v>-25.3861006420067</v>
      </c>
      <c r="V24" s="23" t="n">
        <f aca="false">V23+U24</f>
        <v>-345.261863372552</v>
      </c>
      <c r="W24" s="7" t="n">
        <f aca="false">IF(U24&gt;0,1,0)</f>
        <v>0</v>
      </c>
      <c r="X24" s="7" t="n">
        <f aca="false">IF(V24&gt;=0,1,0)</f>
        <v>0</v>
      </c>
    </row>
    <row r="25" customFormat="false" ht="15" hidden="false" customHeight="false" outlineLevel="0" collapsed="false">
      <c r="A25" s="7" t="n">
        <v>8</v>
      </c>
      <c r="B25" s="7" t="s">
        <v>357</v>
      </c>
      <c r="C25" s="17" t="n">
        <f aca="false">IF($A25&gt;=Annahmen!$B$109,Annahmen!$B$110,0)</f>
        <v>2</v>
      </c>
      <c r="D25" s="17" t="n">
        <f aca="false">D24+C25</f>
        <v>6</v>
      </c>
      <c r="E25" s="17" t="n">
        <f aca="false">D25*Annahmen!$B$113</f>
        <v>1.2</v>
      </c>
      <c r="F25" s="18" t="n">
        <f aca="false">E25*Annahmen!$B$116/(1+Annahmen!$B$9)*Annahmen!$B$129</f>
        <v>1.76046728971963</v>
      </c>
      <c r="G25" s="17" t="n">
        <f aca="false">IF($A25&gt;=Annahmen!$B$109,Annahmen!$B$111,0)</f>
        <v>1</v>
      </c>
      <c r="H25" s="17" t="n">
        <f aca="false">H24+G25</f>
        <v>3</v>
      </c>
      <c r="I25" s="17" t="n">
        <f aca="false">H25*Annahmen!$B$114</f>
        <v>0.3</v>
      </c>
      <c r="J25" s="18" t="n">
        <f aca="false">I25*Annahmen!$B$117/(1+Annahmen!$B$9)*Annahmen!$B$130</f>
        <v>1.23210280373832</v>
      </c>
      <c r="K25" s="17" t="n">
        <f aca="false">IF($A25&gt;=Annahmen!$B$109,Annahmen!$B$112,0)</f>
        <v>1</v>
      </c>
      <c r="L25" s="17" t="n">
        <f aca="false">L24+K25</f>
        <v>3</v>
      </c>
      <c r="M25" s="17" t="n">
        <f aca="false">L25*Annahmen!$B$115</f>
        <v>0.6</v>
      </c>
      <c r="N25" s="18" t="n">
        <f aca="false">M25*Annahmen!$B$118/(1+Annahmen!$B$9)*Annahmen!$B$129</f>
        <v>1.46901869158878</v>
      </c>
      <c r="O25" s="17" t="n">
        <f aca="false">IF($A25&gt;=Annahmen!$B$125,Annahmen!$B$126,0)</f>
        <v>0</v>
      </c>
      <c r="P25" s="23" t="n">
        <f aca="false">O25*Annahmen!$B$127</f>
        <v>0</v>
      </c>
      <c r="Q25" s="23" t="n">
        <f aca="false">F25+J25+N25+P25</f>
        <v>4.46158878504673</v>
      </c>
      <c r="R25" s="23" t="n">
        <f aca="false">O25*Annahmen!$B$47+(C25+G25+K25)*Annahmen!$B$128</f>
        <v>0</v>
      </c>
      <c r="S25" s="23" t="n">
        <f aca="false">SUMPRODUCT((((Annahmen!$C$145:$C$155="monatlich")*(Annahmen!$D$145:$D$155&lt;=$A25))+((Annahmen!$C$145:$C$155="einmalig")*(Annahmen!$D$145:$D$155=$A25)))*Annahmen!$B$145:$B$155*Annahmen!$G$145:$G$155)</f>
        <v>28.3604931653712</v>
      </c>
      <c r="T25" s="23" t="n">
        <f aca="false">IF($A25&gt;=Annahmen!$B$109,Annahmen!$B$136,0)</f>
        <v>0</v>
      </c>
      <c r="U25" s="23" t="n">
        <f aca="false">Q25-R25-S25-T25</f>
        <v>-23.8989043803245</v>
      </c>
      <c r="V25" s="23" t="n">
        <f aca="false">V24+U25</f>
        <v>-369.160767752876</v>
      </c>
      <c r="W25" s="7" t="n">
        <f aca="false">IF(U25&gt;0,1,0)</f>
        <v>0</v>
      </c>
      <c r="X25" s="7" t="n">
        <f aca="false">IF(V25&gt;=0,1,0)</f>
        <v>0</v>
      </c>
    </row>
    <row r="26" customFormat="false" ht="15" hidden="false" customHeight="false" outlineLevel="0" collapsed="false">
      <c r="A26" s="7" t="n">
        <v>9</v>
      </c>
      <c r="B26" s="7" t="s">
        <v>358</v>
      </c>
      <c r="C26" s="17" t="n">
        <f aca="false">IF($A26&gt;=Annahmen!$B$109,Annahmen!$B$110,0)</f>
        <v>2</v>
      </c>
      <c r="D26" s="17" t="n">
        <f aca="false">D25+C26</f>
        <v>8</v>
      </c>
      <c r="E26" s="17" t="n">
        <f aca="false">D26*Annahmen!$B$113</f>
        <v>1.6</v>
      </c>
      <c r="F26" s="18" t="n">
        <f aca="false">E26*Annahmen!$B$116/(1+Annahmen!$B$9)*Annahmen!$B$129</f>
        <v>2.34728971962617</v>
      </c>
      <c r="G26" s="17" t="n">
        <f aca="false">IF($A26&gt;=Annahmen!$B$109,Annahmen!$B$111,0)</f>
        <v>1</v>
      </c>
      <c r="H26" s="17" t="n">
        <f aca="false">H25+G26</f>
        <v>4</v>
      </c>
      <c r="I26" s="17" t="n">
        <f aca="false">H26*Annahmen!$B$114</f>
        <v>0.4</v>
      </c>
      <c r="J26" s="18" t="n">
        <f aca="false">I26*Annahmen!$B$117/(1+Annahmen!$B$9)*Annahmen!$B$130</f>
        <v>1.64280373831776</v>
      </c>
      <c r="K26" s="17" t="n">
        <f aca="false">IF($A26&gt;=Annahmen!$B$109,Annahmen!$B$112,0)</f>
        <v>1</v>
      </c>
      <c r="L26" s="17" t="n">
        <f aca="false">L25+K26</f>
        <v>4</v>
      </c>
      <c r="M26" s="17" t="n">
        <f aca="false">L26*Annahmen!$B$115</f>
        <v>0.8</v>
      </c>
      <c r="N26" s="18" t="n">
        <f aca="false">M26*Annahmen!$B$118/(1+Annahmen!$B$9)*Annahmen!$B$129</f>
        <v>1.95869158878505</v>
      </c>
      <c r="O26" s="17" t="n">
        <f aca="false">IF($A26&gt;=Annahmen!$B$125,Annahmen!$B$126,0)</f>
        <v>0</v>
      </c>
      <c r="P26" s="23" t="n">
        <f aca="false">O26*Annahmen!$B$127</f>
        <v>0</v>
      </c>
      <c r="Q26" s="23" t="n">
        <f aca="false">F26+J26+N26+P26</f>
        <v>5.94878504672897</v>
      </c>
      <c r="R26" s="23" t="n">
        <f aca="false">O26*Annahmen!$B$47+(C26+G26+K26)*Annahmen!$B$128</f>
        <v>0</v>
      </c>
      <c r="S26" s="23" t="n">
        <f aca="false">SUMPRODUCT((((Annahmen!$C$145:$C$155="monatlich")*(Annahmen!$D$145:$D$155&lt;=$A26))+((Annahmen!$C$145:$C$155="einmalig")*(Annahmen!$D$145:$D$155=$A26)))*Annahmen!$B$145:$B$155*Annahmen!$G$145:$G$155)</f>
        <v>28.3604931653712</v>
      </c>
      <c r="T26" s="23" t="n">
        <f aca="false">IF($A26&gt;=Annahmen!$B$109,Annahmen!$B$136,0)</f>
        <v>0</v>
      </c>
      <c r="U26" s="23" t="n">
        <f aca="false">Q26-R26-S26-T26</f>
        <v>-22.4117081186422</v>
      </c>
      <c r="V26" s="23" t="n">
        <f aca="false">V25+U26</f>
        <v>-391.572475871519</v>
      </c>
      <c r="W26" s="7" t="n">
        <f aca="false">IF(U26&gt;0,1,0)</f>
        <v>0</v>
      </c>
      <c r="X26" s="7" t="n">
        <f aca="false">IF(V26&gt;=0,1,0)</f>
        <v>0</v>
      </c>
    </row>
    <row r="27" customFormat="false" ht="15" hidden="false" customHeight="false" outlineLevel="0" collapsed="false">
      <c r="A27" s="7" t="n">
        <v>10</v>
      </c>
      <c r="B27" s="7" t="s">
        <v>359</v>
      </c>
      <c r="C27" s="17" t="n">
        <f aca="false">IF($A27&gt;=Annahmen!$B$109,Annahmen!$B$110,0)</f>
        <v>2</v>
      </c>
      <c r="D27" s="17" t="n">
        <f aca="false">D26+C27</f>
        <v>10</v>
      </c>
      <c r="E27" s="17" t="n">
        <f aca="false">D27*Annahmen!$B$113</f>
        <v>2</v>
      </c>
      <c r="F27" s="18" t="n">
        <f aca="false">E27*Annahmen!$B$116/(1+Annahmen!$B$9)*Annahmen!$B$129</f>
        <v>2.93411214953271</v>
      </c>
      <c r="G27" s="17" t="n">
        <f aca="false">IF($A27&gt;=Annahmen!$B$109,Annahmen!$B$111,0)</f>
        <v>1</v>
      </c>
      <c r="H27" s="17" t="n">
        <f aca="false">H26+G27</f>
        <v>5</v>
      </c>
      <c r="I27" s="17" t="n">
        <f aca="false">H27*Annahmen!$B$114</f>
        <v>0.5</v>
      </c>
      <c r="J27" s="18" t="n">
        <f aca="false">I27*Annahmen!$B$117/(1+Annahmen!$B$9)*Annahmen!$B$130</f>
        <v>2.0535046728972</v>
      </c>
      <c r="K27" s="17" t="n">
        <f aca="false">IF($A27&gt;=Annahmen!$B$109,Annahmen!$B$112,0)</f>
        <v>1</v>
      </c>
      <c r="L27" s="17" t="n">
        <f aca="false">L26+K27</f>
        <v>5</v>
      </c>
      <c r="M27" s="17" t="n">
        <f aca="false">L27*Annahmen!$B$115</f>
        <v>1</v>
      </c>
      <c r="N27" s="18" t="n">
        <f aca="false">M27*Annahmen!$B$118/(1+Annahmen!$B$9)*Annahmen!$B$129</f>
        <v>2.44836448598131</v>
      </c>
      <c r="O27" s="17" t="n">
        <f aca="false">IF($A27&gt;=Annahmen!$B$125,Annahmen!$B$126,0)</f>
        <v>0</v>
      </c>
      <c r="P27" s="23" t="n">
        <f aca="false">O27*Annahmen!$B$127</f>
        <v>0</v>
      </c>
      <c r="Q27" s="23" t="n">
        <f aca="false">F27+J27+N27+P27</f>
        <v>7.43598130841122</v>
      </c>
      <c r="R27" s="23" t="n">
        <f aca="false">O27*Annahmen!$B$47+(C27+G27+K27)*Annahmen!$B$128</f>
        <v>0</v>
      </c>
      <c r="S27" s="23" t="n">
        <f aca="false">SUMPRODUCT((((Annahmen!$C$145:$C$155="monatlich")*(Annahmen!$D$145:$D$155&lt;=$A27))+((Annahmen!$C$145:$C$155="einmalig")*(Annahmen!$D$145:$D$155=$A27)))*Annahmen!$B$145:$B$155*Annahmen!$G$145:$G$155)</f>
        <v>28.3604931653712</v>
      </c>
      <c r="T27" s="23" t="n">
        <f aca="false">IF($A27&gt;=Annahmen!$B$109,Annahmen!$B$136,0)</f>
        <v>0</v>
      </c>
      <c r="U27" s="23" t="n">
        <f aca="false">Q27-R27-S27-T27</f>
        <v>-20.92451185696</v>
      </c>
      <c r="V27" s="23" t="n">
        <f aca="false">V26+U27</f>
        <v>-412.496987728479</v>
      </c>
      <c r="W27" s="7" t="n">
        <f aca="false">IF(U27&gt;0,1,0)</f>
        <v>0</v>
      </c>
      <c r="X27" s="7" t="n">
        <f aca="false">IF(V27&gt;=0,1,0)</f>
        <v>0</v>
      </c>
    </row>
    <row r="28" customFormat="false" ht="15" hidden="false" customHeight="false" outlineLevel="0" collapsed="false">
      <c r="A28" s="7" t="n">
        <v>11</v>
      </c>
      <c r="B28" s="7" t="s">
        <v>360</v>
      </c>
      <c r="C28" s="17" t="n">
        <f aca="false">IF($A28&gt;=Annahmen!$B$109,Annahmen!$B$110,0)</f>
        <v>2</v>
      </c>
      <c r="D28" s="17" t="n">
        <f aca="false">D27+C28</f>
        <v>12</v>
      </c>
      <c r="E28" s="17" t="n">
        <f aca="false">D28*Annahmen!$B$113</f>
        <v>2.4</v>
      </c>
      <c r="F28" s="18" t="n">
        <f aca="false">E28*Annahmen!$B$116/(1+Annahmen!$B$9)*Annahmen!$B$129</f>
        <v>3.52093457943925</v>
      </c>
      <c r="G28" s="17" t="n">
        <f aca="false">IF($A28&gt;=Annahmen!$B$109,Annahmen!$B$111,0)</f>
        <v>1</v>
      </c>
      <c r="H28" s="17" t="n">
        <f aca="false">H27+G28</f>
        <v>6</v>
      </c>
      <c r="I28" s="17" t="n">
        <f aca="false">H28*Annahmen!$B$114</f>
        <v>0.6</v>
      </c>
      <c r="J28" s="18" t="n">
        <f aca="false">I28*Annahmen!$B$117/(1+Annahmen!$B$9)*Annahmen!$B$130</f>
        <v>2.46420560747664</v>
      </c>
      <c r="K28" s="17" t="n">
        <f aca="false">IF($A28&gt;=Annahmen!$B$109,Annahmen!$B$112,0)</f>
        <v>1</v>
      </c>
      <c r="L28" s="17" t="n">
        <f aca="false">L27+K28</f>
        <v>6</v>
      </c>
      <c r="M28" s="17" t="n">
        <f aca="false">L28*Annahmen!$B$115</f>
        <v>1.2</v>
      </c>
      <c r="N28" s="18" t="n">
        <f aca="false">M28*Annahmen!$B$118/(1+Annahmen!$B$9)*Annahmen!$B$129</f>
        <v>2.93803738317757</v>
      </c>
      <c r="O28" s="17" t="n">
        <f aca="false">IF($A28&gt;=Annahmen!$B$125,Annahmen!$B$126,0)</f>
        <v>0</v>
      </c>
      <c r="P28" s="23" t="n">
        <f aca="false">O28*Annahmen!$B$127</f>
        <v>0</v>
      </c>
      <c r="Q28" s="23" t="n">
        <f aca="false">F28+J28+N28+P28</f>
        <v>8.92317757009346</v>
      </c>
      <c r="R28" s="23" t="n">
        <f aca="false">O28*Annahmen!$B$47+(C28+G28+K28)*Annahmen!$B$128</f>
        <v>0</v>
      </c>
      <c r="S28" s="23" t="n">
        <f aca="false">SUMPRODUCT((((Annahmen!$C$145:$C$155="monatlich")*(Annahmen!$D$145:$D$155&lt;=$A28))+((Annahmen!$C$145:$C$155="einmalig")*(Annahmen!$D$145:$D$155=$A28)))*Annahmen!$B$145:$B$155*Annahmen!$G$145:$G$155)</f>
        <v>28.3604931653712</v>
      </c>
      <c r="T28" s="23" t="n">
        <f aca="false">IF($A28&gt;=Annahmen!$B$109,Annahmen!$B$136,0)</f>
        <v>0</v>
      </c>
      <c r="U28" s="23" t="n">
        <f aca="false">Q28-R28-S28-T28</f>
        <v>-19.4373155952778</v>
      </c>
      <c r="V28" s="23" t="n">
        <f aca="false">V27+U28</f>
        <v>-431.934303323756</v>
      </c>
      <c r="W28" s="7" t="n">
        <f aca="false">IF(U28&gt;0,1,0)</f>
        <v>0</v>
      </c>
      <c r="X28" s="7" t="n">
        <f aca="false">IF(V28&gt;=0,1,0)</f>
        <v>0</v>
      </c>
    </row>
    <row r="29" customFormat="false" ht="15" hidden="false" customHeight="false" outlineLevel="0" collapsed="false">
      <c r="A29" s="7" t="n">
        <v>12</v>
      </c>
      <c r="B29" s="7" t="s">
        <v>361</v>
      </c>
      <c r="C29" s="17" t="n">
        <f aca="false">IF($A29&gt;=Annahmen!$B$109,Annahmen!$B$110,0)</f>
        <v>2</v>
      </c>
      <c r="D29" s="17" t="n">
        <f aca="false">D28+C29</f>
        <v>14</v>
      </c>
      <c r="E29" s="17" t="n">
        <f aca="false">D29*Annahmen!$B$113</f>
        <v>2.8</v>
      </c>
      <c r="F29" s="18" t="n">
        <f aca="false">E29*Annahmen!$B$116/(1+Annahmen!$B$9)*Annahmen!$B$129</f>
        <v>4.1077570093458</v>
      </c>
      <c r="G29" s="17" t="n">
        <f aca="false">IF($A29&gt;=Annahmen!$B$109,Annahmen!$B$111,0)</f>
        <v>1</v>
      </c>
      <c r="H29" s="17" t="n">
        <f aca="false">H28+G29</f>
        <v>7</v>
      </c>
      <c r="I29" s="17" t="n">
        <f aca="false">H29*Annahmen!$B$114</f>
        <v>0.7</v>
      </c>
      <c r="J29" s="18" t="n">
        <f aca="false">I29*Annahmen!$B$117/(1+Annahmen!$B$9)*Annahmen!$B$130</f>
        <v>2.87490654205608</v>
      </c>
      <c r="K29" s="17" t="n">
        <f aca="false">IF($A29&gt;=Annahmen!$B$109,Annahmen!$B$112,0)</f>
        <v>1</v>
      </c>
      <c r="L29" s="17" t="n">
        <f aca="false">L28+K29</f>
        <v>7</v>
      </c>
      <c r="M29" s="17" t="n">
        <f aca="false">L29*Annahmen!$B$115</f>
        <v>1.4</v>
      </c>
      <c r="N29" s="18" t="n">
        <f aca="false">M29*Annahmen!$B$118/(1+Annahmen!$B$9)*Annahmen!$B$129</f>
        <v>3.42771028037383</v>
      </c>
      <c r="O29" s="17" t="n">
        <f aca="false">IF($A29&gt;=Annahmen!$B$125,Annahmen!$B$126,0)</f>
        <v>0</v>
      </c>
      <c r="P29" s="23" t="n">
        <f aca="false">O29*Annahmen!$B$127</f>
        <v>0</v>
      </c>
      <c r="Q29" s="23" t="n">
        <f aca="false">F29+J29+N29+P29</f>
        <v>10.4103738317757</v>
      </c>
      <c r="R29" s="23" t="n">
        <f aca="false">O29*Annahmen!$B$47+(C29+G29+K29)*Annahmen!$B$128</f>
        <v>0</v>
      </c>
      <c r="S29" s="23" t="n">
        <f aca="false">SUMPRODUCT((((Annahmen!$C$145:$C$155="monatlich")*(Annahmen!$D$145:$D$155&lt;=$A29))+((Annahmen!$C$145:$C$155="einmalig")*(Annahmen!$D$145:$D$155=$A29)))*Annahmen!$B$145:$B$155*Annahmen!$G$145:$G$155)</f>
        <v>28.3604931653712</v>
      </c>
      <c r="T29" s="23" t="n">
        <f aca="false">IF($A29&gt;=Annahmen!$B$109,Annahmen!$B$136,0)</f>
        <v>0</v>
      </c>
      <c r="U29" s="23" t="n">
        <f aca="false">Q29-R29-S29-T29</f>
        <v>-17.9501193335955</v>
      </c>
      <c r="V29" s="23" t="n">
        <f aca="false">V28+U29</f>
        <v>-449.884422657352</v>
      </c>
      <c r="W29" s="7" t="n">
        <f aca="false">IF(U29&gt;0,1,0)</f>
        <v>0</v>
      </c>
      <c r="X29" s="7" t="n">
        <f aca="false">IF(V29&gt;=0,1,0)</f>
        <v>0</v>
      </c>
    </row>
    <row r="30" customFormat="false" ht="15" hidden="false" customHeight="false" outlineLevel="0" collapsed="false">
      <c r="A30" s="7" t="n">
        <v>13</v>
      </c>
      <c r="B30" s="7" t="s">
        <v>362</v>
      </c>
      <c r="C30" s="17" t="n">
        <f aca="false">IF($A30&gt;=Annahmen!$B$109,Annahmen!$B$110,0)</f>
        <v>2</v>
      </c>
      <c r="D30" s="17" t="n">
        <f aca="false">D29+C30</f>
        <v>16</v>
      </c>
      <c r="E30" s="17" t="n">
        <f aca="false">D30*Annahmen!$B$113</f>
        <v>3.2</v>
      </c>
      <c r="F30" s="18" t="n">
        <f aca="false">E30*Annahmen!$B$116/(1+Annahmen!$B$9)*Annahmen!$B$129</f>
        <v>4.69457943925234</v>
      </c>
      <c r="G30" s="17" t="n">
        <f aca="false">IF($A30&gt;=Annahmen!$B$109,Annahmen!$B$111,0)</f>
        <v>1</v>
      </c>
      <c r="H30" s="17" t="n">
        <f aca="false">H29+G30</f>
        <v>8</v>
      </c>
      <c r="I30" s="17" t="n">
        <f aca="false">H30*Annahmen!$B$114</f>
        <v>0.8</v>
      </c>
      <c r="J30" s="18" t="n">
        <f aca="false">I30*Annahmen!$B$117/(1+Annahmen!$B$9)*Annahmen!$B$130</f>
        <v>3.28560747663551</v>
      </c>
      <c r="K30" s="17" t="n">
        <f aca="false">IF($A30&gt;=Annahmen!$B$109,Annahmen!$B$112,0)</f>
        <v>1</v>
      </c>
      <c r="L30" s="17" t="n">
        <f aca="false">L29+K30</f>
        <v>8</v>
      </c>
      <c r="M30" s="17" t="n">
        <f aca="false">L30*Annahmen!$B$115</f>
        <v>1.6</v>
      </c>
      <c r="N30" s="18" t="n">
        <f aca="false">M30*Annahmen!$B$118/(1+Annahmen!$B$9)*Annahmen!$B$129</f>
        <v>3.91738317757009</v>
      </c>
      <c r="O30" s="17" t="n">
        <f aca="false">IF($A30&gt;=Annahmen!$B$125,Annahmen!$B$126,0)</f>
        <v>0</v>
      </c>
      <c r="P30" s="23" t="n">
        <f aca="false">O30*Annahmen!$B$127</f>
        <v>0</v>
      </c>
      <c r="Q30" s="23" t="n">
        <f aca="false">F30+J30+N30+P30</f>
        <v>11.8975700934579</v>
      </c>
      <c r="R30" s="23" t="n">
        <f aca="false">O30*Annahmen!$B$47+(C30+G30+K30)*Annahmen!$B$128</f>
        <v>0</v>
      </c>
      <c r="S30" s="23" t="n">
        <f aca="false">SUMPRODUCT((((Annahmen!$C$145:$C$155="monatlich")*(Annahmen!$D$145:$D$155&lt;=$A30))+((Annahmen!$C$145:$C$155="einmalig")*(Annahmen!$D$145:$D$155=$A30)))*Annahmen!$B$145:$B$155*Annahmen!$G$145:$G$155)</f>
        <v>28.3604931653712</v>
      </c>
      <c r="T30" s="23" t="n">
        <f aca="false">IF($A30&gt;=Annahmen!$B$109,Annahmen!$B$136,0)</f>
        <v>0</v>
      </c>
      <c r="U30" s="23" t="n">
        <f aca="false">Q30-R30-S30-T30</f>
        <v>-16.4629230719133</v>
      </c>
      <c r="V30" s="23" t="n">
        <f aca="false">V29+U30</f>
        <v>-466.347345729265</v>
      </c>
      <c r="W30" s="7" t="n">
        <f aca="false">IF(U30&gt;0,1,0)</f>
        <v>0</v>
      </c>
      <c r="X30" s="7" t="n">
        <f aca="false">IF(V30&gt;=0,1,0)</f>
        <v>0</v>
      </c>
    </row>
    <row r="31" customFormat="false" ht="15" hidden="false" customHeight="false" outlineLevel="0" collapsed="false">
      <c r="A31" s="7" t="n">
        <v>14</v>
      </c>
      <c r="B31" s="7" t="s">
        <v>363</v>
      </c>
      <c r="C31" s="17" t="n">
        <f aca="false">IF($A31&gt;=Annahmen!$B$109,Annahmen!$B$110,0)</f>
        <v>2</v>
      </c>
      <c r="D31" s="17" t="n">
        <f aca="false">D30+C31</f>
        <v>18</v>
      </c>
      <c r="E31" s="17" t="n">
        <f aca="false">D31*Annahmen!$B$113</f>
        <v>3.6</v>
      </c>
      <c r="F31" s="18" t="n">
        <f aca="false">E31*Annahmen!$B$116/(1+Annahmen!$B$9)*Annahmen!$B$129</f>
        <v>5.28140186915888</v>
      </c>
      <c r="G31" s="17" t="n">
        <f aca="false">IF($A31&gt;=Annahmen!$B$109,Annahmen!$B$111,0)</f>
        <v>1</v>
      </c>
      <c r="H31" s="17" t="n">
        <f aca="false">H30+G31</f>
        <v>9</v>
      </c>
      <c r="I31" s="17" t="n">
        <f aca="false">H31*Annahmen!$B$114</f>
        <v>0.9</v>
      </c>
      <c r="J31" s="18" t="n">
        <f aca="false">I31*Annahmen!$B$117/(1+Annahmen!$B$9)*Annahmen!$B$130</f>
        <v>3.69630841121495</v>
      </c>
      <c r="K31" s="17" t="n">
        <f aca="false">IF($A31&gt;=Annahmen!$B$109,Annahmen!$B$112,0)</f>
        <v>1</v>
      </c>
      <c r="L31" s="17" t="n">
        <f aca="false">L30+K31</f>
        <v>9</v>
      </c>
      <c r="M31" s="17" t="n">
        <f aca="false">L31*Annahmen!$B$115</f>
        <v>1.8</v>
      </c>
      <c r="N31" s="18" t="n">
        <f aca="false">M31*Annahmen!$B$118/(1+Annahmen!$B$9)*Annahmen!$B$129</f>
        <v>4.40705607476636</v>
      </c>
      <c r="O31" s="17" t="n">
        <f aca="false">IF($A31&gt;=Annahmen!$B$125,Annahmen!$B$126,0)</f>
        <v>0</v>
      </c>
      <c r="P31" s="23" t="n">
        <f aca="false">O31*Annahmen!$B$127</f>
        <v>0</v>
      </c>
      <c r="Q31" s="23" t="n">
        <f aca="false">F31+J31+N31+P31</f>
        <v>13.3847663551402</v>
      </c>
      <c r="R31" s="23" t="n">
        <f aca="false">O31*Annahmen!$B$47+(C31+G31+K31)*Annahmen!$B$128</f>
        <v>0</v>
      </c>
      <c r="S31" s="23" t="n">
        <f aca="false">SUMPRODUCT((((Annahmen!$C$145:$C$155="monatlich")*(Annahmen!$D$145:$D$155&lt;=$A31))+((Annahmen!$C$145:$C$155="einmalig")*(Annahmen!$D$145:$D$155=$A31)))*Annahmen!$B$145:$B$155*Annahmen!$G$145:$G$155)</f>
        <v>28.3604931653712</v>
      </c>
      <c r="T31" s="23" t="n">
        <f aca="false">IF($A31&gt;=Annahmen!$B$109,Annahmen!$B$136,0)</f>
        <v>0</v>
      </c>
      <c r="U31" s="23" t="n">
        <f aca="false">Q31-R31-S31-T31</f>
        <v>-14.975726810231</v>
      </c>
      <c r="V31" s="23" t="n">
        <f aca="false">V30+U31</f>
        <v>-481.323072539496</v>
      </c>
      <c r="W31" s="7" t="n">
        <f aca="false">IF(U31&gt;0,1,0)</f>
        <v>0</v>
      </c>
      <c r="X31" s="7" t="n">
        <f aca="false">IF(V31&gt;=0,1,0)</f>
        <v>0</v>
      </c>
    </row>
    <row r="32" customFormat="false" ht="15" hidden="false" customHeight="false" outlineLevel="0" collapsed="false">
      <c r="A32" s="7" t="n">
        <v>15</v>
      </c>
      <c r="B32" s="7" t="s">
        <v>364</v>
      </c>
      <c r="C32" s="17" t="n">
        <f aca="false">IF($A32&gt;=Annahmen!$B$109,Annahmen!$B$110,0)</f>
        <v>2</v>
      </c>
      <c r="D32" s="17" t="n">
        <f aca="false">D31+C32</f>
        <v>20</v>
      </c>
      <c r="E32" s="17" t="n">
        <f aca="false">D32*Annahmen!$B$113</f>
        <v>4</v>
      </c>
      <c r="F32" s="18" t="n">
        <f aca="false">E32*Annahmen!$B$116/(1+Annahmen!$B$9)*Annahmen!$B$129</f>
        <v>5.86822429906542</v>
      </c>
      <c r="G32" s="17" t="n">
        <f aca="false">IF($A32&gt;=Annahmen!$B$109,Annahmen!$B$111,0)</f>
        <v>1</v>
      </c>
      <c r="H32" s="17" t="n">
        <f aca="false">H31+G32</f>
        <v>10</v>
      </c>
      <c r="I32" s="17" t="n">
        <f aca="false">H32*Annahmen!$B$114</f>
        <v>1</v>
      </c>
      <c r="J32" s="18" t="n">
        <f aca="false">I32*Annahmen!$B$117/(1+Annahmen!$B$9)*Annahmen!$B$130</f>
        <v>4.10700934579439</v>
      </c>
      <c r="K32" s="17" t="n">
        <f aca="false">IF($A32&gt;=Annahmen!$B$109,Annahmen!$B$112,0)</f>
        <v>1</v>
      </c>
      <c r="L32" s="17" t="n">
        <f aca="false">L31+K32</f>
        <v>10</v>
      </c>
      <c r="M32" s="17" t="n">
        <f aca="false">L32*Annahmen!$B$115</f>
        <v>2</v>
      </c>
      <c r="N32" s="18" t="n">
        <f aca="false">M32*Annahmen!$B$118/(1+Annahmen!$B$9)*Annahmen!$B$129</f>
        <v>4.89672897196262</v>
      </c>
      <c r="O32" s="17" t="n">
        <f aca="false">IF($A32&gt;=Annahmen!$B$125,Annahmen!$B$126,0)</f>
        <v>0</v>
      </c>
      <c r="P32" s="23" t="n">
        <f aca="false">O32*Annahmen!$B$127</f>
        <v>0</v>
      </c>
      <c r="Q32" s="23" t="n">
        <f aca="false">F32+J32+N32+P32</f>
        <v>14.8719626168224</v>
      </c>
      <c r="R32" s="23" t="n">
        <f aca="false">O32*Annahmen!$B$47+(C32+G32+K32)*Annahmen!$B$128</f>
        <v>0</v>
      </c>
      <c r="S32" s="23" t="n">
        <f aca="false">SUMPRODUCT((((Annahmen!$C$145:$C$155="monatlich")*(Annahmen!$D$145:$D$155&lt;=$A32))+((Annahmen!$C$145:$C$155="einmalig")*(Annahmen!$D$145:$D$155=$A32)))*Annahmen!$B$145:$B$155*Annahmen!$G$145:$G$155)</f>
        <v>28.3604931653712</v>
      </c>
      <c r="T32" s="23" t="n">
        <f aca="false">IF($A32&gt;=Annahmen!$B$109,Annahmen!$B$136,0)</f>
        <v>0</v>
      </c>
      <c r="U32" s="23" t="n">
        <f aca="false">Q32-R32-S32-T32</f>
        <v>-13.4885305485488</v>
      </c>
      <c r="V32" s="23" t="n">
        <f aca="false">V31+U32</f>
        <v>-494.811603088045</v>
      </c>
      <c r="W32" s="7" t="n">
        <f aca="false">IF(U32&gt;0,1,0)</f>
        <v>0</v>
      </c>
      <c r="X32" s="7" t="n">
        <f aca="false">IF(V32&gt;=0,1,0)</f>
        <v>0</v>
      </c>
    </row>
    <row r="33" customFormat="false" ht="15" hidden="false" customHeight="false" outlineLevel="0" collapsed="false">
      <c r="A33" s="7" t="n">
        <v>16</v>
      </c>
      <c r="B33" s="7" t="s">
        <v>365</v>
      </c>
      <c r="C33" s="17" t="n">
        <f aca="false">IF($A33&gt;=Annahmen!$B$109,Annahmen!$B$110,0)</f>
        <v>2</v>
      </c>
      <c r="D33" s="17" t="n">
        <f aca="false">D32+C33</f>
        <v>22</v>
      </c>
      <c r="E33" s="17" t="n">
        <f aca="false">D33*Annahmen!$B$113</f>
        <v>4.4</v>
      </c>
      <c r="F33" s="18" t="n">
        <f aca="false">E33*Annahmen!$B$116/(1+Annahmen!$B$9)*Annahmen!$B$129</f>
        <v>6.45504672897196</v>
      </c>
      <c r="G33" s="17" t="n">
        <f aca="false">IF($A33&gt;=Annahmen!$B$109,Annahmen!$B$111,0)</f>
        <v>1</v>
      </c>
      <c r="H33" s="17" t="n">
        <f aca="false">H32+G33</f>
        <v>11</v>
      </c>
      <c r="I33" s="17" t="n">
        <f aca="false">H33*Annahmen!$B$114</f>
        <v>1.1</v>
      </c>
      <c r="J33" s="18" t="n">
        <f aca="false">I33*Annahmen!$B$117/(1+Annahmen!$B$9)*Annahmen!$B$130</f>
        <v>4.51771028037383</v>
      </c>
      <c r="K33" s="17" t="n">
        <f aca="false">IF($A33&gt;=Annahmen!$B$109,Annahmen!$B$112,0)</f>
        <v>1</v>
      </c>
      <c r="L33" s="17" t="n">
        <f aca="false">L32+K33</f>
        <v>11</v>
      </c>
      <c r="M33" s="17" t="n">
        <f aca="false">L33*Annahmen!$B$115</f>
        <v>2.2</v>
      </c>
      <c r="N33" s="18" t="n">
        <f aca="false">M33*Annahmen!$B$118/(1+Annahmen!$B$9)*Annahmen!$B$129</f>
        <v>5.38640186915888</v>
      </c>
      <c r="O33" s="17" t="n">
        <f aca="false">IF($A33&gt;=Annahmen!$B$125,Annahmen!$B$126,0)</f>
        <v>0</v>
      </c>
      <c r="P33" s="23" t="n">
        <f aca="false">O33*Annahmen!$B$127</f>
        <v>0</v>
      </c>
      <c r="Q33" s="23" t="n">
        <f aca="false">F33+J33+N33+P33</f>
        <v>16.3591588785047</v>
      </c>
      <c r="R33" s="23" t="n">
        <f aca="false">O33*Annahmen!$B$47+(C33+G33+K33)*Annahmen!$B$128</f>
        <v>0</v>
      </c>
      <c r="S33" s="23" t="n">
        <f aca="false">SUMPRODUCT((((Annahmen!$C$145:$C$155="monatlich")*(Annahmen!$D$145:$D$155&lt;=$A33))+((Annahmen!$C$145:$C$155="einmalig")*(Annahmen!$D$145:$D$155=$A33)))*Annahmen!$B$145:$B$155*Annahmen!$G$145:$G$155)</f>
        <v>28.3604931653712</v>
      </c>
      <c r="T33" s="23" t="n">
        <f aca="false">IF($A33&gt;=Annahmen!$B$109,Annahmen!$B$136,0)</f>
        <v>0</v>
      </c>
      <c r="U33" s="23" t="n">
        <f aca="false">Q33-R33-S33-T33</f>
        <v>-12.0013342868665</v>
      </c>
      <c r="V33" s="23" t="n">
        <f aca="false">V32+U33</f>
        <v>-506.812937374912</v>
      </c>
      <c r="W33" s="7" t="n">
        <f aca="false">IF(U33&gt;0,1,0)</f>
        <v>0</v>
      </c>
      <c r="X33" s="7" t="n">
        <f aca="false">IF(V33&gt;=0,1,0)</f>
        <v>0</v>
      </c>
    </row>
    <row r="34" customFormat="false" ht="15" hidden="false" customHeight="false" outlineLevel="0" collapsed="false">
      <c r="A34" s="7" t="n">
        <v>17</v>
      </c>
      <c r="B34" s="7" t="s">
        <v>366</v>
      </c>
      <c r="C34" s="17" t="n">
        <f aca="false">IF($A34&gt;=Annahmen!$B$109,Annahmen!$B$110,0)</f>
        <v>2</v>
      </c>
      <c r="D34" s="17" t="n">
        <f aca="false">D33+C34</f>
        <v>24</v>
      </c>
      <c r="E34" s="17" t="n">
        <f aca="false">D34*Annahmen!$B$113</f>
        <v>4.8</v>
      </c>
      <c r="F34" s="18" t="n">
        <f aca="false">E34*Annahmen!$B$116/(1+Annahmen!$B$9)*Annahmen!$B$129</f>
        <v>7.04186915887851</v>
      </c>
      <c r="G34" s="17" t="n">
        <f aca="false">IF($A34&gt;=Annahmen!$B$109,Annahmen!$B$111,0)</f>
        <v>1</v>
      </c>
      <c r="H34" s="17" t="n">
        <f aca="false">H33+G34</f>
        <v>12</v>
      </c>
      <c r="I34" s="17" t="n">
        <f aca="false">H34*Annahmen!$B$114</f>
        <v>1.2</v>
      </c>
      <c r="J34" s="18" t="n">
        <f aca="false">I34*Annahmen!$B$117/(1+Annahmen!$B$9)*Annahmen!$B$130</f>
        <v>4.92841121495327</v>
      </c>
      <c r="K34" s="17" t="n">
        <f aca="false">IF($A34&gt;=Annahmen!$B$109,Annahmen!$B$112,0)</f>
        <v>1</v>
      </c>
      <c r="L34" s="17" t="n">
        <f aca="false">L33+K34</f>
        <v>12</v>
      </c>
      <c r="M34" s="17" t="n">
        <f aca="false">L34*Annahmen!$B$115</f>
        <v>2.4</v>
      </c>
      <c r="N34" s="18" t="n">
        <f aca="false">M34*Annahmen!$B$118/(1+Annahmen!$B$9)*Annahmen!$B$129</f>
        <v>5.87607476635514</v>
      </c>
      <c r="O34" s="17" t="n">
        <f aca="false">IF($A34&gt;=Annahmen!$B$125,Annahmen!$B$126,0)</f>
        <v>0</v>
      </c>
      <c r="P34" s="23" t="n">
        <f aca="false">O34*Annahmen!$B$127</f>
        <v>0</v>
      </c>
      <c r="Q34" s="23" t="n">
        <f aca="false">F34+J34+N34+P34</f>
        <v>17.8463551401869</v>
      </c>
      <c r="R34" s="23" t="n">
        <f aca="false">O34*Annahmen!$B$47+(C34+G34+K34)*Annahmen!$B$128</f>
        <v>0</v>
      </c>
      <c r="S34" s="23" t="n">
        <f aca="false">SUMPRODUCT((((Annahmen!$C$145:$C$155="monatlich")*(Annahmen!$D$145:$D$155&lt;=$A34))+((Annahmen!$C$145:$C$155="einmalig")*(Annahmen!$D$145:$D$155=$A34)))*Annahmen!$B$145:$B$155*Annahmen!$G$145:$G$155)</f>
        <v>28.3604931653712</v>
      </c>
      <c r="T34" s="23" t="n">
        <f aca="false">IF($A34&gt;=Annahmen!$B$109,Annahmen!$B$136,0)</f>
        <v>0</v>
      </c>
      <c r="U34" s="23" t="n">
        <f aca="false">Q34-R34-S34-T34</f>
        <v>-10.5141380251843</v>
      </c>
      <c r="V34" s="23" t="n">
        <f aca="false">V33+U34</f>
        <v>-517.327075400096</v>
      </c>
      <c r="W34" s="7" t="n">
        <f aca="false">IF(U34&gt;0,1,0)</f>
        <v>0</v>
      </c>
      <c r="X34" s="7" t="n">
        <f aca="false">IF(V34&gt;=0,1,0)</f>
        <v>0</v>
      </c>
    </row>
    <row r="35" customFormat="false" ht="15" hidden="false" customHeight="false" outlineLevel="0" collapsed="false">
      <c r="A35" s="7" t="n">
        <v>18</v>
      </c>
      <c r="B35" s="7" t="s">
        <v>367</v>
      </c>
      <c r="C35" s="17" t="n">
        <f aca="false">IF($A35&gt;=Annahmen!$B$109,Annahmen!$B$110,0)</f>
        <v>2</v>
      </c>
      <c r="D35" s="17" t="n">
        <f aca="false">D34+C35</f>
        <v>26</v>
      </c>
      <c r="E35" s="17" t="n">
        <f aca="false">D35*Annahmen!$B$113</f>
        <v>5.2</v>
      </c>
      <c r="F35" s="18" t="n">
        <f aca="false">E35*Annahmen!$B$116/(1+Annahmen!$B$9)*Annahmen!$B$129</f>
        <v>7.62869158878505</v>
      </c>
      <c r="G35" s="17" t="n">
        <f aca="false">IF($A35&gt;=Annahmen!$B$109,Annahmen!$B$111,0)</f>
        <v>1</v>
      </c>
      <c r="H35" s="17" t="n">
        <f aca="false">H34+G35</f>
        <v>13</v>
      </c>
      <c r="I35" s="17" t="n">
        <f aca="false">H35*Annahmen!$B$114</f>
        <v>1.3</v>
      </c>
      <c r="J35" s="18" t="n">
        <f aca="false">I35*Annahmen!$B$117/(1+Annahmen!$B$9)*Annahmen!$B$130</f>
        <v>5.33911214953271</v>
      </c>
      <c r="K35" s="17" t="n">
        <f aca="false">IF($A35&gt;=Annahmen!$B$109,Annahmen!$B$112,0)</f>
        <v>1</v>
      </c>
      <c r="L35" s="17" t="n">
        <f aca="false">L34+K35</f>
        <v>13</v>
      </c>
      <c r="M35" s="17" t="n">
        <f aca="false">L35*Annahmen!$B$115</f>
        <v>2.6</v>
      </c>
      <c r="N35" s="18" t="n">
        <f aca="false">M35*Annahmen!$B$118/(1+Annahmen!$B$9)*Annahmen!$B$129</f>
        <v>6.3657476635514</v>
      </c>
      <c r="O35" s="17" t="n">
        <f aca="false">IF($A35&gt;=Annahmen!$B$125,Annahmen!$B$126,0)</f>
        <v>0</v>
      </c>
      <c r="P35" s="23" t="n">
        <f aca="false">O35*Annahmen!$B$127</f>
        <v>0</v>
      </c>
      <c r="Q35" s="23" t="n">
        <f aca="false">F35+J35+N35+P35</f>
        <v>19.3335514018692</v>
      </c>
      <c r="R35" s="23" t="n">
        <f aca="false">O35*Annahmen!$B$47+(C35+G35+K35)*Annahmen!$B$128</f>
        <v>0</v>
      </c>
      <c r="S35" s="23" t="n">
        <f aca="false">SUMPRODUCT((((Annahmen!$C$145:$C$155="monatlich")*(Annahmen!$D$145:$D$155&lt;=$A35))+((Annahmen!$C$145:$C$155="einmalig")*(Annahmen!$D$145:$D$155=$A35)))*Annahmen!$B$145:$B$155*Annahmen!$G$145:$G$155)</f>
        <v>28.3604931653712</v>
      </c>
      <c r="T35" s="23" t="n">
        <f aca="false">IF($A35&gt;=Annahmen!$B$109,Annahmen!$B$136,0)</f>
        <v>0</v>
      </c>
      <c r="U35" s="23" t="n">
        <f aca="false">Q35-R35-S35-T35</f>
        <v>-9.02694176350206</v>
      </c>
      <c r="V35" s="23" t="n">
        <f aca="false">V34+U35</f>
        <v>-526.354017163598</v>
      </c>
      <c r="W35" s="7" t="n">
        <f aca="false">IF(U35&gt;0,1,0)</f>
        <v>0</v>
      </c>
      <c r="X35" s="7" t="n">
        <f aca="false">IF(V35&gt;=0,1,0)</f>
        <v>0</v>
      </c>
    </row>
    <row r="36" customFormat="false" ht="15" hidden="false" customHeight="false" outlineLevel="0" collapsed="false">
      <c r="A36" s="7" t="n">
        <v>19</v>
      </c>
      <c r="B36" s="7" t="s">
        <v>368</v>
      </c>
      <c r="C36" s="17" t="n">
        <f aca="false">IF($A36&gt;=Annahmen!$B$109,Annahmen!$B$110,0)</f>
        <v>2</v>
      </c>
      <c r="D36" s="17" t="n">
        <f aca="false">D35+C36</f>
        <v>28</v>
      </c>
      <c r="E36" s="17" t="n">
        <f aca="false">D36*Annahmen!$B$113</f>
        <v>5.6</v>
      </c>
      <c r="F36" s="18" t="n">
        <f aca="false">E36*Annahmen!$B$116/(1+Annahmen!$B$9)*Annahmen!$B$129</f>
        <v>8.21551401869159</v>
      </c>
      <c r="G36" s="17" t="n">
        <f aca="false">IF($A36&gt;=Annahmen!$B$109,Annahmen!$B$111,0)</f>
        <v>1</v>
      </c>
      <c r="H36" s="17" t="n">
        <f aca="false">H35+G36</f>
        <v>14</v>
      </c>
      <c r="I36" s="17" t="n">
        <f aca="false">H36*Annahmen!$B$114</f>
        <v>1.4</v>
      </c>
      <c r="J36" s="18" t="n">
        <f aca="false">I36*Annahmen!$B$117/(1+Annahmen!$B$9)*Annahmen!$B$130</f>
        <v>5.74981308411215</v>
      </c>
      <c r="K36" s="17" t="n">
        <f aca="false">IF($A36&gt;=Annahmen!$B$109,Annahmen!$B$112,0)</f>
        <v>1</v>
      </c>
      <c r="L36" s="17" t="n">
        <f aca="false">L35+K36</f>
        <v>14</v>
      </c>
      <c r="M36" s="17" t="n">
        <f aca="false">L36*Annahmen!$B$115</f>
        <v>2.8</v>
      </c>
      <c r="N36" s="18" t="n">
        <f aca="false">M36*Annahmen!$B$118/(1+Annahmen!$B$9)*Annahmen!$B$129</f>
        <v>6.85542056074766</v>
      </c>
      <c r="O36" s="17" t="n">
        <f aca="false">IF($A36&gt;=Annahmen!$B$125,Annahmen!$B$126,0)</f>
        <v>0</v>
      </c>
      <c r="P36" s="23" t="n">
        <f aca="false">O36*Annahmen!$B$127</f>
        <v>0</v>
      </c>
      <c r="Q36" s="23" t="n">
        <f aca="false">F36+J36+N36+P36</f>
        <v>20.8207476635514</v>
      </c>
      <c r="R36" s="23" t="n">
        <f aca="false">O36*Annahmen!$B$47+(C36+G36+K36)*Annahmen!$B$128</f>
        <v>0</v>
      </c>
      <c r="S36" s="23" t="n">
        <f aca="false">SUMPRODUCT((((Annahmen!$C$145:$C$155="monatlich")*(Annahmen!$D$145:$D$155&lt;=$A36))+((Annahmen!$C$145:$C$155="einmalig")*(Annahmen!$D$145:$D$155=$A36)))*Annahmen!$B$145:$B$155*Annahmen!$G$145:$G$155)</f>
        <v>28.3604931653712</v>
      </c>
      <c r="T36" s="23" t="n">
        <f aca="false">IF($A36&gt;=Annahmen!$B$109,Annahmen!$B$136,0)</f>
        <v>0</v>
      </c>
      <c r="U36" s="23" t="n">
        <f aca="false">Q36-R36-S36-T36</f>
        <v>-7.53974550181981</v>
      </c>
      <c r="V36" s="23" t="n">
        <f aca="false">V35+U36</f>
        <v>-533.893762665418</v>
      </c>
      <c r="W36" s="7" t="n">
        <f aca="false">IF(U36&gt;0,1,0)</f>
        <v>0</v>
      </c>
      <c r="X36" s="7" t="n">
        <f aca="false">IF(V36&gt;=0,1,0)</f>
        <v>0</v>
      </c>
    </row>
    <row r="37" customFormat="false" ht="15" hidden="false" customHeight="false" outlineLevel="0" collapsed="false">
      <c r="A37" s="7" t="n">
        <v>20</v>
      </c>
      <c r="B37" s="7" t="s">
        <v>369</v>
      </c>
      <c r="C37" s="17" t="n">
        <f aca="false">IF($A37&gt;=Annahmen!$B$109,Annahmen!$B$110,0)</f>
        <v>2</v>
      </c>
      <c r="D37" s="17" t="n">
        <f aca="false">D36+C37</f>
        <v>30</v>
      </c>
      <c r="E37" s="17" t="n">
        <f aca="false">D37*Annahmen!$B$113</f>
        <v>6</v>
      </c>
      <c r="F37" s="18" t="n">
        <f aca="false">E37*Annahmen!$B$116/(1+Annahmen!$B$9)*Annahmen!$B$129</f>
        <v>8.80233644859813</v>
      </c>
      <c r="G37" s="17" t="n">
        <f aca="false">IF($A37&gt;=Annahmen!$B$109,Annahmen!$B$111,0)</f>
        <v>1</v>
      </c>
      <c r="H37" s="17" t="n">
        <f aca="false">H36+G37</f>
        <v>15</v>
      </c>
      <c r="I37" s="17" t="n">
        <f aca="false">H37*Annahmen!$B$114</f>
        <v>1.5</v>
      </c>
      <c r="J37" s="18" t="n">
        <f aca="false">I37*Annahmen!$B$117/(1+Annahmen!$B$9)*Annahmen!$B$130</f>
        <v>6.16051401869159</v>
      </c>
      <c r="K37" s="17" t="n">
        <f aca="false">IF($A37&gt;=Annahmen!$B$109,Annahmen!$B$112,0)</f>
        <v>1</v>
      </c>
      <c r="L37" s="17" t="n">
        <f aca="false">L36+K37</f>
        <v>15</v>
      </c>
      <c r="M37" s="17" t="n">
        <f aca="false">L37*Annahmen!$B$115</f>
        <v>3</v>
      </c>
      <c r="N37" s="18" t="n">
        <f aca="false">M37*Annahmen!$B$118/(1+Annahmen!$B$9)*Annahmen!$B$129</f>
        <v>7.34509345794392</v>
      </c>
      <c r="O37" s="17" t="n">
        <f aca="false">IF($A37&gt;=Annahmen!$B$125,Annahmen!$B$126,0)</f>
        <v>0</v>
      </c>
      <c r="P37" s="23" t="n">
        <f aca="false">O37*Annahmen!$B$127</f>
        <v>0</v>
      </c>
      <c r="Q37" s="23" t="n">
        <f aca="false">F37+J37+N37+P37</f>
        <v>22.3079439252336</v>
      </c>
      <c r="R37" s="23" t="n">
        <f aca="false">O37*Annahmen!$B$47+(C37+G37+K37)*Annahmen!$B$128</f>
        <v>0</v>
      </c>
      <c r="S37" s="23" t="n">
        <f aca="false">SUMPRODUCT((((Annahmen!$C$145:$C$155="monatlich")*(Annahmen!$D$145:$D$155&lt;=$A37))+((Annahmen!$C$145:$C$155="einmalig")*(Annahmen!$D$145:$D$155=$A37)))*Annahmen!$B$145:$B$155*Annahmen!$G$145:$G$155)</f>
        <v>28.3604931653712</v>
      </c>
      <c r="T37" s="23" t="n">
        <f aca="false">IF($A37&gt;=Annahmen!$B$109,Annahmen!$B$136,0)</f>
        <v>0</v>
      </c>
      <c r="U37" s="23" t="n">
        <f aca="false">Q37-R37-S37-T37</f>
        <v>-6.05254924013757</v>
      </c>
      <c r="V37" s="23" t="n">
        <f aca="false">V36+U37</f>
        <v>-539.946311905555</v>
      </c>
      <c r="W37" s="7" t="n">
        <f aca="false">IF(U37&gt;0,1,0)</f>
        <v>0</v>
      </c>
      <c r="X37" s="7" t="n">
        <f aca="false">IF(V37&gt;=0,1,0)</f>
        <v>0</v>
      </c>
    </row>
    <row r="38" customFormat="false" ht="15" hidden="false" customHeight="false" outlineLevel="0" collapsed="false">
      <c r="A38" s="7" t="n">
        <v>21</v>
      </c>
      <c r="B38" s="7" t="s">
        <v>370</v>
      </c>
      <c r="C38" s="17" t="n">
        <f aca="false">IF($A38&gt;=Annahmen!$B$109,Annahmen!$B$110,0)</f>
        <v>2</v>
      </c>
      <c r="D38" s="17" t="n">
        <f aca="false">D37+C38</f>
        <v>32</v>
      </c>
      <c r="E38" s="17" t="n">
        <f aca="false">D38*Annahmen!$B$113</f>
        <v>6.4</v>
      </c>
      <c r="F38" s="18" t="n">
        <f aca="false">E38*Annahmen!$B$116/(1+Annahmen!$B$9)*Annahmen!$B$129</f>
        <v>9.38915887850467</v>
      </c>
      <c r="G38" s="17" t="n">
        <f aca="false">IF($A38&gt;=Annahmen!$B$109,Annahmen!$B$111,0)</f>
        <v>1</v>
      </c>
      <c r="H38" s="17" t="n">
        <f aca="false">H37+G38</f>
        <v>16</v>
      </c>
      <c r="I38" s="17" t="n">
        <f aca="false">H38*Annahmen!$B$114</f>
        <v>1.6</v>
      </c>
      <c r="J38" s="18" t="n">
        <f aca="false">I38*Annahmen!$B$117/(1+Annahmen!$B$9)*Annahmen!$B$130</f>
        <v>6.57121495327103</v>
      </c>
      <c r="K38" s="17" t="n">
        <f aca="false">IF($A38&gt;=Annahmen!$B$109,Annahmen!$B$112,0)</f>
        <v>1</v>
      </c>
      <c r="L38" s="17" t="n">
        <f aca="false">L37+K38</f>
        <v>16</v>
      </c>
      <c r="M38" s="17" t="n">
        <f aca="false">L38*Annahmen!$B$115</f>
        <v>3.2</v>
      </c>
      <c r="N38" s="18" t="n">
        <f aca="false">M38*Annahmen!$B$118/(1+Annahmen!$B$9)*Annahmen!$B$129</f>
        <v>7.83476635514019</v>
      </c>
      <c r="O38" s="17" t="n">
        <f aca="false">IF($A38&gt;=Annahmen!$B$125,Annahmen!$B$126,0)</f>
        <v>0</v>
      </c>
      <c r="P38" s="23" t="n">
        <f aca="false">O38*Annahmen!$B$127</f>
        <v>0</v>
      </c>
      <c r="Q38" s="23" t="n">
        <f aca="false">F38+J38+N38+P38</f>
        <v>23.7951401869159</v>
      </c>
      <c r="R38" s="23" t="n">
        <f aca="false">O38*Annahmen!$B$47+(C38+G38+K38)*Annahmen!$B$128</f>
        <v>0</v>
      </c>
      <c r="S38" s="23" t="n">
        <f aca="false">SUMPRODUCT((((Annahmen!$C$145:$C$155="monatlich")*(Annahmen!$D$145:$D$155&lt;=$A38))+((Annahmen!$C$145:$C$155="einmalig")*(Annahmen!$D$145:$D$155=$A38)))*Annahmen!$B$145:$B$155*Annahmen!$G$145:$G$155)</f>
        <v>28.3604931653712</v>
      </c>
      <c r="T38" s="23" t="n">
        <f aca="false">IF($A38&gt;=Annahmen!$B$109,Annahmen!$B$136,0)</f>
        <v>0</v>
      </c>
      <c r="U38" s="23" t="n">
        <f aca="false">Q38-R38-S38-T38</f>
        <v>-4.56535297845533</v>
      </c>
      <c r="V38" s="23" t="n">
        <f aca="false">V37+U38</f>
        <v>-544.51166488401</v>
      </c>
      <c r="W38" s="7" t="n">
        <f aca="false">IF(U38&gt;0,1,0)</f>
        <v>0</v>
      </c>
      <c r="X38" s="7" t="n">
        <f aca="false">IF(V38&gt;=0,1,0)</f>
        <v>0</v>
      </c>
    </row>
    <row r="39" customFormat="false" ht="15" hidden="false" customHeight="false" outlineLevel="0" collapsed="false">
      <c r="A39" s="7" t="n">
        <v>22</v>
      </c>
      <c r="B39" s="7" t="s">
        <v>371</v>
      </c>
      <c r="C39" s="17" t="n">
        <f aca="false">IF($A39&gt;=Annahmen!$B$109,Annahmen!$B$110,0)</f>
        <v>2</v>
      </c>
      <c r="D39" s="17" t="n">
        <f aca="false">D38+C39</f>
        <v>34</v>
      </c>
      <c r="E39" s="17" t="n">
        <f aca="false">D39*Annahmen!$B$113</f>
        <v>6.8</v>
      </c>
      <c r="F39" s="18" t="n">
        <f aca="false">E39*Annahmen!$B$116/(1+Annahmen!$B$9)*Annahmen!$B$129</f>
        <v>9.97598130841121</v>
      </c>
      <c r="G39" s="17" t="n">
        <f aca="false">IF($A39&gt;=Annahmen!$B$109,Annahmen!$B$111,0)</f>
        <v>1</v>
      </c>
      <c r="H39" s="17" t="n">
        <f aca="false">H38+G39</f>
        <v>17</v>
      </c>
      <c r="I39" s="17" t="n">
        <f aca="false">H39*Annahmen!$B$114</f>
        <v>1.7</v>
      </c>
      <c r="J39" s="18" t="n">
        <f aca="false">I39*Annahmen!$B$117/(1+Annahmen!$B$9)*Annahmen!$B$130</f>
        <v>6.98191588785047</v>
      </c>
      <c r="K39" s="17" t="n">
        <f aca="false">IF($A39&gt;=Annahmen!$B$109,Annahmen!$B$112,0)</f>
        <v>1</v>
      </c>
      <c r="L39" s="17" t="n">
        <f aca="false">L38+K39</f>
        <v>17</v>
      </c>
      <c r="M39" s="17" t="n">
        <f aca="false">L39*Annahmen!$B$115</f>
        <v>3.4</v>
      </c>
      <c r="N39" s="18" t="n">
        <f aca="false">M39*Annahmen!$B$118/(1+Annahmen!$B$9)*Annahmen!$B$129</f>
        <v>8.32443925233645</v>
      </c>
      <c r="O39" s="17" t="n">
        <f aca="false">IF($A39&gt;=Annahmen!$B$125,Annahmen!$B$126,0)</f>
        <v>0</v>
      </c>
      <c r="P39" s="23" t="n">
        <f aca="false">O39*Annahmen!$B$127</f>
        <v>0</v>
      </c>
      <c r="Q39" s="23" t="n">
        <f aca="false">F39+J39+N39+P39</f>
        <v>25.2823364485981</v>
      </c>
      <c r="R39" s="23" t="n">
        <f aca="false">O39*Annahmen!$B$47+(C39+G39+K39)*Annahmen!$B$128</f>
        <v>0</v>
      </c>
      <c r="S39" s="23" t="n">
        <f aca="false">SUMPRODUCT((((Annahmen!$C$145:$C$155="monatlich")*(Annahmen!$D$145:$D$155&lt;=$A39))+((Annahmen!$C$145:$C$155="einmalig")*(Annahmen!$D$145:$D$155=$A39)))*Annahmen!$B$145:$B$155*Annahmen!$G$145:$G$155)</f>
        <v>28.3604931653712</v>
      </c>
      <c r="T39" s="23" t="n">
        <f aca="false">IF($A39&gt;=Annahmen!$B$109,Annahmen!$B$136,0)</f>
        <v>0</v>
      </c>
      <c r="U39" s="23" t="n">
        <f aca="false">Q39-R39-S39-T39</f>
        <v>-3.07815671677308</v>
      </c>
      <c r="V39" s="23" t="n">
        <f aca="false">V38+U39</f>
        <v>-547.589821600784</v>
      </c>
      <c r="W39" s="7" t="n">
        <f aca="false">IF(U39&gt;0,1,0)</f>
        <v>0</v>
      </c>
      <c r="X39" s="7" t="n">
        <f aca="false">IF(V39&gt;=0,1,0)</f>
        <v>0</v>
      </c>
    </row>
    <row r="40" customFormat="false" ht="15" hidden="false" customHeight="false" outlineLevel="0" collapsed="false">
      <c r="A40" s="7" t="n">
        <v>23</v>
      </c>
      <c r="B40" s="7" t="s">
        <v>372</v>
      </c>
      <c r="C40" s="17" t="n">
        <f aca="false">IF($A40&gt;=Annahmen!$B$109,Annahmen!$B$110,0)</f>
        <v>2</v>
      </c>
      <c r="D40" s="17" t="n">
        <f aca="false">D39+C40</f>
        <v>36</v>
      </c>
      <c r="E40" s="17" t="n">
        <f aca="false">D40*Annahmen!$B$113</f>
        <v>7.2</v>
      </c>
      <c r="F40" s="18" t="n">
        <f aca="false">E40*Annahmen!$B$116/(1+Annahmen!$B$9)*Annahmen!$B$129</f>
        <v>10.5628037383178</v>
      </c>
      <c r="G40" s="17" t="n">
        <f aca="false">IF($A40&gt;=Annahmen!$B$109,Annahmen!$B$111,0)</f>
        <v>1</v>
      </c>
      <c r="H40" s="17" t="n">
        <f aca="false">H39+G40</f>
        <v>18</v>
      </c>
      <c r="I40" s="17" t="n">
        <f aca="false">H40*Annahmen!$B$114</f>
        <v>1.8</v>
      </c>
      <c r="J40" s="18" t="n">
        <f aca="false">I40*Annahmen!$B$117/(1+Annahmen!$B$9)*Annahmen!$B$130</f>
        <v>7.39261682242991</v>
      </c>
      <c r="K40" s="17" t="n">
        <f aca="false">IF($A40&gt;=Annahmen!$B$109,Annahmen!$B$112,0)</f>
        <v>1</v>
      </c>
      <c r="L40" s="17" t="n">
        <f aca="false">L39+K40</f>
        <v>18</v>
      </c>
      <c r="M40" s="17" t="n">
        <f aca="false">L40*Annahmen!$B$115</f>
        <v>3.6</v>
      </c>
      <c r="N40" s="18" t="n">
        <f aca="false">M40*Annahmen!$B$118/(1+Annahmen!$B$9)*Annahmen!$B$129</f>
        <v>8.81411214953271</v>
      </c>
      <c r="O40" s="17" t="n">
        <f aca="false">IF($A40&gt;=Annahmen!$B$125,Annahmen!$B$126,0)</f>
        <v>0</v>
      </c>
      <c r="P40" s="23" t="n">
        <f aca="false">O40*Annahmen!$B$127</f>
        <v>0</v>
      </c>
      <c r="Q40" s="23" t="n">
        <f aca="false">F40+J40+N40+P40</f>
        <v>26.7695327102804</v>
      </c>
      <c r="R40" s="23" t="n">
        <f aca="false">O40*Annahmen!$B$47+(C40+G40+K40)*Annahmen!$B$128</f>
        <v>0</v>
      </c>
      <c r="S40" s="23" t="n">
        <f aca="false">SUMPRODUCT((((Annahmen!$C$145:$C$155="monatlich")*(Annahmen!$D$145:$D$155&lt;=$A40))+((Annahmen!$C$145:$C$155="einmalig")*(Annahmen!$D$145:$D$155=$A40)))*Annahmen!$B$145:$B$155*Annahmen!$G$145:$G$155)</f>
        <v>28.3604931653712</v>
      </c>
      <c r="T40" s="23" t="n">
        <f aca="false">IF($A40&gt;=Annahmen!$B$109,Annahmen!$B$136,0)</f>
        <v>0</v>
      </c>
      <c r="U40" s="23" t="n">
        <f aca="false">Q40-R40-S40-T40</f>
        <v>-1.59096045509084</v>
      </c>
      <c r="V40" s="23" t="n">
        <f aca="false">V39+U40</f>
        <v>-549.180782055874</v>
      </c>
      <c r="W40" s="7" t="n">
        <f aca="false">IF(U40&gt;0,1,0)</f>
        <v>0</v>
      </c>
      <c r="X40" s="7" t="n">
        <f aca="false">IF(V40&gt;=0,1,0)</f>
        <v>0</v>
      </c>
    </row>
    <row r="41" customFormat="false" ht="15" hidden="false" customHeight="false" outlineLevel="0" collapsed="false">
      <c r="A41" s="7" t="n">
        <v>24</v>
      </c>
      <c r="B41" s="7" t="s">
        <v>373</v>
      </c>
      <c r="C41" s="17" t="n">
        <f aca="false">IF($A41&gt;=Annahmen!$B$109,Annahmen!$B$110,0)</f>
        <v>2</v>
      </c>
      <c r="D41" s="17" t="n">
        <f aca="false">D40+C41</f>
        <v>38</v>
      </c>
      <c r="E41" s="17" t="n">
        <f aca="false">D41*Annahmen!$B$113</f>
        <v>7.6</v>
      </c>
      <c r="F41" s="18" t="n">
        <f aca="false">E41*Annahmen!$B$116/(1+Annahmen!$B$9)*Annahmen!$B$129</f>
        <v>11.1496261682243</v>
      </c>
      <c r="G41" s="17" t="n">
        <f aca="false">IF($A41&gt;=Annahmen!$B$109,Annahmen!$B$111,0)</f>
        <v>1</v>
      </c>
      <c r="H41" s="17" t="n">
        <f aca="false">H40+G41</f>
        <v>19</v>
      </c>
      <c r="I41" s="17" t="n">
        <f aca="false">H41*Annahmen!$B$114</f>
        <v>1.9</v>
      </c>
      <c r="J41" s="18" t="n">
        <f aca="false">I41*Annahmen!$B$117/(1+Annahmen!$B$9)*Annahmen!$B$130</f>
        <v>7.80331775700935</v>
      </c>
      <c r="K41" s="17" t="n">
        <f aca="false">IF($A41&gt;=Annahmen!$B$109,Annahmen!$B$112,0)</f>
        <v>1</v>
      </c>
      <c r="L41" s="17" t="n">
        <f aca="false">L40+K41</f>
        <v>19</v>
      </c>
      <c r="M41" s="17" t="n">
        <f aca="false">L41*Annahmen!$B$115</f>
        <v>3.8</v>
      </c>
      <c r="N41" s="18" t="n">
        <f aca="false">M41*Annahmen!$B$118/(1+Annahmen!$B$9)*Annahmen!$B$129</f>
        <v>9.30378504672897</v>
      </c>
      <c r="O41" s="17" t="n">
        <f aca="false">IF($A41&gt;=Annahmen!$B$125,Annahmen!$B$126,0)</f>
        <v>0</v>
      </c>
      <c r="P41" s="23" t="n">
        <f aca="false">O41*Annahmen!$B$127</f>
        <v>0</v>
      </c>
      <c r="Q41" s="23" t="n">
        <f aca="false">F41+J41+N41+P41</f>
        <v>28.2567289719626</v>
      </c>
      <c r="R41" s="23" t="n">
        <f aca="false">O41*Annahmen!$B$47+(C41+G41+K41)*Annahmen!$B$128</f>
        <v>0</v>
      </c>
      <c r="S41" s="23" t="n">
        <f aca="false">SUMPRODUCT((((Annahmen!$C$145:$C$155="monatlich")*(Annahmen!$D$145:$D$155&lt;=$A41))+((Annahmen!$C$145:$C$155="einmalig")*(Annahmen!$D$145:$D$155=$A41)))*Annahmen!$B$145:$B$155*Annahmen!$G$145:$G$155)</f>
        <v>28.3604931653712</v>
      </c>
      <c r="T41" s="23" t="n">
        <f aca="false">IF($A41&gt;=Annahmen!$B$109,Annahmen!$B$136,0)</f>
        <v>0</v>
      </c>
      <c r="U41" s="23" t="n">
        <f aca="false">Q41-R41-S41-T41</f>
        <v>-0.103764193408598</v>
      </c>
      <c r="V41" s="23" t="n">
        <f aca="false">V40+U41</f>
        <v>-549.284546249283</v>
      </c>
      <c r="W41" s="7" t="n">
        <f aca="false">IF(U41&gt;0,1,0)</f>
        <v>0</v>
      </c>
      <c r="X41" s="7" t="n">
        <f aca="false">IF(V41&gt;=0,1,0)</f>
        <v>0</v>
      </c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" hidden="false" customHeight="false" outlineLevel="0" collapsed="false">
      <c r="A45" s="5" t="str">
        <f aca="false">"Szenario mittel – "&amp;Annahmen!$C$133</f>
        <v>Szenario mittel – profitabler Nebenerwerb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"/>
      <c r="X45" s="2"/>
    </row>
    <row r="46" customFormat="false" ht="42" hidden="false" customHeight="true" outlineLevel="0" collapsed="false">
      <c r="A46" s="34" t="s">
        <v>96</v>
      </c>
      <c r="B46" s="34" t="s">
        <v>323</v>
      </c>
      <c r="C46" s="34" t="s">
        <v>411</v>
      </c>
      <c r="D46" s="34" t="s">
        <v>412</v>
      </c>
      <c r="E46" s="34" t="s">
        <v>413</v>
      </c>
      <c r="F46" s="34" t="s">
        <v>414</v>
      </c>
      <c r="G46" s="34" t="s">
        <v>415</v>
      </c>
      <c r="H46" s="34" t="s">
        <v>416</v>
      </c>
      <c r="I46" s="34" t="s">
        <v>417</v>
      </c>
      <c r="J46" s="34" t="s">
        <v>418</v>
      </c>
      <c r="K46" s="34" t="s">
        <v>419</v>
      </c>
      <c r="L46" s="34" t="s">
        <v>420</v>
      </c>
      <c r="M46" s="34" t="s">
        <v>421</v>
      </c>
      <c r="N46" s="34" t="s">
        <v>422</v>
      </c>
      <c r="O46" s="34" t="s">
        <v>423</v>
      </c>
      <c r="P46" s="34" t="s">
        <v>424</v>
      </c>
      <c r="Q46" s="34" t="s">
        <v>401</v>
      </c>
      <c r="R46" s="34" t="s">
        <v>425</v>
      </c>
      <c r="S46" s="34" t="s">
        <v>342</v>
      </c>
      <c r="T46" s="34" t="s">
        <v>343</v>
      </c>
      <c r="U46" s="34" t="s">
        <v>346</v>
      </c>
      <c r="V46" s="34" t="s">
        <v>347</v>
      </c>
      <c r="W46" s="34" t="s">
        <v>348</v>
      </c>
      <c r="X46" s="34" t="s">
        <v>349</v>
      </c>
    </row>
    <row r="47" customFormat="false" ht="15" hidden="false" customHeight="false" outlineLevel="0" collapsed="false">
      <c r="A47" s="7" t="n">
        <v>1</v>
      </c>
      <c r="B47" s="7" t="s">
        <v>350</v>
      </c>
      <c r="C47" s="17" t="n">
        <f aca="false">IF($A47&gt;=Annahmen!$C$109,Annahmen!$C$110,0)</f>
        <v>0</v>
      </c>
      <c r="D47" s="17" t="n">
        <f aca="false">C47</f>
        <v>0</v>
      </c>
      <c r="E47" s="17" t="n">
        <f aca="false">D47*Annahmen!$C$113</f>
        <v>0</v>
      </c>
      <c r="F47" s="18" t="n">
        <f aca="false">E47*Annahmen!$B$116/(1+Annahmen!$B$9)*Annahmen!$B$129</f>
        <v>0</v>
      </c>
      <c r="G47" s="17" t="n">
        <f aca="false">IF($A47&gt;=Annahmen!$C$109,Annahmen!$C$111,0)</f>
        <v>0</v>
      </c>
      <c r="H47" s="17" t="n">
        <f aca="false">G47</f>
        <v>0</v>
      </c>
      <c r="I47" s="17" t="n">
        <f aca="false">H47*Annahmen!$C$114</f>
        <v>0</v>
      </c>
      <c r="J47" s="18" t="n">
        <f aca="false">I47*Annahmen!$B$117/(1+Annahmen!$B$9)*Annahmen!$B$130</f>
        <v>0</v>
      </c>
      <c r="K47" s="17" t="n">
        <f aca="false">IF($A47&gt;=Annahmen!$C$109,Annahmen!$C$112,0)</f>
        <v>0</v>
      </c>
      <c r="L47" s="17" t="n">
        <f aca="false">K47</f>
        <v>0</v>
      </c>
      <c r="M47" s="17" t="n">
        <f aca="false">L47*Annahmen!$C$115</f>
        <v>0</v>
      </c>
      <c r="N47" s="18" t="n">
        <f aca="false">M47*Annahmen!$B$118/(1+Annahmen!$B$9)*Annahmen!$B$129</f>
        <v>0</v>
      </c>
      <c r="O47" s="17" t="n">
        <f aca="false">IF($A47&gt;=Annahmen!$C$125,Annahmen!$C$126,0)</f>
        <v>0</v>
      </c>
      <c r="P47" s="23" t="n">
        <f aca="false">O47*Annahmen!$B$127</f>
        <v>0</v>
      </c>
      <c r="Q47" s="23" t="n">
        <f aca="false">F47+J47+N47+P47</f>
        <v>0</v>
      </c>
      <c r="R47" s="23" t="n">
        <f aca="false">O47*Annahmen!$B$47+(C47+G47+K47)*Annahmen!$B$128</f>
        <v>0</v>
      </c>
      <c r="S47" s="23" t="n">
        <f aca="false">SUMPRODUCT((((Annahmen!$C$145:$C$155="monatlich")*(Annahmen!$D$145:$D$155&lt;=$A47))+((Annahmen!$C$145:$C$155="einmalig")*(Annahmen!$D$145:$D$155=$A47)))*Annahmen!$B$145:$B$155*Annahmen!$G$145:$G$155)</f>
        <v>109.560493165371</v>
      </c>
      <c r="T47" s="23" t="n">
        <f aca="false">IF($A47&gt;=Annahmen!$C$109,Annahmen!$C$136,0)</f>
        <v>0</v>
      </c>
      <c r="U47" s="23" t="n">
        <f aca="false">Q47-R47-S47-T47</f>
        <v>-109.560493165371</v>
      </c>
      <c r="V47" s="23" t="n">
        <f aca="false">U47</f>
        <v>-109.560493165371</v>
      </c>
      <c r="W47" s="7" t="n">
        <f aca="false">IF(U47&gt;0,1,0)</f>
        <v>0</v>
      </c>
      <c r="X47" s="7" t="n">
        <f aca="false">IF(V47&gt;=0,1,0)</f>
        <v>0</v>
      </c>
    </row>
    <row r="48" customFormat="false" ht="15" hidden="false" customHeight="false" outlineLevel="0" collapsed="false">
      <c r="A48" s="7" t="n">
        <v>2</v>
      </c>
      <c r="B48" s="7" t="s">
        <v>351</v>
      </c>
      <c r="C48" s="17" t="n">
        <f aca="false">IF($A48&gt;=Annahmen!$C$109,Annahmen!$C$110,0)</f>
        <v>0</v>
      </c>
      <c r="D48" s="17" t="n">
        <f aca="false">D47+C48</f>
        <v>0</v>
      </c>
      <c r="E48" s="17" t="n">
        <f aca="false">D48*Annahmen!$C$113</f>
        <v>0</v>
      </c>
      <c r="F48" s="18" t="n">
        <f aca="false">E48*Annahmen!$B$116/(1+Annahmen!$B$9)*Annahmen!$B$129</f>
        <v>0</v>
      </c>
      <c r="G48" s="17" t="n">
        <f aca="false">IF($A48&gt;=Annahmen!$C$109,Annahmen!$C$111,0)</f>
        <v>0</v>
      </c>
      <c r="H48" s="17" t="n">
        <f aca="false">H47+G48</f>
        <v>0</v>
      </c>
      <c r="I48" s="17" t="n">
        <f aca="false">H48*Annahmen!$C$114</f>
        <v>0</v>
      </c>
      <c r="J48" s="18" t="n">
        <f aca="false">I48*Annahmen!$B$117/(1+Annahmen!$B$9)*Annahmen!$B$130</f>
        <v>0</v>
      </c>
      <c r="K48" s="17" t="n">
        <f aca="false">IF($A48&gt;=Annahmen!$C$109,Annahmen!$C$112,0)</f>
        <v>0</v>
      </c>
      <c r="L48" s="17" t="n">
        <f aca="false">L47+K48</f>
        <v>0</v>
      </c>
      <c r="M48" s="17" t="n">
        <f aca="false">L48*Annahmen!$C$115</f>
        <v>0</v>
      </c>
      <c r="N48" s="18" t="n">
        <f aca="false">M48*Annahmen!$B$118/(1+Annahmen!$B$9)*Annahmen!$B$129</f>
        <v>0</v>
      </c>
      <c r="O48" s="17" t="n">
        <f aca="false">IF($A48&gt;=Annahmen!$C$125,Annahmen!$C$126,0)</f>
        <v>0</v>
      </c>
      <c r="P48" s="23" t="n">
        <f aca="false">O48*Annahmen!$B$127</f>
        <v>0</v>
      </c>
      <c r="Q48" s="23" t="n">
        <f aca="false">F48+J48+N48+P48</f>
        <v>0</v>
      </c>
      <c r="R48" s="23" t="n">
        <f aca="false">O48*Annahmen!$B$47+(C48+G48+K48)*Annahmen!$B$128</f>
        <v>0</v>
      </c>
      <c r="S48" s="23" t="n">
        <f aca="false">SUMPRODUCT((((Annahmen!$C$145:$C$155="monatlich")*(Annahmen!$D$145:$D$155&lt;=$A48))+((Annahmen!$C$145:$C$155="einmalig")*(Annahmen!$D$145:$D$155=$A48)))*Annahmen!$B$145:$B$155*Annahmen!$G$145:$G$155)</f>
        <v>28.3604931653712</v>
      </c>
      <c r="T48" s="23" t="n">
        <f aca="false">IF($A48&gt;=Annahmen!$C$109,Annahmen!$C$136,0)</f>
        <v>0</v>
      </c>
      <c r="U48" s="23" t="n">
        <f aca="false">Q48-R48-S48-T48</f>
        <v>-28.3604931653712</v>
      </c>
      <c r="V48" s="23" t="n">
        <f aca="false">V47+U48</f>
        <v>-137.920986330742</v>
      </c>
      <c r="W48" s="7" t="n">
        <f aca="false">IF(U48&gt;0,1,0)</f>
        <v>0</v>
      </c>
      <c r="X48" s="7" t="n">
        <f aca="false">IF(V48&gt;=0,1,0)</f>
        <v>0</v>
      </c>
    </row>
    <row r="49" customFormat="false" ht="15" hidden="false" customHeight="false" outlineLevel="0" collapsed="false">
      <c r="A49" s="7" t="n">
        <v>3</v>
      </c>
      <c r="B49" s="7" t="s">
        <v>352</v>
      </c>
      <c r="C49" s="17" t="n">
        <f aca="false">IF($A49&gt;=Annahmen!$C$109,Annahmen!$C$110,0)</f>
        <v>0</v>
      </c>
      <c r="D49" s="17" t="n">
        <f aca="false">D48+C49</f>
        <v>0</v>
      </c>
      <c r="E49" s="17" t="n">
        <f aca="false">D49*Annahmen!$C$113</f>
        <v>0</v>
      </c>
      <c r="F49" s="18" t="n">
        <f aca="false">E49*Annahmen!$B$116/(1+Annahmen!$B$9)*Annahmen!$B$129</f>
        <v>0</v>
      </c>
      <c r="G49" s="17" t="n">
        <f aca="false">IF($A49&gt;=Annahmen!$C$109,Annahmen!$C$111,0)</f>
        <v>0</v>
      </c>
      <c r="H49" s="17" t="n">
        <f aca="false">H48+G49</f>
        <v>0</v>
      </c>
      <c r="I49" s="17" t="n">
        <f aca="false">H49*Annahmen!$C$114</f>
        <v>0</v>
      </c>
      <c r="J49" s="18" t="n">
        <f aca="false">I49*Annahmen!$B$117/(1+Annahmen!$B$9)*Annahmen!$B$130</f>
        <v>0</v>
      </c>
      <c r="K49" s="17" t="n">
        <f aca="false">IF($A49&gt;=Annahmen!$C$109,Annahmen!$C$112,0)</f>
        <v>0</v>
      </c>
      <c r="L49" s="17" t="n">
        <f aca="false">L48+K49</f>
        <v>0</v>
      </c>
      <c r="M49" s="17" t="n">
        <f aca="false">L49*Annahmen!$C$115</f>
        <v>0</v>
      </c>
      <c r="N49" s="18" t="n">
        <f aca="false">M49*Annahmen!$B$118/(1+Annahmen!$B$9)*Annahmen!$B$129</f>
        <v>0</v>
      </c>
      <c r="O49" s="17" t="n">
        <f aca="false">IF($A49&gt;=Annahmen!$C$125,Annahmen!$C$126,0)</f>
        <v>0</v>
      </c>
      <c r="P49" s="23" t="n">
        <f aca="false">O49*Annahmen!$B$127</f>
        <v>0</v>
      </c>
      <c r="Q49" s="23" t="n">
        <f aca="false">F49+J49+N49+P49</f>
        <v>0</v>
      </c>
      <c r="R49" s="23" t="n">
        <f aca="false">O49*Annahmen!$B$47+(C49+G49+K49)*Annahmen!$B$128</f>
        <v>0</v>
      </c>
      <c r="S49" s="23" t="n">
        <f aca="false">SUMPRODUCT((((Annahmen!$C$145:$C$155="monatlich")*(Annahmen!$D$145:$D$155&lt;=$A49))+((Annahmen!$C$145:$C$155="einmalig")*(Annahmen!$D$145:$D$155=$A49)))*Annahmen!$B$145:$B$155*Annahmen!$G$145:$G$155)</f>
        <v>98.3604931653712</v>
      </c>
      <c r="T49" s="23" t="n">
        <f aca="false">IF($A49&gt;=Annahmen!$C$109,Annahmen!$C$136,0)</f>
        <v>0</v>
      </c>
      <c r="U49" s="23" t="n">
        <f aca="false">Q49-R49-S49-T49</f>
        <v>-98.3604931653712</v>
      </c>
      <c r="V49" s="23" t="n">
        <f aca="false">V48+U49</f>
        <v>-236.281479496114</v>
      </c>
      <c r="W49" s="7" t="n">
        <f aca="false">IF(U49&gt;0,1,0)</f>
        <v>0</v>
      </c>
      <c r="X49" s="7" t="n">
        <f aca="false">IF(V49&gt;=0,1,0)</f>
        <v>0</v>
      </c>
    </row>
    <row r="50" customFormat="false" ht="15" hidden="false" customHeight="false" outlineLevel="0" collapsed="false">
      <c r="A50" s="7" t="n">
        <v>4</v>
      </c>
      <c r="B50" s="7" t="s">
        <v>353</v>
      </c>
      <c r="C50" s="17" t="n">
        <f aca="false">IF($A50&gt;=Annahmen!$C$109,Annahmen!$C$110,0)</f>
        <v>5</v>
      </c>
      <c r="D50" s="17" t="n">
        <f aca="false">D49+C50</f>
        <v>5</v>
      </c>
      <c r="E50" s="17" t="n">
        <f aca="false">D50*Annahmen!$C$113</f>
        <v>2</v>
      </c>
      <c r="F50" s="18" t="n">
        <f aca="false">E50*Annahmen!$B$116/(1+Annahmen!$B$9)*Annahmen!$B$129</f>
        <v>2.93411214953271</v>
      </c>
      <c r="G50" s="17" t="n">
        <f aca="false">IF($A50&gt;=Annahmen!$C$109,Annahmen!$C$111,0)</f>
        <v>3</v>
      </c>
      <c r="H50" s="17" t="n">
        <f aca="false">H49+G50</f>
        <v>3</v>
      </c>
      <c r="I50" s="17" t="n">
        <f aca="false">H50*Annahmen!$C$114</f>
        <v>0.9</v>
      </c>
      <c r="J50" s="18" t="n">
        <f aca="false">I50*Annahmen!$B$117/(1+Annahmen!$B$9)*Annahmen!$B$130</f>
        <v>3.69630841121495</v>
      </c>
      <c r="K50" s="17" t="n">
        <f aca="false">IF($A50&gt;=Annahmen!$C$109,Annahmen!$C$112,0)</f>
        <v>3</v>
      </c>
      <c r="L50" s="17" t="n">
        <f aca="false">L49+K50</f>
        <v>3</v>
      </c>
      <c r="M50" s="17" t="n">
        <f aca="false">L50*Annahmen!$C$115</f>
        <v>1.2</v>
      </c>
      <c r="N50" s="18" t="n">
        <f aca="false">M50*Annahmen!$B$118/(1+Annahmen!$B$9)*Annahmen!$B$129</f>
        <v>2.93803738317757</v>
      </c>
      <c r="O50" s="17" t="n">
        <f aca="false">IF($A50&gt;=Annahmen!$C$125,Annahmen!$C$126,0)</f>
        <v>0</v>
      </c>
      <c r="P50" s="23" t="n">
        <f aca="false">O50*Annahmen!$B$127</f>
        <v>0</v>
      </c>
      <c r="Q50" s="23" t="n">
        <f aca="false">F50+J50+N50+P50</f>
        <v>9.56845794392523</v>
      </c>
      <c r="R50" s="23" t="n">
        <f aca="false">O50*Annahmen!$B$47+(C50+G50+K50)*Annahmen!$B$128</f>
        <v>0</v>
      </c>
      <c r="S50" s="23" t="n">
        <f aca="false">SUMPRODUCT((((Annahmen!$C$145:$C$155="monatlich")*(Annahmen!$D$145:$D$155&lt;=$A50))+((Annahmen!$C$145:$C$155="einmalig")*(Annahmen!$D$145:$D$155=$A50)))*Annahmen!$B$145:$B$155*Annahmen!$G$145:$G$155)</f>
        <v>28.3604931653712</v>
      </c>
      <c r="T50" s="23" t="n">
        <f aca="false">IF($A50&gt;=Annahmen!$C$109,Annahmen!$C$136,0)</f>
        <v>100</v>
      </c>
      <c r="U50" s="23" t="n">
        <f aca="false">Q50-R50-S50-T50</f>
        <v>-118.792035221446</v>
      </c>
      <c r="V50" s="23" t="n">
        <f aca="false">V49+U50</f>
        <v>-355.07351471756</v>
      </c>
      <c r="W50" s="7" t="n">
        <f aca="false">IF(U50&gt;0,1,0)</f>
        <v>0</v>
      </c>
      <c r="X50" s="7" t="n">
        <f aca="false">IF(V50&gt;=0,1,0)</f>
        <v>0</v>
      </c>
    </row>
    <row r="51" customFormat="false" ht="15" hidden="false" customHeight="false" outlineLevel="0" collapsed="false">
      <c r="A51" s="7" t="n">
        <v>5</v>
      </c>
      <c r="B51" s="7" t="s">
        <v>354</v>
      </c>
      <c r="C51" s="17" t="n">
        <f aca="false">IF($A51&gt;=Annahmen!$C$109,Annahmen!$C$110,0)</f>
        <v>5</v>
      </c>
      <c r="D51" s="17" t="n">
        <f aca="false">D50+C51</f>
        <v>10</v>
      </c>
      <c r="E51" s="17" t="n">
        <f aca="false">D51*Annahmen!$C$113</f>
        <v>4</v>
      </c>
      <c r="F51" s="18" t="n">
        <f aca="false">E51*Annahmen!$B$116/(1+Annahmen!$B$9)*Annahmen!$B$129</f>
        <v>5.86822429906542</v>
      </c>
      <c r="G51" s="17" t="n">
        <f aca="false">IF($A51&gt;=Annahmen!$C$109,Annahmen!$C$111,0)</f>
        <v>3</v>
      </c>
      <c r="H51" s="17" t="n">
        <f aca="false">H50+G51</f>
        <v>6</v>
      </c>
      <c r="I51" s="17" t="n">
        <f aca="false">H51*Annahmen!$C$114</f>
        <v>1.8</v>
      </c>
      <c r="J51" s="18" t="n">
        <f aca="false">I51*Annahmen!$B$117/(1+Annahmen!$B$9)*Annahmen!$B$130</f>
        <v>7.39261682242991</v>
      </c>
      <c r="K51" s="17" t="n">
        <f aca="false">IF($A51&gt;=Annahmen!$C$109,Annahmen!$C$112,0)</f>
        <v>3</v>
      </c>
      <c r="L51" s="17" t="n">
        <f aca="false">L50+K51</f>
        <v>6</v>
      </c>
      <c r="M51" s="17" t="n">
        <f aca="false">L51*Annahmen!$C$115</f>
        <v>2.4</v>
      </c>
      <c r="N51" s="18" t="n">
        <f aca="false">M51*Annahmen!$B$118/(1+Annahmen!$B$9)*Annahmen!$B$129</f>
        <v>5.87607476635514</v>
      </c>
      <c r="O51" s="17" t="n">
        <f aca="false">IF($A51&gt;=Annahmen!$C$125,Annahmen!$C$126,0)</f>
        <v>0</v>
      </c>
      <c r="P51" s="23" t="n">
        <f aca="false">O51*Annahmen!$B$127</f>
        <v>0</v>
      </c>
      <c r="Q51" s="23" t="n">
        <f aca="false">F51+J51+N51+P51</f>
        <v>19.1369158878505</v>
      </c>
      <c r="R51" s="23" t="n">
        <f aca="false">O51*Annahmen!$B$47+(C51+G51+K51)*Annahmen!$B$128</f>
        <v>0</v>
      </c>
      <c r="S51" s="23" t="n">
        <f aca="false">SUMPRODUCT((((Annahmen!$C$145:$C$155="monatlich")*(Annahmen!$D$145:$D$155&lt;=$A51))+((Annahmen!$C$145:$C$155="einmalig")*(Annahmen!$D$145:$D$155=$A51)))*Annahmen!$B$145:$B$155*Annahmen!$G$145:$G$155)</f>
        <v>28.3604931653712</v>
      </c>
      <c r="T51" s="23" t="n">
        <f aca="false">IF($A51&gt;=Annahmen!$C$109,Annahmen!$C$136,0)</f>
        <v>100</v>
      </c>
      <c r="U51" s="23" t="n">
        <f aca="false">Q51-R51-S51-T51</f>
        <v>-109.223577277521</v>
      </c>
      <c r="V51" s="23" t="n">
        <f aca="false">V50+U51</f>
        <v>-464.29709199508</v>
      </c>
      <c r="W51" s="7" t="n">
        <f aca="false">IF(U51&gt;0,1,0)</f>
        <v>0</v>
      </c>
      <c r="X51" s="7" t="n">
        <f aca="false">IF(V51&gt;=0,1,0)</f>
        <v>0</v>
      </c>
    </row>
    <row r="52" customFormat="false" ht="15" hidden="false" customHeight="false" outlineLevel="0" collapsed="false">
      <c r="A52" s="7" t="n">
        <v>6</v>
      </c>
      <c r="B52" s="7" t="s">
        <v>355</v>
      </c>
      <c r="C52" s="17" t="n">
        <f aca="false">IF($A52&gt;=Annahmen!$C$109,Annahmen!$C$110,0)</f>
        <v>5</v>
      </c>
      <c r="D52" s="17" t="n">
        <f aca="false">D51+C52</f>
        <v>15</v>
      </c>
      <c r="E52" s="17" t="n">
        <f aca="false">D52*Annahmen!$C$113</f>
        <v>6</v>
      </c>
      <c r="F52" s="18" t="n">
        <f aca="false">E52*Annahmen!$B$116/(1+Annahmen!$B$9)*Annahmen!$B$129</f>
        <v>8.80233644859813</v>
      </c>
      <c r="G52" s="17" t="n">
        <f aca="false">IF($A52&gt;=Annahmen!$C$109,Annahmen!$C$111,0)</f>
        <v>3</v>
      </c>
      <c r="H52" s="17" t="n">
        <f aca="false">H51+G52</f>
        <v>9</v>
      </c>
      <c r="I52" s="17" t="n">
        <f aca="false">H52*Annahmen!$C$114</f>
        <v>2.7</v>
      </c>
      <c r="J52" s="18" t="n">
        <f aca="false">I52*Annahmen!$B$117/(1+Annahmen!$B$9)*Annahmen!$B$130</f>
        <v>11.0889252336449</v>
      </c>
      <c r="K52" s="17" t="n">
        <f aca="false">IF($A52&gt;=Annahmen!$C$109,Annahmen!$C$112,0)</f>
        <v>3</v>
      </c>
      <c r="L52" s="17" t="n">
        <f aca="false">L51+K52</f>
        <v>9</v>
      </c>
      <c r="M52" s="17" t="n">
        <f aca="false">L52*Annahmen!$C$115</f>
        <v>3.6</v>
      </c>
      <c r="N52" s="18" t="n">
        <f aca="false">M52*Annahmen!$B$118/(1+Annahmen!$B$9)*Annahmen!$B$129</f>
        <v>8.81411214953271</v>
      </c>
      <c r="O52" s="17" t="n">
        <f aca="false">IF($A52&gt;=Annahmen!$C$125,Annahmen!$C$126,0)</f>
        <v>0</v>
      </c>
      <c r="P52" s="23" t="n">
        <f aca="false">O52*Annahmen!$B$127</f>
        <v>0</v>
      </c>
      <c r="Q52" s="23" t="n">
        <f aca="false">F52+J52+N52+P52</f>
        <v>28.7053738317757</v>
      </c>
      <c r="R52" s="23" t="n">
        <f aca="false">O52*Annahmen!$B$47+(C52+G52+K52)*Annahmen!$B$128</f>
        <v>0</v>
      </c>
      <c r="S52" s="23" t="n">
        <f aca="false">SUMPRODUCT((((Annahmen!$C$145:$C$155="monatlich")*(Annahmen!$D$145:$D$155&lt;=$A52))+((Annahmen!$C$145:$C$155="einmalig")*(Annahmen!$D$145:$D$155=$A52)))*Annahmen!$B$145:$B$155*Annahmen!$G$145:$G$155)</f>
        <v>28.3604931653712</v>
      </c>
      <c r="T52" s="23" t="n">
        <f aca="false">IF($A52&gt;=Annahmen!$C$109,Annahmen!$C$136,0)</f>
        <v>100</v>
      </c>
      <c r="U52" s="23" t="n">
        <f aca="false">Q52-R52-S52-T52</f>
        <v>-99.6551193335955</v>
      </c>
      <c r="V52" s="23" t="n">
        <f aca="false">V51+U52</f>
        <v>-563.952211328676</v>
      </c>
      <c r="W52" s="7" t="n">
        <f aca="false">IF(U52&gt;0,1,0)</f>
        <v>0</v>
      </c>
      <c r="X52" s="7" t="n">
        <f aca="false">IF(V52&gt;=0,1,0)</f>
        <v>0</v>
      </c>
    </row>
    <row r="53" customFormat="false" ht="15" hidden="false" customHeight="false" outlineLevel="0" collapsed="false">
      <c r="A53" s="7" t="n">
        <v>7</v>
      </c>
      <c r="B53" s="7" t="s">
        <v>356</v>
      </c>
      <c r="C53" s="17" t="n">
        <f aca="false">IF($A53&gt;=Annahmen!$C$109,Annahmen!$C$110,0)</f>
        <v>5</v>
      </c>
      <c r="D53" s="17" t="n">
        <f aca="false">D52+C53</f>
        <v>20</v>
      </c>
      <c r="E53" s="17" t="n">
        <f aca="false">D53*Annahmen!$C$113</f>
        <v>8</v>
      </c>
      <c r="F53" s="18" t="n">
        <f aca="false">E53*Annahmen!$B$116/(1+Annahmen!$B$9)*Annahmen!$B$129</f>
        <v>11.7364485981308</v>
      </c>
      <c r="G53" s="17" t="n">
        <f aca="false">IF($A53&gt;=Annahmen!$C$109,Annahmen!$C$111,0)</f>
        <v>3</v>
      </c>
      <c r="H53" s="17" t="n">
        <f aca="false">H52+G53</f>
        <v>12</v>
      </c>
      <c r="I53" s="17" t="n">
        <f aca="false">H53*Annahmen!$C$114</f>
        <v>3.6</v>
      </c>
      <c r="J53" s="18" t="n">
        <f aca="false">I53*Annahmen!$B$117/(1+Annahmen!$B$9)*Annahmen!$B$130</f>
        <v>14.7852336448598</v>
      </c>
      <c r="K53" s="17" t="n">
        <f aca="false">IF($A53&gt;=Annahmen!$C$109,Annahmen!$C$112,0)</f>
        <v>3</v>
      </c>
      <c r="L53" s="17" t="n">
        <f aca="false">L52+K53</f>
        <v>12</v>
      </c>
      <c r="M53" s="17" t="n">
        <f aca="false">L53*Annahmen!$C$115</f>
        <v>4.8</v>
      </c>
      <c r="N53" s="18" t="n">
        <f aca="false">M53*Annahmen!$B$118/(1+Annahmen!$B$9)*Annahmen!$B$129</f>
        <v>11.7521495327103</v>
      </c>
      <c r="O53" s="17" t="n">
        <f aca="false">IF($A53&gt;=Annahmen!$C$125,Annahmen!$C$126,0)</f>
        <v>0</v>
      </c>
      <c r="P53" s="23" t="n">
        <f aca="false">O53*Annahmen!$B$127</f>
        <v>0</v>
      </c>
      <c r="Q53" s="23" t="n">
        <f aca="false">F53+J53+N53+P53</f>
        <v>38.2738317757009</v>
      </c>
      <c r="R53" s="23" t="n">
        <f aca="false">O53*Annahmen!$B$47+(C53+G53+K53)*Annahmen!$B$128</f>
        <v>0</v>
      </c>
      <c r="S53" s="23" t="n">
        <f aca="false">SUMPRODUCT((((Annahmen!$C$145:$C$155="monatlich")*(Annahmen!$D$145:$D$155&lt;=$A53))+((Annahmen!$C$145:$C$155="einmalig")*(Annahmen!$D$145:$D$155=$A53)))*Annahmen!$B$145:$B$155*Annahmen!$G$145:$G$155)</f>
        <v>28.3604931653712</v>
      </c>
      <c r="T53" s="23" t="n">
        <f aca="false">IF($A53&gt;=Annahmen!$C$109,Annahmen!$C$136,0)</f>
        <v>100</v>
      </c>
      <c r="U53" s="23" t="n">
        <f aca="false">Q53-R53-S53-T53</f>
        <v>-90.0866613896703</v>
      </c>
      <c r="V53" s="23" t="n">
        <f aca="false">V52+U53</f>
        <v>-654.038872718346</v>
      </c>
      <c r="W53" s="7" t="n">
        <f aca="false">IF(U53&gt;0,1,0)</f>
        <v>0</v>
      </c>
      <c r="X53" s="7" t="n">
        <f aca="false">IF(V53&gt;=0,1,0)</f>
        <v>0</v>
      </c>
    </row>
    <row r="54" customFormat="false" ht="15" hidden="false" customHeight="false" outlineLevel="0" collapsed="false">
      <c r="A54" s="7" t="n">
        <v>8</v>
      </c>
      <c r="B54" s="7" t="s">
        <v>357</v>
      </c>
      <c r="C54" s="17" t="n">
        <f aca="false">IF($A54&gt;=Annahmen!$C$109,Annahmen!$C$110,0)</f>
        <v>5</v>
      </c>
      <c r="D54" s="17" t="n">
        <f aca="false">D53+C54</f>
        <v>25</v>
      </c>
      <c r="E54" s="17" t="n">
        <f aca="false">D54*Annahmen!$C$113</f>
        <v>10</v>
      </c>
      <c r="F54" s="18" t="n">
        <f aca="false">E54*Annahmen!$B$116/(1+Annahmen!$B$9)*Annahmen!$B$129</f>
        <v>14.6705607476636</v>
      </c>
      <c r="G54" s="17" t="n">
        <f aca="false">IF($A54&gt;=Annahmen!$C$109,Annahmen!$C$111,0)</f>
        <v>3</v>
      </c>
      <c r="H54" s="17" t="n">
        <f aca="false">H53+G54</f>
        <v>15</v>
      </c>
      <c r="I54" s="17" t="n">
        <f aca="false">H54*Annahmen!$C$114</f>
        <v>4.5</v>
      </c>
      <c r="J54" s="18" t="n">
        <f aca="false">I54*Annahmen!$B$117/(1+Annahmen!$B$9)*Annahmen!$B$130</f>
        <v>18.4815420560748</v>
      </c>
      <c r="K54" s="17" t="n">
        <f aca="false">IF($A54&gt;=Annahmen!$C$109,Annahmen!$C$112,0)</f>
        <v>3</v>
      </c>
      <c r="L54" s="17" t="n">
        <f aca="false">L53+K54</f>
        <v>15</v>
      </c>
      <c r="M54" s="17" t="n">
        <f aca="false">L54*Annahmen!$C$115</f>
        <v>6</v>
      </c>
      <c r="N54" s="18" t="n">
        <f aca="false">M54*Annahmen!$B$118/(1+Annahmen!$B$9)*Annahmen!$B$129</f>
        <v>14.6901869158878</v>
      </c>
      <c r="O54" s="17" t="n">
        <f aca="false">IF($A54&gt;=Annahmen!$C$125,Annahmen!$C$126,0)</f>
        <v>0</v>
      </c>
      <c r="P54" s="23" t="n">
        <f aca="false">O54*Annahmen!$B$127</f>
        <v>0</v>
      </c>
      <c r="Q54" s="23" t="n">
        <f aca="false">F54+J54+N54+P54</f>
        <v>47.8422897196262</v>
      </c>
      <c r="R54" s="23" t="n">
        <f aca="false">O54*Annahmen!$B$47+(C54+G54+K54)*Annahmen!$B$128</f>
        <v>0</v>
      </c>
      <c r="S54" s="23" t="n">
        <f aca="false">SUMPRODUCT((((Annahmen!$C$145:$C$155="monatlich")*(Annahmen!$D$145:$D$155&lt;=$A54))+((Annahmen!$C$145:$C$155="einmalig")*(Annahmen!$D$145:$D$155=$A54)))*Annahmen!$B$145:$B$155*Annahmen!$G$145:$G$155)</f>
        <v>28.3604931653712</v>
      </c>
      <c r="T54" s="23" t="n">
        <f aca="false">IF($A54&gt;=Annahmen!$C$109,Annahmen!$C$136,0)</f>
        <v>100</v>
      </c>
      <c r="U54" s="23" t="n">
        <f aca="false">Q54-R54-S54-T54</f>
        <v>-80.518203445745</v>
      </c>
      <c r="V54" s="23" t="n">
        <f aca="false">V53+U54</f>
        <v>-734.557076164091</v>
      </c>
      <c r="W54" s="7" t="n">
        <f aca="false">IF(U54&gt;0,1,0)</f>
        <v>0</v>
      </c>
      <c r="X54" s="7" t="n">
        <f aca="false">IF(V54&gt;=0,1,0)</f>
        <v>0</v>
      </c>
    </row>
    <row r="55" customFormat="false" ht="15" hidden="false" customHeight="false" outlineLevel="0" collapsed="false">
      <c r="A55" s="7" t="n">
        <v>9</v>
      </c>
      <c r="B55" s="7" t="s">
        <v>358</v>
      </c>
      <c r="C55" s="17" t="n">
        <f aca="false">IF($A55&gt;=Annahmen!$C$109,Annahmen!$C$110,0)</f>
        <v>5</v>
      </c>
      <c r="D55" s="17" t="n">
        <f aca="false">D54+C55</f>
        <v>30</v>
      </c>
      <c r="E55" s="17" t="n">
        <f aca="false">D55*Annahmen!$C$113</f>
        <v>12</v>
      </c>
      <c r="F55" s="18" t="n">
        <f aca="false">E55*Annahmen!$B$116/(1+Annahmen!$B$9)*Annahmen!$B$129</f>
        <v>17.6046728971963</v>
      </c>
      <c r="G55" s="17" t="n">
        <f aca="false">IF($A55&gt;=Annahmen!$C$109,Annahmen!$C$111,0)</f>
        <v>3</v>
      </c>
      <c r="H55" s="17" t="n">
        <f aca="false">H54+G55</f>
        <v>18</v>
      </c>
      <c r="I55" s="17" t="n">
        <f aca="false">H55*Annahmen!$C$114</f>
        <v>5.4</v>
      </c>
      <c r="J55" s="18" t="n">
        <f aca="false">I55*Annahmen!$B$117/(1+Annahmen!$B$9)*Annahmen!$B$130</f>
        <v>22.1778504672897</v>
      </c>
      <c r="K55" s="17" t="n">
        <f aca="false">IF($A55&gt;=Annahmen!$C$109,Annahmen!$C$112,0)</f>
        <v>3</v>
      </c>
      <c r="L55" s="17" t="n">
        <f aca="false">L54+K55</f>
        <v>18</v>
      </c>
      <c r="M55" s="17" t="n">
        <f aca="false">L55*Annahmen!$C$115</f>
        <v>7.2</v>
      </c>
      <c r="N55" s="18" t="n">
        <f aca="false">M55*Annahmen!$B$118/(1+Annahmen!$B$9)*Annahmen!$B$129</f>
        <v>17.6282242990654</v>
      </c>
      <c r="O55" s="17" t="n">
        <f aca="false">IF($A55&gt;=Annahmen!$C$125,Annahmen!$C$126,0)</f>
        <v>0</v>
      </c>
      <c r="P55" s="23" t="n">
        <f aca="false">O55*Annahmen!$B$127</f>
        <v>0</v>
      </c>
      <c r="Q55" s="23" t="n">
        <f aca="false">F55+J55+N55+P55</f>
        <v>57.4107476635514</v>
      </c>
      <c r="R55" s="23" t="n">
        <f aca="false">O55*Annahmen!$B$47+(C55+G55+K55)*Annahmen!$B$128</f>
        <v>0</v>
      </c>
      <c r="S55" s="23" t="n">
        <f aca="false">SUMPRODUCT((((Annahmen!$C$145:$C$155="monatlich")*(Annahmen!$D$145:$D$155&lt;=$A55))+((Annahmen!$C$145:$C$155="einmalig")*(Annahmen!$D$145:$D$155=$A55)))*Annahmen!$B$145:$B$155*Annahmen!$G$145:$G$155)</f>
        <v>28.3604931653712</v>
      </c>
      <c r="T55" s="23" t="n">
        <f aca="false">IF($A55&gt;=Annahmen!$C$109,Annahmen!$C$136,0)</f>
        <v>100</v>
      </c>
      <c r="U55" s="23" t="n">
        <f aca="false">Q55-R55-S55-T55</f>
        <v>-70.9497455018198</v>
      </c>
      <c r="V55" s="23" t="n">
        <f aca="false">V54+U55</f>
        <v>-805.506821665911</v>
      </c>
      <c r="W55" s="7" t="n">
        <f aca="false">IF(U55&gt;0,1,0)</f>
        <v>0</v>
      </c>
      <c r="X55" s="7" t="n">
        <f aca="false">IF(V55&gt;=0,1,0)</f>
        <v>0</v>
      </c>
    </row>
    <row r="56" customFormat="false" ht="15" hidden="false" customHeight="false" outlineLevel="0" collapsed="false">
      <c r="A56" s="7" t="n">
        <v>10</v>
      </c>
      <c r="B56" s="7" t="s">
        <v>359</v>
      </c>
      <c r="C56" s="17" t="n">
        <f aca="false">IF($A56&gt;=Annahmen!$C$109,Annahmen!$C$110,0)</f>
        <v>5</v>
      </c>
      <c r="D56" s="17" t="n">
        <f aca="false">D55+C56</f>
        <v>35</v>
      </c>
      <c r="E56" s="17" t="n">
        <f aca="false">D56*Annahmen!$C$113</f>
        <v>14</v>
      </c>
      <c r="F56" s="18" t="n">
        <f aca="false">E56*Annahmen!$B$116/(1+Annahmen!$B$9)*Annahmen!$B$129</f>
        <v>20.538785046729</v>
      </c>
      <c r="G56" s="17" t="n">
        <f aca="false">IF($A56&gt;=Annahmen!$C$109,Annahmen!$C$111,0)</f>
        <v>3</v>
      </c>
      <c r="H56" s="17" t="n">
        <f aca="false">H55+G56</f>
        <v>21</v>
      </c>
      <c r="I56" s="17" t="n">
        <f aca="false">H56*Annahmen!$C$114</f>
        <v>6.3</v>
      </c>
      <c r="J56" s="18" t="n">
        <f aca="false">I56*Annahmen!$B$117/(1+Annahmen!$B$9)*Annahmen!$B$130</f>
        <v>25.8741588785047</v>
      </c>
      <c r="K56" s="17" t="n">
        <f aca="false">IF($A56&gt;=Annahmen!$C$109,Annahmen!$C$112,0)</f>
        <v>3</v>
      </c>
      <c r="L56" s="17" t="n">
        <f aca="false">L55+K56</f>
        <v>21</v>
      </c>
      <c r="M56" s="17" t="n">
        <f aca="false">L56*Annahmen!$C$115</f>
        <v>8.4</v>
      </c>
      <c r="N56" s="18" t="n">
        <f aca="false">M56*Annahmen!$B$118/(1+Annahmen!$B$9)*Annahmen!$B$129</f>
        <v>20.566261682243</v>
      </c>
      <c r="O56" s="17" t="n">
        <f aca="false">IF($A56&gt;=Annahmen!$C$125,Annahmen!$C$126,0)</f>
        <v>0.5</v>
      </c>
      <c r="P56" s="23" t="n">
        <f aca="false">O56*Annahmen!$B$127</f>
        <v>195</v>
      </c>
      <c r="Q56" s="23" t="n">
        <f aca="false">F56+J56+N56+P56</f>
        <v>261.979205607477</v>
      </c>
      <c r="R56" s="23" t="n">
        <f aca="false">O56*Annahmen!$B$47+(C56+G56+K56)*Annahmen!$B$128</f>
        <v>4.33587163568827</v>
      </c>
      <c r="S56" s="23" t="n">
        <f aca="false">SUMPRODUCT((((Annahmen!$C$145:$C$155="monatlich")*(Annahmen!$D$145:$D$155&lt;=$A56))+((Annahmen!$C$145:$C$155="einmalig")*(Annahmen!$D$145:$D$155=$A56)))*Annahmen!$B$145:$B$155*Annahmen!$G$145:$G$155)</f>
        <v>28.3604931653712</v>
      </c>
      <c r="T56" s="23" t="n">
        <f aca="false">IF($A56&gt;=Annahmen!$C$109,Annahmen!$C$136,0)</f>
        <v>100</v>
      </c>
      <c r="U56" s="23" t="n">
        <f aca="false">Q56-R56-S56-T56</f>
        <v>129.282840806417</v>
      </c>
      <c r="V56" s="23" t="n">
        <f aca="false">V55+U56</f>
        <v>-676.223980859494</v>
      </c>
      <c r="W56" s="7" t="n">
        <f aca="false">IF(U56&gt;0,1,0)</f>
        <v>1</v>
      </c>
      <c r="X56" s="7" t="n">
        <f aca="false">IF(V56&gt;=0,1,0)</f>
        <v>0</v>
      </c>
    </row>
    <row r="57" customFormat="false" ht="15" hidden="false" customHeight="false" outlineLevel="0" collapsed="false">
      <c r="A57" s="7" t="n">
        <v>11</v>
      </c>
      <c r="B57" s="7" t="s">
        <v>360</v>
      </c>
      <c r="C57" s="17" t="n">
        <f aca="false">IF($A57&gt;=Annahmen!$C$109,Annahmen!$C$110,0)</f>
        <v>5</v>
      </c>
      <c r="D57" s="17" t="n">
        <f aca="false">D56+C57</f>
        <v>40</v>
      </c>
      <c r="E57" s="17" t="n">
        <f aca="false">D57*Annahmen!$C$113</f>
        <v>16</v>
      </c>
      <c r="F57" s="18" t="n">
        <f aca="false">E57*Annahmen!$B$116/(1+Annahmen!$B$9)*Annahmen!$B$129</f>
        <v>23.4728971962617</v>
      </c>
      <c r="G57" s="17" t="n">
        <f aca="false">IF($A57&gt;=Annahmen!$C$109,Annahmen!$C$111,0)</f>
        <v>3</v>
      </c>
      <c r="H57" s="17" t="n">
        <f aca="false">H56+G57</f>
        <v>24</v>
      </c>
      <c r="I57" s="17" t="n">
        <f aca="false">H57*Annahmen!$C$114</f>
        <v>7.2</v>
      </c>
      <c r="J57" s="18" t="n">
        <f aca="false">I57*Annahmen!$B$117/(1+Annahmen!$B$9)*Annahmen!$B$130</f>
        <v>29.5704672897196</v>
      </c>
      <c r="K57" s="17" t="n">
        <f aca="false">IF($A57&gt;=Annahmen!$C$109,Annahmen!$C$112,0)</f>
        <v>3</v>
      </c>
      <c r="L57" s="17" t="n">
        <f aca="false">L56+K57</f>
        <v>24</v>
      </c>
      <c r="M57" s="17" t="n">
        <f aca="false">L57*Annahmen!$C$115</f>
        <v>9.6</v>
      </c>
      <c r="N57" s="18" t="n">
        <f aca="false">M57*Annahmen!$B$118/(1+Annahmen!$B$9)*Annahmen!$B$129</f>
        <v>23.5042990654206</v>
      </c>
      <c r="O57" s="17" t="n">
        <f aca="false">IF($A57&gt;=Annahmen!$C$125,Annahmen!$C$126,0)</f>
        <v>0.5</v>
      </c>
      <c r="P57" s="23" t="n">
        <f aca="false">O57*Annahmen!$B$127</f>
        <v>195</v>
      </c>
      <c r="Q57" s="23" t="n">
        <f aca="false">F57+J57+N57+P57</f>
        <v>271.547663551402</v>
      </c>
      <c r="R57" s="23" t="n">
        <f aca="false">O57*Annahmen!$B$47+(C57+G57+K57)*Annahmen!$B$128</f>
        <v>4.33587163568827</v>
      </c>
      <c r="S57" s="23" t="n">
        <f aca="false">SUMPRODUCT((((Annahmen!$C$145:$C$155="monatlich")*(Annahmen!$D$145:$D$155&lt;=$A57))+((Annahmen!$C$145:$C$155="einmalig")*(Annahmen!$D$145:$D$155=$A57)))*Annahmen!$B$145:$B$155*Annahmen!$G$145:$G$155)</f>
        <v>28.3604931653712</v>
      </c>
      <c r="T57" s="23" t="n">
        <f aca="false">IF($A57&gt;=Annahmen!$C$109,Annahmen!$C$136,0)</f>
        <v>100</v>
      </c>
      <c r="U57" s="23" t="n">
        <f aca="false">Q57-R57-S57-T57</f>
        <v>138.851298750342</v>
      </c>
      <c r="V57" s="23" t="n">
        <f aca="false">V56+U57</f>
        <v>-537.372682109152</v>
      </c>
      <c r="W57" s="7" t="n">
        <f aca="false">IF(U57&gt;0,1,0)</f>
        <v>1</v>
      </c>
      <c r="X57" s="7" t="n">
        <f aca="false">IF(V57&gt;=0,1,0)</f>
        <v>0</v>
      </c>
    </row>
    <row r="58" customFormat="false" ht="15" hidden="false" customHeight="false" outlineLevel="0" collapsed="false">
      <c r="A58" s="7" t="n">
        <v>12</v>
      </c>
      <c r="B58" s="7" t="s">
        <v>361</v>
      </c>
      <c r="C58" s="17" t="n">
        <f aca="false">IF($A58&gt;=Annahmen!$C$109,Annahmen!$C$110,0)</f>
        <v>5</v>
      </c>
      <c r="D58" s="17" t="n">
        <f aca="false">D57+C58</f>
        <v>45</v>
      </c>
      <c r="E58" s="17" t="n">
        <f aca="false">D58*Annahmen!$C$113</f>
        <v>18</v>
      </c>
      <c r="F58" s="18" t="n">
        <f aca="false">E58*Annahmen!$B$116/(1+Annahmen!$B$9)*Annahmen!$B$129</f>
        <v>26.4070093457944</v>
      </c>
      <c r="G58" s="17" t="n">
        <f aca="false">IF($A58&gt;=Annahmen!$C$109,Annahmen!$C$111,0)</f>
        <v>3</v>
      </c>
      <c r="H58" s="17" t="n">
        <f aca="false">H57+G58</f>
        <v>27</v>
      </c>
      <c r="I58" s="17" t="n">
        <f aca="false">H58*Annahmen!$C$114</f>
        <v>8.1</v>
      </c>
      <c r="J58" s="18" t="n">
        <f aca="false">I58*Annahmen!$B$117/(1+Annahmen!$B$9)*Annahmen!$B$130</f>
        <v>33.2667757009346</v>
      </c>
      <c r="K58" s="17" t="n">
        <f aca="false">IF($A58&gt;=Annahmen!$C$109,Annahmen!$C$112,0)</f>
        <v>3</v>
      </c>
      <c r="L58" s="17" t="n">
        <f aca="false">L57+K58</f>
        <v>27</v>
      </c>
      <c r="M58" s="17" t="n">
        <f aca="false">L58*Annahmen!$C$115</f>
        <v>10.8</v>
      </c>
      <c r="N58" s="18" t="n">
        <f aca="false">M58*Annahmen!$B$118/(1+Annahmen!$B$9)*Annahmen!$B$129</f>
        <v>26.4423364485981</v>
      </c>
      <c r="O58" s="17" t="n">
        <f aca="false">IF($A58&gt;=Annahmen!$C$125,Annahmen!$C$126,0)</f>
        <v>0.5</v>
      </c>
      <c r="P58" s="23" t="n">
        <f aca="false">O58*Annahmen!$B$127</f>
        <v>195</v>
      </c>
      <c r="Q58" s="23" t="n">
        <f aca="false">F58+J58+N58+P58</f>
        <v>281.116121495327</v>
      </c>
      <c r="R58" s="23" t="n">
        <f aca="false">O58*Annahmen!$B$47+(C58+G58+K58)*Annahmen!$B$128</f>
        <v>4.33587163568827</v>
      </c>
      <c r="S58" s="23" t="n">
        <f aca="false">SUMPRODUCT((((Annahmen!$C$145:$C$155="monatlich")*(Annahmen!$D$145:$D$155&lt;=$A58))+((Annahmen!$C$145:$C$155="einmalig")*(Annahmen!$D$145:$D$155=$A58)))*Annahmen!$B$145:$B$155*Annahmen!$G$145:$G$155)</f>
        <v>28.3604931653712</v>
      </c>
      <c r="T58" s="23" t="n">
        <f aca="false">IF($A58&gt;=Annahmen!$C$109,Annahmen!$C$136,0)</f>
        <v>100</v>
      </c>
      <c r="U58" s="23" t="n">
        <f aca="false">Q58-R58-S58-T58</f>
        <v>148.419756694268</v>
      </c>
      <c r="V58" s="23" t="n">
        <f aca="false">V57+U58</f>
        <v>-388.952925414884</v>
      </c>
      <c r="W58" s="7" t="n">
        <f aca="false">IF(U58&gt;0,1,0)</f>
        <v>1</v>
      </c>
      <c r="X58" s="7" t="n">
        <f aca="false">IF(V58&gt;=0,1,0)</f>
        <v>0</v>
      </c>
    </row>
    <row r="59" customFormat="false" ht="15" hidden="false" customHeight="false" outlineLevel="0" collapsed="false">
      <c r="A59" s="7" t="n">
        <v>13</v>
      </c>
      <c r="B59" s="7" t="s">
        <v>362</v>
      </c>
      <c r="C59" s="17" t="n">
        <f aca="false">IF($A59&gt;=Annahmen!$C$109,Annahmen!$C$110,0)</f>
        <v>5</v>
      </c>
      <c r="D59" s="17" t="n">
        <f aca="false">D58+C59</f>
        <v>50</v>
      </c>
      <c r="E59" s="17" t="n">
        <f aca="false">D59*Annahmen!$C$113</f>
        <v>20</v>
      </c>
      <c r="F59" s="18" t="n">
        <f aca="false">E59*Annahmen!$B$116/(1+Annahmen!$B$9)*Annahmen!$B$129</f>
        <v>29.3411214953271</v>
      </c>
      <c r="G59" s="17" t="n">
        <f aca="false">IF($A59&gt;=Annahmen!$C$109,Annahmen!$C$111,0)</f>
        <v>3</v>
      </c>
      <c r="H59" s="17" t="n">
        <f aca="false">H58+G59</f>
        <v>30</v>
      </c>
      <c r="I59" s="17" t="n">
        <f aca="false">H59*Annahmen!$C$114</f>
        <v>9</v>
      </c>
      <c r="J59" s="18" t="n">
        <f aca="false">I59*Annahmen!$B$117/(1+Annahmen!$B$9)*Annahmen!$B$130</f>
        <v>36.9630841121495</v>
      </c>
      <c r="K59" s="17" t="n">
        <f aca="false">IF($A59&gt;=Annahmen!$C$109,Annahmen!$C$112,0)</f>
        <v>3</v>
      </c>
      <c r="L59" s="17" t="n">
        <f aca="false">L58+K59</f>
        <v>30</v>
      </c>
      <c r="M59" s="17" t="n">
        <f aca="false">L59*Annahmen!$C$115</f>
        <v>12</v>
      </c>
      <c r="N59" s="18" t="n">
        <f aca="false">M59*Annahmen!$B$118/(1+Annahmen!$B$9)*Annahmen!$B$129</f>
        <v>29.3803738317757</v>
      </c>
      <c r="O59" s="17" t="n">
        <f aca="false">IF($A59&gt;=Annahmen!$C$125,Annahmen!$C$126,0)</f>
        <v>0.5</v>
      </c>
      <c r="P59" s="23" t="n">
        <f aca="false">O59*Annahmen!$B$127</f>
        <v>195</v>
      </c>
      <c r="Q59" s="23" t="n">
        <f aca="false">F59+J59+N59+P59</f>
        <v>290.684579439252</v>
      </c>
      <c r="R59" s="23" t="n">
        <f aca="false">O59*Annahmen!$B$47+(C59+G59+K59)*Annahmen!$B$128</f>
        <v>4.33587163568827</v>
      </c>
      <c r="S59" s="23" t="n">
        <f aca="false">SUMPRODUCT((((Annahmen!$C$145:$C$155="monatlich")*(Annahmen!$D$145:$D$155&lt;=$A59))+((Annahmen!$C$145:$C$155="einmalig")*(Annahmen!$D$145:$D$155=$A59)))*Annahmen!$B$145:$B$155*Annahmen!$G$145:$G$155)</f>
        <v>28.3604931653712</v>
      </c>
      <c r="T59" s="23" t="n">
        <f aca="false">IF($A59&gt;=Annahmen!$C$109,Annahmen!$C$136,0)</f>
        <v>100</v>
      </c>
      <c r="U59" s="23" t="n">
        <f aca="false">Q59-R59-S59-T59</f>
        <v>157.988214638193</v>
      </c>
      <c r="V59" s="23" t="n">
        <f aca="false">V58+U59</f>
        <v>-230.964710776691</v>
      </c>
      <c r="W59" s="7" t="n">
        <f aca="false">IF(U59&gt;0,1,0)</f>
        <v>1</v>
      </c>
      <c r="X59" s="7" t="n">
        <f aca="false">IF(V59&gt;=0,1,0)</f>
        <v>0</v>
      </c>
    </row>
    <row r="60" customFormat="false" ht="15" hidden="false" customHeight="false" outlineLevel="0" collapsed="false">
      <c r="A60" s="7" t="n">
        <v>14</v>
      </c>
      <c r="B60" s="7" t="s">
        <v>363</v>
      </c>
      <c r="C60" s="17" t="n">
        <f aca="false">IF($A60&gt;=Annahmen!$C$109,Annahmen!$C$110,0)</f>
        <v>5</v>
      </c>
      <c r="D60" s="17" t="n">
        <f aca="false">D59+C60</f>
        <v>55</v>
      </c>
      <c r="E60" s="17" t="n">
        <f aca="false">D60*Annahmen!$C$113</f>
        <v>22</v>
      </c>
      <c r="F60" s="18" t="n">
        <f aca="false">E60*Annahmen!$B$116/(1+Annahmen!$B$9)*Annahmen!$B$129</f>
        <v>32.2752336448598</v>
      </c>
      <c r="G60" s="17" t="n">
        <f aca="false">IF($A60&gt;=Annahmen!$C$109,Annahmen!$C$111,0)</f>
        <v>3</v>
      </c>
      <c r="H60" s="17" t="n">
        <f aca="false">H59+G60</f>
        <v>33</v>
      </c>
      <c r="I60" s="17" t="n">
        <f aca="false">H60*Annahmen!$C$114</f>
        <v>9.9</v>
      </c>
      <c r="J60" s="18" t="n">
        <f aca="false">I60*Annahmen!$B$117/(1+Annahmen!$B$9)*Annahmen!$B$130</f>
        <v>40.6593925233645</v>
      </c>
      <c r="K60" s="17" t="n">
        <f aca="false">IF($A60&gt;=Annahmen!$C$109,Annahmen!$C$112,0)</f>
        <v>3</v>
      </c>
      <c r="L60" s="17" t="n">
        <f aca="false">L59+K60</f>
        <v>33</v>
      </c>
      <c r="M60" s="17" t="n">
        <f aca="false">L60*Annahmen!$C$115</f>
        <v>13.2</v>
      </c>
      <c r="N60" s="18" t="n">
        <f aca="false">M60*Annahmen!$B$118/(1+Annahmen!$B$9)*Annahmen!$B$129</f>
        <v>32.3184112149533</v>
      </c>
      <c r="O60" s="17" t="n">
        <f aca="false">IF($A60&gt;=Annahmen!$C$125,Annahmen!$C$126,0)</f>
        <v>0.5</v>
      </c>
      <c r="P60" s="23" t="n">
        <f aca="false">O60*Annahmen!$B$127</f>
        <v>195</v>
      </c>
      <c r="Q60" s="23" t="n">
        <f aca="false">F60+J60+N60+P60</f>
        <v>300.253037383178</v>
      </c>
      <c r="R60" s="23" t="n">
        <f aca="false">O60*Annahmen!$B$47+(C60+G60+K60)*Annahmen!$B$128</f>
        <v>4.33587163568827</v>
      </c>
      <c r="S60" s="23" t="n">
        <f aca="false">SUMPRODUCT((((Annahmen!$C$145:$C$155="monatlich")*(Annahmen!$D$145:$D$155&lt;=$A60))+((Annahmen!$C$145:$C$155="einmalig")*(Annahmen!$D$145:$D$155=$A60)))*Annahmen!$B$145:$B$155*Annahmen!$G$145:$G$155)</f>
        <v>28.3604931653712</v>
      </c>
      <c r="T60" s="23" t="n">
        <f aca="false">IF($A60&gt;=Annahmen!$C$109,Annahmen!$C$136,0)</f>
        <v>100</v>
      </c>
      <c r="U60" s="23" t="n">
        <f aca="false">Q60-R60-S60-T60</f>
        <v>167.556672582118</v>
      </c>
      <c r="V60" s="23" t="n">
        <f aca="false">V59+U60</f>
        <v>-63.4080381945731</v>
      </c>
      <c r="W60" s="7" t="n">
        <f aca="false">IF(U60&gt;0,1,0)</f>
        <v>1</v>
      </c>
      <c r="X60" s="7" t="n">
        <f aca="false">IF(V60&gt;=0,1,0)</f>
        <v>0</v>
      </c>
    </row>
    <row r="61" customFormat="false" ht="15" hidden="false" customHeight="false" outlineLevel="0" collapsed="false">
      <c r="A61" s="7" t="n">
        <v>15</v>
      </c>
      <c r="B61" s="7" t="s">
        <v>364</v>
      </c>
      <c r="C61" s="17" t="n">
        <f aca="false">IF($A61&gt;=Annahmen!$C$109,Annahmen!$C$110,0)</f>
        <v>5</v>
      </c>
      <c r="D61" s="17" t="n">
        <f aca="false">D60+C61</f>
        <v>60</v>
      </c>
      <c r="E61" s="17" t="n">
        <f aca="false">D61*Annahmen!$C$113</f>
        <v>24</v>
      </c>
      <c r="F61" s="18" t="n">
        <f aca="false">E61*Annahmen!$B$116/(1+Annahmen!$B$9)*Annahmen!$B$129</f>
        <v>35.2093457943925</v>
      </c>
      <c r="G61" s="17" t="n">
        <f aca="false">IF($A61&gt;=Annahmen!$C$109,Annahmen!$C$111,0)</f>
        <v>3</v>
      </c>
      <c r="H61" s="17" t="n">
        <f aca="false">H60+G61</f>
        <v>36</v>
      </c>
      <c r="I61" s="17" t="n">
        <f aca="false">H61*Annahmen!$C$114</f>
        <v>10.8</v>
      </c>
      <c r="J61" s="18" t="n">
        <f aca="false">I61*Annahmen!$B$117/(1+Annahmen!$B$9)*Annahmen!$B$130</f>
        <v>44.3557009345794</v>
      </c>
      <c r="K61" s="17" t="n">
        <f aca="false">IF($A61&gt;=Annahmen!$C$109,Annahmen!$C$112,0)</f>
        <v>3</v>
      </c>
      <c r="L61" s="17" t="n">
        <f aca="false">L60+K61</f>
        <v>36</v>
      </c>
      <c r="M61" s="17" t="n">
        <f aca="false">L61*Annahmen!$C$115</f>
        <v>14.4</v>
      </c>
      <c r="N61" s="18" t="n">
        <f aca="false">M61*Annahmen!$B$118/(1+Annahmen!$B$9)*Annahmen!$B$129</f>
        <v>35.2564485981308</v>
      </c>
      <c r="O61" s="17" t="n">
        <f aca="false">IF($A61&gt;=Annahmen!$C$125,Annahmen!$C$126,0)</f>
        <v>0.5</v>
      </c>
      <c r="P61" s="23" t="n">
        <f aca="false">O61*Annahmen!$B$127</f>
        <v>195</v>
      </c>
      <c r="Q61" s="23" t="n">
        <f aca="false">F61+J61+N61+P61</f>
        <v>309.821495327103</v>
      </c>
      <c r="R61" s="23" t="n">
        <f aca="false">O61*Annahmen!$B$47+(C61+G61+K61)*Annahmen!$B$128</f>
        <v>4.33587163568827</v>
      </c>
      <c r="S61" s="23" t="n">
        <f aca="false">SUMPRODUCT((((Annahmen!$C$145:$C$155="monatlich")*(Annahmen!$D$145:$D$155&lt;=$A61))+((Annahmen!$C$145:$C$155="einmalig")*(Annahmen!$D$145:$D$155=$A61)))*Annahmen!$B$145:$B$155*Annahmen!$G$145:$G$155)</f>
        <v>28.3604931653712</v>
      </c>
      <c r="T61" s="23" t="n">
        <f aca="false">IF($A61&gt;=Annahmen!$C$109,Annahmen!$C$136,0)</f>
        <v>100</v>
      </c>
      <c r="U61" s="23" t="n">
        <f aca="false">Q61-R61-S61-T61</f>
        <v>177.125130526043</v>
      </c>
      <c r="V61" s="23" t="n">
        <f aca="false">V60+U61</f>
        <v>113.71709233147</v>
      </c>
      <c r="W61" s="7" t="n">
        <f aca="false">IF(U61&gt;0,1,0)</f>
        <v>1</v>
      </c>
      <c r="X61" s="7" t="n">
        <f aca="false">IF(V61&gt;=0,1,0)</f>
        <v>1</v>
      </c>
    </row>
    <row r="62" customFormat="false" ht="15" hidden="false" customHeight="false" outlineLevel="0" collapsed="false">
      <c r="A62" s="7" t="n">
        <v>16</v>
      </c>
      <c r="B62" s="7" t="s">
        <v>365</v>
      </c>
      <c r="C62" s="17" t="n">
        <f aca="false">IF($A62&gt;=Annahmen!$C$109,Annahmen!$C$110,0)</f>
        <v>5</v>
      </c>
      <c r="D62" s="17" t="n">
        <f aca="false">D61+C62</f>
        <v>65</v>
      </c>
      <c r="E62" s="17" t="n">
        <f aca="false">D62*Annahmen!$C$113</f>
        <v>26</v>
      </c>
      <c r="F62" s="18" t="n">
        <f aca="false">E62*Annahmen!$B$116/(1+Annahmen!$B$9)*Annahmen!$B$129</f>
        <v>38.1434579439252</v>
      </c>
      <c r="G62" s="17" t="n">
        <f aca="false">IF($A62&gt;=Annahmen!$C$109,Annahmen!$C$111,0)</f>
        <v>3</v>
      </c>
      <c r="H62" s="17" t="n">
        <f aca="false">H61+G62</f>
        <v>39</v>
      </c>
      <c r="I62" s="17" t="n">
        <f aca="false">H62*Annahmen!$C$114</f>
        <v>11.7</v>
      </c>
      <c r="J62" s="18" t="n">
        <f aca="false">I62*Annahmen!$B$117/(1+Annahmen!$B$9)*Annahmen!$B$130</f>
        <v>48.0520093457944</v>
      </c>
      <c r="K62" s="17" t="n">
        <f aca="false">IF($A62&gt;=Annahmen!$C$109,Annahmen!$C$112,0)</f>
        <v>3</v>
      </c>
      <c r="L62" s="17" t="n">
        <f aca="false">L61+K62</f>
        <v>39</v>
      </c>
      <c r="M62" s="17" t="n">
        <f aca="false">L62*Annahmen!$C$115</f>
        <v>15.6</v>
      </c>
      <c r="N62" s="18" t="n">
        <f aca="false">M62*Annahmen!$B$118/(1+Annahmen!$B$9)*Annahmen!$B$129</f>
        <v>38.1944859813084</v>
      </c>
      <c r="O62" s="17" t="n">
        <f aca="false">IF($A62&gt;=Annahmen!$C$125,Annahmen!$C$126,0)</f>
        <v>0.5</v>
      </c>
      <c r="P62" s="23" t="n">
        <f aca="false">O62*Annahmen!$B$127</f>
        <v>195</v>
      </c>
      <c r="Q62" s="23" t="n">
        <f aca="false">F62+J62+N62+P62</f>
        <v>319.389953271028</v>
      </c>
      <c r="R62" s="23" t="n">
        <f aca="false">O62*Annahmen!$B$47+(C62+G62+K62)*Annahmen!$B$128</f>
        <v>4.33587163568827</v>
      </c>
      <c r="S62" s="23" t="n">
        <f aca="false">SUMPRODUCT((((Annahmen!$C$145:$C$155="monatlich")*(Annahmen!$D$145:$D$155&lt;=$A62))+((Annahmen!$C$145:$C$155="einmalig")*(Annahmen!$D$145:$D$155=$A62)))*Annahmen!$B$145:$B$155*Annahmen!$G$145:$G$155)</f>
        <v>28.3604931653712</v>
      </c>
      <c r="T62" s="23" t="n">
        <f aca="false">IF($A62&gt;=Annahmen!$C$109,Annahmen!$C$136,0)</f>
        <v>100</v>
      </c>
      <c r="U62" s="23" t="n">
        <f aca="false">Q62-R62-S62-T62</f>
        <v>186.693588469969</v>
      </c>
      <c r="V62" s="23" t="n">
        <f aca="false">V61+U62</f>
        <v>300.410680801439</v>
      </c>
      <c r="W62" s="7" t="n">
        <f aca="false">IF(U62&gt;0,1,0)</f>
        <v>1</v>
      </c>
      <c r="X62" s="7" t="n">
        <f aca="false">IF(V62&gt;=0,1,0)</f>
        <v>1</v>
      </c>
    </row>
    <row r="63" customFormat="false" ht="15" hidden="false" customHeight="false" outlineLevel="0" collapsed="false">
      <c r="A63" s="7" t="n">
        <v>17</v>
      </c>
      <c r="B63" s="7" t="s">
        <v>366</v>
      </c>
      <c r="C63" s="17" t="n">
        <f aca="false">IF($A63&gt;=Annahmen!$C$109,Annahmen!$C$110,0)</f>
        <v>5</v>
      </c>
      <c r="D63" s="17" t="n">
        <f aca="false">D62+C63</f>
        <v>70</v>
      </c>
      <c r="E63" s="17" t="n">
        <f aca="false">D63*Annahmen!$C$113</f>
        <v>28</v>
      </c>
      <c r="F63" s="18" t="n">
        <f aca="false">E63*Annahmen!$B$116/(1+Annahmen!$B$9)*Annahmen!$B$129</f>
        <v>41.0775700934579</v>
      </c>
      <c r="G63" s="17" t="n">
        <f aca="false">IF($A63&gt;=Annahmen!$C$109,Annahmen!$C$111,0)</f>
        <v>3</v>
      </c>
      <c r="H63" s="17" t="n">
        <f aca="false">H62+G63</f>
        <v>42</v>
      </c>
      <c r="I63" s="17" t="n">
        <f aca="false">H63*Annahmen!$C$114</f>
        <v>12.6</v>
      </c>
      <c r="J63" s="18" t="n">
        <f aca="false">I63*Annahmen!$B$117/(1+Annahmen!$B$9)*Annahmen!$B$130</f>
        <v>51.7483177570094</v>
      </c>
      <c r="K63" s="17" t="n">
        <f aca="false">IF($A63&gt;=Annahmen!$C$109,Annahmen!$C$112,0)</f>
        <v>3</v>
      </c>
      <c r="L63" s="17" t="n">
        <f aca="false">L62+K63</f>
        <v>42</v>
      </c>
      <c r="M63" s="17" t="n">
        <f aca="false">L63*Annahmen!$C$115</f>
        <v>16.8</v>
      </c>
      <c r="N63" s="18" t="n">
        <f aca="false">M63*Annahmen!$B$118/(1+Annahmen!$B$9)*Annahmen!$B$129</f>
        <v>41.132523364486</v>
      </c>
      <c r="O63" s="17" t="n">
        <f aca="false">IF($A63&gt;=Annahmen!$C$125,Annahmen!$C$126,0)</f>
        <v>0.5</v>
      </c>
      <c r="P63" s="23" t="n">
        <f aca="false">O63*Annahmen!$B$127</f>
        <v>195</v>
      </c>
      <c r="Q63" s="23" t="n">
        <f aca="false">F63+J63+N63+P63</f>
        <v>328.958411214953</v>
      </c>
      <c r="R63" s="23" t="n">
        <f aca="false">O63*Annahmen!$B$47+(C63+G63+K63)*Annahmen!$B$128</f>
        <v>4.33587163568827</v>
      </c>
      <c r="S63" s="23" t="n">
        <f aca="false">SUMPRODUCT((((Annahmen!$C$145:$C$155="monatlich")*(Annahmen!$D$145:$D$155&lt;=$A63))+((Annahmen!$C$145:$C$155="einmalig")*(Annahmen!$D$145:$D$155=$A63)))*Annahmen!$B$145:$B$155*Annahmen!$G$145:$G$155)</f>
        <v>28.3604931653712</v>
      </c>
      <c r="T63" s="23" t="n">
        <f aca="false">IF($A63&gt;=Annahmen!$C$109,Annahmen!$C$136,0)</f>
        <v>100</v>
      </c>
      <c r="U63" s="23" t="n">
        <f aca="false">Q63-R63-S63-T63</f>
        <v>196.262046413894</v>
      </c>
      <c r="V63" s="23" t="n">
        <f aca="false">V62+U63</f>
        <v>496.672727215333</v>
      </c>
      <c r="W63" s="7" t="n">
        <f aca="false">IF(U63&gt;0,1,0)</f>
        <v>1</v>
      </c>
      <c r="X63" s="7" t="n">
        <f aca="false">IF(V63&gt;=0,1,0)</f>
        <v>1</v>
      </c>
    </row>
    <row r="64" customFormat="false" ht="15" hidden="false" customHeight="false" outlineLevel="0" collapsed="false">
      <c r="A64" s="7" t="n">
        <v>18</v>
      </c>
      <c r="B64" s="7" t="s">
        <v>367</v>
      </c>
      <c r="C64" s="17" t="n">
        <f aca="false">IF($A64&gt;=Annahmen!$C$109,Annahmen!$C$110,0)</f>
        <v>5</v>
      </c>
      <c r="D64" s="17" t="n">
        <f aca="false">D63+C64</f>
        <v>75</v>
      </c>
      <c r="E64" s="17" t="n">
        <f aca="false">D64*Annahmen!$C$113</f>
        <v>30</v>
      </c>
      <c r="F64" s="18" t="n">
        <f aca="false">E64*Annahmen!$B$116/(1+Annahmen!$B$9)*Annahmen!$B$129</f>
        <v>44.0116822429906</v>
      </c>
      <c r="G64" s="17" t="n">
        <f aca="false">IF($A64&gt;=Annahmen!$C$109,Annahmen!$C$111,0)</f>
        <v>3</v>
      </c>
      <c r="H64" s="17" t="n">
        <f aca="false">H63+G64</f>
        <v>45</v>
      </c>
      <c r="I64" s="17" t="n">
        <f aca="false">H64*Annahmen!$C$114</f>
        <v>13.5</v>
      </c>
      <c r="J64" s="18" t="n">
        <f aca="false">I64*Annahmen!$B$117/(1+Annahmen!$B$9)*Annahmen!$B$130</f>
        <v>55.4446261682243</v>
      </c>
      <c r="K64" s="17" t="n">
        <f aca="false">IF($A64&gt;=Annahmen!$C$109,Annahmen!$C$112,0)</f>
        <v>3</v>
      </c>
      <c r="L64" s="17" t="n">
        <f aca="false">L63+K64</f>
        <v>45</v>
      </c>
      <c r="M64" s="17" t="n">
        <f aca="false">L64*Annahmen!$C$115</f>
        <v>18</v>
      </c>
      <c r="N64" s="18" t="n">
        <f aca="false">M64*Annahmen!$B$118/(1+Annahmen!$B$9)*Annahmen!$B$129</f>
        <v>44.0705607476635</v>
      </c>
      <c r="O64" s="17" t="n">
        <f aca="false">IF($A64&gt;=Annahmen!$C$125,Annahmen!$C$126,0)</f>
        <v>0.5</v>
      </c>
      <c r="P64" s="23" t="n">
        <f aca="false">O64*Annahmen!$B$127</f>
        <v>195</v>
      </c>
      <c r="Q64" s="23" t="n">
        <f aca="false">F64+J64+N64+P64</f>
        <v>338.526869158879</v>
      </c>
      <c r="R64" s="23" t="n">
        <f aca="false">O64*Annahmen!$B$47+(C64+G64+K64)*Annahmen!$B$128</f>
        <v>4.33587163568827</v>
      </c>
      <c r="S64" s="23" t="n">
        <f aca="false">SUMPRODUCT((((Annahmen!$C$145:$C$155="monatlich")*(Annahmen!$D$145:$D$155&lt;=$A64))+((Annahmen!$C$145:$C$155="einmalig")*(Annahmen!$D$145:$D$155=$A64)))*Annahmen!$B$145:$B$155*Annahmen!$G$145:$G$155)</f>
        <v>28.3604931653712</v>
      </c>
      <c r="T64" s="23" t="n">
        <f aca="false">IF($A64&gt;=Annahmen!$C$109,Annahmen!$C$136,0)</f>
        <v>100</v>
      </c>
      <c r="U64" s="23" t="n">
        <f aca="false">Q64-R64-S64-T64</f>
        <v>205.830504357819</v>
      </c>
      <c r="V64" s="23" t="n">
        <f aca="false">V63+U64</f>
        <v>702.503231573152</v>
      </c>
      <c r="W64" s="7" t="n">
        <f aca="false">IF(U64&gt;0,1,0)</f>
        <v>1</v>
      </c>
      <c r="X64" s="7" t="n">
        <f aca="false">IF(V64&gt;=0,1,0)</f>
        <v>1</v>
      </c>
    </row>
    <row r="65" customFormat="false" ht="15" hidden="false" customHeight="false" outlineLevel="0" collapsed="false">
      <c r="A65" s="7" t="n">
        <v>19</v>
      </c>
      <c r="B65" s="7" t="s">
        <v>368</v>
      </c>
      <c r="C65" s="17" t="n">
        <f aca="false">IF($A65&gt;=Annahmen!$C$109,Annahmen!$C$110,0)</f>
        <v>5</v>
      </c>
      <c r="D65" s="17" t="n">
        <f aca="false">D64+C65</f>
        <v>80</v>
      </c>
      <c r="E65" s="17" t="n">
        <f aca="false">D65*Annahmen!$C$113</f>
        <v>32</v>
      </c>
      <c r="F65" s="18" t="n">
        <f aca="false">E65*Annahmen!$B$116/(1+Annahmen!$B$9)*Annahmen!$B$129</f>
        <v>46.9457943925234</v>
      </c>
      <c r="G65" s="17" t="n">
        <f aca="false">IF($A65&gt;=Annahmen!$C$109,Annahmen!$C$111,0)</f>
        <v>3</v>
      </c>
      <c r="H65" s="17" t="n">
        <f aca="false">H64+G65</f>
        <v>48</v>
      </c>
      <c r="I65" s="17" t="n">
        <f aca="false">H65*Annahmen!$C$114</f>
        <v>14.4</v>
      </c>
      <c r="J65" s="18" t="n">
        <f aca="false">I65*Annahmen!$B$117/(1+Annahmen!$B$9)*Annahmen!$B$130</f>
        <v>59.1409345794393</v>
      </c>
      <c r="K65" s="17" t="n">
        <f aca="false">IF($A65&gt;=Annahmen!$C$109,Annahmen!$C$112,0)</f>
        <v>3</v>
      </c>
      <c r="L65" s="17" t="n">
        <f aca="false">L64+K65</f>
        <v>48</v>
      </c>
      <c r="M65" s="17" t="n">
        <f aca="false">L65*Annahmen!$C$115</f>
        <v>19.2</v>
      </c>
      <c r="N65" s="18" t="n">
        <f aca="false">M65*Annahmen!$B$118/(1+Annahmen!$B$9)*Annahmen!$B$129</f>
        <v>47.0085981308411</v>
      </c>
      <c r="O65" s="17" t="n">
        <f aca="false">IF($A65&gt;=Annahmen!$C$125,Annahmen!$C$126,0)</f>
        <v>0.5</v>
      </c>
      <c r="P65" s="23" t="n">
        <f aca="false">O65*Annahmen!$B$127</f>
        <v>195</v>
      </c>
      <c r="Q65" s="23" t="n">
        <f aca="false">F65+J65+N65+P65</f>
        <v>348.095327102804</v>
      </c>
      <c r="R65" s="23" t="n">
        <f aca="false">O65*Annahmen!$B$47+(C65+G65+K65)*Annahmen!$B$128</f>
        <v>4.33587163568827</v>
      </c>
      <c r="S65" s="23" t="n">
        <f aca="false">SUMPRODUCT((((Annahmen!$C$145:$C$155="monatlich")*(Annahmen!$D$145:$D$155&lt;=$A65))+((Annahmen!$C$145:$C$155="einmalig")*(Annahmen!$D$145:$D$155=$A65)))*Annahmen!$B$145:$B$155*Annahmen!$G$145:$G$155)</f>
        <v>28.3604931653712</v>
      </c>
      <c r="T65" s="23" t="n">
        <f aca="false">IF($A65&gt;=Annahmen!$C$109,Annahmen!$C$136,0)</f>
        <v>100</v>
      </c>
      <c r="U65" s="23" t="n">
        <f aca="false">Q65-R65-S65-T65</f>
        <v>215.398962301744</v>
      </c>
      <c r="V65" s="23" t="n">
        <f aca="false">V64+U65</f>
        <v>917.902193874896</v>
      </c>
      <c r="W65" s="7" t="n">
        <f aca="false">IF(U65&gt;0,1,0)</f>
        <v>1</v>
      </c>
      <c r="X65" s="7" t="n">
        <f aca="false">IF(V65&gt;=0,1,0)</f>
        <v>1</v>
      </c>
    </row>
    <row r="66" customFormat="false" ht="15" hidden="false" customHeight="false" outlineLevel="0" collapsed="false">
      <c r="A66" s="7" t="n">
        <v>20</v>
      </c>
      <c r="B66" s="7" t="s">
        <v>369</v>
      </c>
      <c r="C66" s="17" t="n">
        <f aca="false">IF($A66&gt;=Annahmen!$C$109,Annahmen!$C$110,0)</f>
        <v>5</v>
      </c>
      <c r="D66" s="17" t="n">
        <f aca="false">D65+C66</f>
        <v>85</v>
      </c>
      <c r="E66" s="17" t="n">
        <f aca="false">D66*Annahmen!$C$113</f>
        <v>34</v>
      </c>
      <c r="F66" s="18" t="n">
        <f aca="false">E66*Annahmen!$B$116/(1+Annahmen!$B$9)*Annahmen!$B$129</f>
        <v>49.8799065420561</v>
      </c>
      <c r="G66" s="17" t="n">
        <f aca="false">IF($A66&gt;=Annahmen!$C$109,Annahmen!$C$111,0)</f>
        <v>3</v>
      </c>
      <c r="H66" s="17" t="n">
        <f aca="false">H65+G66</f>
        <v>51</v>
      </c>
      <c r="I66" s="17" t="n">
        <f aca="false">H66*Annahmen!$C$114</f>
        <v>15.3</v>
      </c>
      <c r="J66" s="18" t="n">
        <f aca="false">I66*Annahmen!$B$117/(1+Annahmen!$B$9)*Annahmen!$B$130</f>
        <v>62.8372429906542</v>
      </c>
      <c r="K66" s="17" t="n">
        <f aca="false">IF($A66&gt;=Annahmen!$C$109,Annahmen!$C$112,0)</f>
        <v>3</v>
      </c>
      <c r="L66" s="17" t="n">
        <f aca="false">L65+K66</f>
        <v>51</v>
      </c>
      <c r="M66" s="17" t="n">
        <f aca="false">L66*Annahmen!$C$115</f>
        <v>20.4</v>
      </c>
      <c r="N66" s="18" t="n">
        <f aca="false">M66*Annahmen!$B$118/(1+Annahmen!$B$9)*Annahmen!$B$129</f>
        <v>49.9466355140187</v>
      </c>
      <c r="O66" s="17" t="n">
        <f aca="false">IF($A66&gt;=Annahmen!$C$125,Annahmen!$C$126,0)</f>
        <v>0.5</v>
      </c>
      <c r="P66" s="23" t="n">
        <f aca="false">O66*Annahmen!$B$127</f>
        <v>195</v>
      </c>
      <c r="Q66" s="23" t="n">
        <f aca="false">F66+J66+N66+P66</f>
        <v>357.663785046729</v>
      </c>
      <c r="R66" s="23" t="n">
        <f aca="false">O66*Annahmen!$B$47+(C66+G66+K66)*Annahmen!$B$128</f>
        <v>4.33587163568827</v>
      </c>
      <c r="S66" s="23" t="n">
        <f aca="false">SUMPRODUCT((((Annahmen!$C$145:$C$155="monatlich")*(Annahmen!$D$145:$D$155&lt;=$A66))+((Annahmen!$C$145:$C$155="einmalig")*(Annahmen!$D$145:$D$155=$A66)))*Annahmen!$B$145:$B$155*Annahmen!$G$145:$G$155)</f>
        <v>28.3604931653712</v>
      </c>
      <c r="T66" s="23" t="n">
        <f aca="false">IF($A66&gt;=Annahmen!$C$109,Annahmen!$C$136,0)</f>
        <v>100</v>
      </c>
      <c r="U66" s="23" t="n">
        <f aca="false">Q66-R66-S66-T66</f>
        <v>224.967420245669</v>
      </c>
      <c r="V66" s="23" t="n">
        <f aca="false">V65+U66</f>
        <v>1142.86961412057</v>
      </c>
      <c r="W66" s="7" t="n">
        <f aca="false">IF(U66&gt;0,1,0)</f>
        <v>1</v>
      </c>
      <c r="X66" s="7" t="n">
        <f aca="false">IF(V66&gt;=0,1,0)</f>
        <v>1</v>
      </c>
    </row>
    <row r="67" customFormat="false" ht="15" hidden="false" customHeight="false" outlineLevel="0" collapsed="false">
      <c r="A67" s="7" t="n">
        <v>21</v>
      </c>
      <c r="B67" s="7" t="s">
        <v>370</v>
      </c>
      <c r="C67" s="17" t="n">
        <f aca="false">IF($A67&gt;=Annahmen!$C$109,Annahmen!$C$110,0)</f>
        <v>5</v>
      </c>
      <c r="D67" s="17" t="n">
        <f aca="false">D66+C67</f>
        <v>90</v>
      </c>
      <c r="E67" s="17" t="n">
        <f aca="false">D67*Annahmen!$C$113</f>
        <v>36</v>
      </c>
      <c r="F67" s="18" t="n">
        <f aca="false">E67*Annahmen!$B$116/(1+Annahmen!$B$9)*Annahmen!$B$129</f>
        <v>52.8140186915888</v>
      </c>
      <c r="G67" s="17" t="n">
        <f aca="false">IF($A67&gt;=Annahmen!$C$109,Annahmen!$C$111,0)</f>
        <v>3</v>
      </c>
      <c r="H67" s="17" t="n">
        <f aca="false">H66+G67</f>
        <v>54</v>
      </c>
      <c r="I67" s="17" t="n">
        <f aca="false">H67*Annahmen!$C$114</f>
        <v>16.2</v>
      </c>
      <c r="J67" s="18" t="n">
        <f aca="false">I67*Annahmen!$B$117/(1+Annahmen!$B$9)*Annahmen!$B$130</f>
        <v>66.5335514018692</v>
      </c>
      <c r="K67" s="17" t="n">
        <f aca="false">IF($A67&gt;=Annahmen!$C$109,Annahmen!$C$112,0)</f>
        <v>3</v>
      </c>
      <c r="L67" s="17" t="n">
        <f aca="false">L66+K67</f>
        <v>54</v>
      </c>
      <c r="M67" s="17" t="n">
        <f aca="false">L67*Annahmen!$C$115</f>
        <v>21.6</v>
      </c>
      <c r="N67" s="18" t="n">
        <f aca="false">M67*Annahmen!$B$118/(1+Annahmen!$B$9)*Annahmen!$B$129</f>
        <v>52.8846728971963</v>
      </c>
      <c r="O67" s="17" t="n">
        <f aca="false">IF($A67&gt;=Annahmen!$C$125,Annahmen!$C$126,0)</f>
        <v>0.5</v>
      </c>
      <c r="P67" s="23" t="n">
        <f aca="false">O67*Annahmen!$B$127</f>
        <v>195</v>
      </c>
      <c r="Q67" s="23" t="n">
        <f aca="false">F67+J67+N67+P67</f>
        <v>367.232242990654</v>
      </c>
      <c r="R67" s="23" t="n">
        <f aca="false">O67*Annahmen!$B$47+(C67+G67+K67)*Annahmen!$B$128</f>
        <v>4.33587163568827</v>
      </c>
      <c r="S67" s="23" t="n">
        <f aca="false">SUMPRODUCT((((Annahmen!$C$145:$C$155="monatlich")*(Annahmen!$D$145:$D$155&lt;=$A67))+((Annahmen!$C$145:$C$155="einmalig")*(Annahmen!$D$145:$D$155=$A67)))*Annahmen!$B$145:$B$155*Annahmen!$G$145:$G$155)</f>
        <v>28.3604931653712</v>
      </c>
      <c r="T67" s="23" t="n">
        <f aca="false">IF($A67&gt;=Annahmen!$C$109,Annahmen!$C$136,0)</f>
        <v>100</v>
      </c>
      <c r="U67" s="23" t="n">
        <f aca="false">Q67-R67-S67-T67</f>
        <v>234.535878189595</v>
      </c>
      <c r="V67" s="23" t="n">
        <f aca="false">V66+U67</f>
        <v>1377.40549231016</v>
      </c>
      <c r="W67" s="7" t="n">
        <f aca="false">IF(U67&gt;0,1,0)</f>
        <v>1</v>
      </c>
      <c r="X67" s="7" t="n">
        <f aca="false">IF(V67&gt;=0,1,0)</f>
        <v>1</v>
      </c>
    </row>
    <row r="68" customFormat="false" ht="15" hidden="false" customHeight="false" outlineLevel="0" collapsed="false">
      <c r="A68" s="7" t="n">
        <v>22</v>
      </c>
      <c r="B68" s="7" t="s">
        <v>371</v>
      </c>
      <c r="C68" s="17" t="n">
        <f aca="false">IF($A68&gt;=Annahmen!$C$109,Annahmen!$C$110,0)</f>
        <v>5</v>
      </c>
      <c r="D68" s="17" t="n">
        <f aca="false">D67+C68</f>
        <v>95</v>
      </c>
      <c r="E68" s="17" t="n">
        <f aca="false">D68*Annahmen!$C$113</f>
        <v>38</v>
      </c>
      <c r="F68" s="18" t="n">
        <f aca="false">E68*Annahmen!$B$116/(1+Annahmen!$B$9)*Annahmen!$B$129</f>
        <v>55.7481308411215</v>
      </c>
      <c r="G68" s="17" t="n">
        <f aca="false">IF($A68&gt;=Annahmen!$C$109,Annahmen!$C$111,0)</f>
        <v>3</v>
      </c>
      <c r="H68" s="17" t="n">
        <f aca="false">H67+G68</f>
        <v>57</v>
      </c>
      <c r="I68" s="17" t="n">
        <f aca="false">H68*Annahmen!$C$114</f>
        <v>17.1</v>
      </c>
      <c r="J68" s="18" t="n">
        <f aca="false">I68*Annahmen!$B$117/(1+Annahmen!$B$9)*Annahmen!$B$130</f>
        <v>70.2298598130841</v>
      </c>
      <c r="K68" s="17" t="n">
        <f aca="false">IF($A68&gt;=Annahmen!$C$109,Annahmen!$C$112,0)</f>
        <v>3</v>
      </c>
      <c r="L68" s="17" t="n">
        <f aca="false">L67+K68</f>
        <v>57</v>
      </c>
      <c r="M68" s="17" t="n">
        <f aca="false">L68*Annahmen!$C$115</f>
        <v>22.8</v>
      </c>
      <c r="N68" s="18" t="n">
        <f aca="false">M68*Annahmen!$B$118/(1+Annahmen!$B$9)*Annahmen!$B$129</f>
        <v>55.8227102803738</v>
      </c>
      <c r="O68" s="17" t="n">
        <f aca="false">IF($A68&gt;=Annahmen!$C$125,Annahmen!$C$126,0)</f>
        <v>0.5</v>
      </c>
      <c r="P68" s="23" t="n">
        <f aca="false">O68*Annahmen!$B$127</f>
        <v>195</v>
      </c>
      <c r="Q68" s="23" t="n">
        <f aca="false">F68+J68+N68+P68</f>
        <v>376.800700934579</v>
      </c>
      <c r="R68" s="23" t="n">
        <f aca="false">O68*Annahmen!$B$47+(C68+G68+K68)*Annahmen!$B$128</f>
        <v>4.33587163568827</v>
      </c>
      <c r="S68" s="23" t="n">
        <f aca="false">SUMPRODUCT((((Annahmen!$C$145:$C$155="monatlich")*(Annahmen!$D$145:$D$155&lt;=$A68))+((Annahmen!$C$145:$C$155="einmalig")*(Annahmen!$D$145:$D$155=$A68)))*Annahmen!$B$145:$B$155*Annahmen!$G$145:$G$155)</f>
        <v>28.3604931653712</v>
      </c>
      <c r="T68" s="23" t="n">
        <f aca="false">IF($A68&gt;=Annahmen!$C$109,Annahmen!$C$136,0)</f>
        <v>100</v>
      </c>
      <c r="U68" s="23" t="n">
        <f aca="false">Q68-R68-S68-T68</f>
        <v>244.10433613352</v>
      </c>
      <c r="V68" s="23" t="n">
        <f aca="false">V67+U68</f>
        <v>1621.50982844368</v>
      </c>
      <c r="W68" s="7" t="n">
        <f aca="false">IF(U68&gt;0,1,0)</f>
        <v>1</v>
      </c>
      <c r="X68" s="7" t="n">
        <f aca="false">IF(V68&gt;=0,1,0)</f>
        <v>1</v>
      </c>
    </row>
    <row r="69" customFormat="false" ht="15" hidden="false" customHeight="false" outlineLevel="0" collapsed="false">
      <c r="A69" s="7" t="n">
        <v>23</v>
      </c>
      <c r="B69" s="7" t="s">
        <v>372</v>
      </c>
      <c r="C69" s="17" t="n">
        <f aca="false">IF($A69&gt;=Annahmen!$C$109,Annahmen!$C$110,0)</f>
        <v>5</v>
      </c>
      <c r="D69" s="17" t="n">
        <f aca="false">D68+C69</f>
        <v>100</v>
      </c>
      <c r="E69" s="17" t="n">
        <f aca="false">D69*Annahmen!$C$113</f>
        <v>40</v>
      </c>
      <c r="F69" s="18" t="n">
        <f aca="false">E69*Annahmen!$B$116/(1+Annahmen!$B$9)*Annahmen!$B$129</f>
        <v>58.6822429906542</v>
      </c>
      <c r="G69" s="17" t="n">
        <f aca="false">IF($A69&gt;=Annahmen!$C$109,Annahmen!$C$111,0)</f>
        <v>3</v>
      </c>
      <c r="H69" s="17" t="n">
        <f aca="false">H68+G69</f>
        <v>60</v>
      </c>
      <c r="I69" s="17" t="n">
        <f aca="false">H69*Annahmen!$C$114</f>
        <v>18</v>
      </c>
      <c r="J69" s="18" t="n">
        <f aca="false">I69*Annahmen!$B$117/(1+Annahmen!$B$9)*Annahmen!$B$130</f>
        <v>73.9261682242991</v>
      </c>
      <c r="K69" s="17" t="n">
        <f aca="false">IF($A69&gt;=Annahmen!$C$109,Annahmen!$C$112,0)</f>
        <v>3</v>
      </c>
      <c r="L69" s="17" t="n">
        <f aca="false">L68+K69</f>
        <v>60</v>
      </c>
      <c r="M69" s="17" t="n">
        <f aca="false">L69*Annahmen!$C$115</f>
        <v>24</v>
      </c>
      <c r="N69" s="18" t="n">
        <f aca="false">M69*Annahmen!$B$118/(1+Annahmen!$B$9)*Annahmen!$B$129</f>
        <v>58.7607476635514</v>
      </c>
      <c r="O69" s="17" t="n">
        <f aca="false">IF($A69&gt;=Annahmen!$C$125,Annahmen!$C$126,0)</f>
        <v>0.5</v>
      </c>
      <c r="P69" s="23" t="n">
        <f aca="false">O69*Annahmen!$B$127</f>
        <v>195</v>
      </c>
      <c r="Q69" s="23" t="n">
        <f aca="false">F69+J69+N69+P69</f>
        <v>386.369158878505</v>
      </c>
      <c r="R69" s="23" t="n">
        <f aca="false">O69*Annahmen!$B$47+(C69+G69+K69)*Annahmen!$B$128</f>
        <v>4.33587163568827</v>
      </c>
      <c r="S69" s="23" t="n">
        <f aca="false">SUMPRODUCT((((Annahmen!$C$145:$C$155="monatlich")*(Annahmen!$D$145:$D$155&lt;=$A69))+((Annahmen!$C$145:$C$155="einmalig")*(Annahmen!$D$145:$D$155=$A69)))*Annahmen!$B$145:$B$155*Annahmen!$G$145:$G$155)</f>
        <v>28.3604931653712</v>
      </c>
      <c r="T69" s="23" t="n">
        <f aca="false">IF($A69&gt;=Annahmen!$C$109,Annahmen!$C$136,0)</f>
        <v>100</v>
      </c>
      <c r="U69" s="23" t="n">
        <f aca="false">Q69-R69-S69-T69</f>
        <v>253.672794077445</v>
      </c>
      <c r="V69" s="23" t="n">
        <f aca="false">V68+U69</f>
        <v>1875.18262252113</v>
      </c>
      <c r="W69" s="7" t="n">
        <f aca="false">IF(U69&gt;0,1,0)</f>
        <v>1</v>
      </c>
      <c r="X69" s="7" t="n">
        <f aca="false">IF(V69&gt;=0,1,0)</f>
        <v>1</v>
      </c>
    </row>
    <row r="70" customFormat="false" ht="15" hidden="false" customHeight="false" outlineLevel="0" collapsed="false">
      <c r="A70" s="7" t="n">
        <v>24</v>
      </c>
      <c r="B70" s="7" t="s">
        <v>373</v>
      </c>
      <c r="C70" s="17" t="n">
        <f aca="false">IF($A70&gt;=Annahmen!$C$109,Annahmen!$C$110,0)</f>
        <v>5</v>
      </c>
      <c r="D70" s="17" t="n">
        <f aca="false">D69+C70</f>
        <v>105</v>
      </c>
      <c r="E70" s="17" t="n">
        <f aca="false">D70*Annahmen!$C$113</f>
        <v>42</v>
      </c>
      <c r="F70" s="18" t="n">
        <f aca="false">E70*Annahmen!$B$116/(1+Annahmen!$B$9)*Annahmen!$B$129</f>
        <v>61.6163551401869</v>
      </c>
      <c r="G70" s="17" t="n">
        <f aca="false">IF($A70&gt;=Annahmen!$C$109,Annahmen!$C$111,0)</f>
        <v>3</v>
      </c>
      <c r="H70" s="17" t="n">
        <f aca="false">H69+G70</f>
        <v>63</v>
      </c>
      <c r="I70" s="17" t="n">
        <f aca="false">H70*Annahmen!$C$114</f>
        <v>18.9</v>
      </c>
      <c r="J70" s="18" t="n">
        <f aca="false">I70*Annahmen!$B$117/(1+Annahmen!$B$9)*Annahmen!$B$130</f>
        <v>77.622476635514</v>
      </c>
      <c r="K70" s="17" t="n">
        <f aca="false">IF($A70&gt;=Annahmen!$C$109,Annahmen!$C$112,0)</f>
        <v>3</v>
      </c>
      <c r="L70" s="17" t="n">
        <f aca="false">L69+K70</f>
        <v>63</v>
      </c>
      <c r="M70" s="17" t="n">
        <f aca="false">L70*Annahmen!$C$115</f>
        <v>25.2</v>
      </c>
      <c r="N70" s="18" t="n">
        <f aca="false">M70*Annahmen!$B$118/(1+Annahmen!$B$9)*Annahmen!$B$129</f>
        <v>61.698785046729</v>
      </c>
      <c r="O70" s="17" t="n">
        <f aca="false">IF($A70&gt;=Annahmen!$C$125,Annahmen!$C$126,0)</f>
        <v>0.5</v>
      </c>
      <c r="P70" s="23" t="n">
        <f aca="false">O70*Annahmen!$B$127</f>
        <v>195</v>
      </c>
      <c r="Q70" s="23" t="n">
        <f aca="false">F70+J70+N70+P70</f>
        <v>395.93761682243</v>
      </c>
      <c r="R70" s="23" t="n">
        <f aca="false">O70*Annahmen!$B$47+(C70+G70+K70)*Annahmen!$B$128</f>
        <v>4.33587163568827</v>
      </c>
      <c r="S70" s="23" t="n">
        <f aca="false">SUMPRODUCT((((Annahmen!$C$145:$C$155="monatlich")*(Annahmen!$D$145:$D$155&lt;=$A70))+((Annahmen!$C$145:$C$155="einmalig")*(Annahmen!$D$145:$D$155=$A70)))*Annahmen!$B$145:$B$155*Annahmen!$G$145:$G$155)</f>
        <v>28.3604931653712</v>
      </c>
      <c r="T70" s="23" t="n">
        <f aca="false">IF($A70&gt;=Annahmen!$C$109,Annahmen!$C$136,0)</f>
        <v>100</v>
      </c>
      <c r="U70" s="23" t="n">
        <f aca="false">Q70-R70-S70-T70</f>
        <v>263.24125202137</v>
      </c>
      <c r="V70" s="23" t="n">
        <f aca="false">V69+U70</f>
        <v>2138.4238745425</v>
      </c>
      <c r="W70" s="7" t="n">
        <f aca="false">IF(U70&gt;0,1,0)</f>
        <v>1</v>
      </c>
      <c r="X70" s="7" t="n">
        <f aca="false">IF(V70&gt;=0,1,0)</f>
        <v>1</v>
      </c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5" hidden="false" customHeight="false" outlineLevel="0" collapsed="false">
      <c r="A74" s="5" t="str">
        <f aca="false">"Szenario stark – "&amp;Annahmen!$D$133</f>
        <v>Szenario stark – skalierbares Business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"/>
      <c r="X74" s="2"/>
    </row>
    <row r="75" customFormat="false" ht="42" hidden="false" customHeight="true" outlineLevel="0" collapsed="false">
      <c r="A75" s="34" t="s">
        <v>96</v>
      </c>
      <c r="B75" s="34" t="s">
        <v>323</v>
      </c>
      <c r="C75" s="34" t="s">
        <v>411</v>
      </c>
      <c r="D75" s="34" t="s">
        <v>412</v>
      </c>
      <c r="E75" s="34" t="s">
        <v>413</v>
      </c>
      <c r="F75" s="34" t="s">
        <v>414</v>
      </c>
      <c r="G75" s="34" t="s">
        <v>415</v>
      </c>
      <c r="H75" s="34" t="s">
        <v>416</v>
      </c>
      <c r="I75" s="34" t="s">
        <v>417</v>
      </c>
      <c r="J75" s="34" t="s">
        <v>418</v>
      </c>
      <c r="K75" s="34" t="s">
        <v>419</v>
      </c>
      <c r="L75" s="34" t="s">
        <v>420</v>
      </c>
      <c r="M75" s="34" t="s">
        <v>421</v>
      </c>
      <c r="N75" s="34" t="s">
        <v>422</v>
      </c>
      <c r="O75" s="34" t="s">
        <v>423</v>
      </c>
      <c r="P75" s="34" t="s">
        <v>424</v>
      </c>
      <c r="Q75" s="34" t="s">
        <v>401</v>
      </c>
      <c r="R75" s="34" t="s">
        <v>425</v>
      </c>
      <c r="S75" s="34" t="s">
        <v>342</v>
      </c>
      <c r="T75" s="34" t="s">
        <v>343</v>
      </c>
      <c r="U75" s="34" t="s">
        <v>346</v>
      </c>
      <c r="V75" s="34" t="s">
        <v>347</v>
      </c>
      <c r="W75" s="34" t="s">
        <v>348</v>
      </c>
      <c r="X75" s="34" t="s">
        <v>349</v>
      </c>
    </row>
    <row r="76" customFormat="false" ht="15" hidden="false" customHeight="false" outlineLevel="0" collapsed="false">
      <c r="A76" s="7" t="n">
        <v>1</v>
      </c>
      <c r="B76" s="7" t="s">
        <v>350</v>
      </c>
      <c r="C76" s="17" t="n">
        <f aca="false">IF($A76&gt;=Annahmen!$D$109,Annahmen!$D$110,0)</f>
        <v>0</v>
      </c>
      <c r="D76" s="17" t="n">
        <f aca="false">C76</f>
        <v>0</v>
      </c>
      <c r="E76" s="17" t="n">
        <f aca="false">D76*Annahmen!$D$113</f>
        <v>0</v>
      </c>
      <c r="F76" s="18" t="n">
        <f aca="false">E76*Annahmen!$B$116/(1+Annahmen!$B$9)*Annahmen!$B$129</f>
        <v>0</v>
      </c>
      <c r="G76" s="17" t="n">
        <f aca="false">IF($A76&gt;=Annahmen!$D$109,Annahmen!$D$111,0)</f>
        <v>0</v>
      </c>
      <c r="H76" s="17" t="n">
        <f aca="false">G76</f>
        <v>0</v>
      </c>
      <c r="I76" s="17" t="n">
        <f aca="false">H76*Annahmen!$D$114</f>
        <v>0</v>
      </c>
      <c r="J76" s="18" t="n">
        <f aca="false">I76*Annahmen!$B$117/(1+Annahmen!$B$9)*Annahmen!$B$130</f>
        <v>0</v>
      </c>
      <c r="K76" s="17" t="n">
        <f aca="false">IF($A76&gt;=Annahmen!$D$109,Annahmen!$D$112,0)</f>
        <v>0</v>
      </c>
      <c r="L76" s="17" t="n">
        <f aca="false">K76</f>
        <v>0</v>
      </c>
      <c r="M76" s="17" t="n">
        <f aca="false">L76*Annahmen!$D$115</f>
        <v>0</v>
      </c>
      <c r="N76" s="18" t="n">
        <f aca="false">M76*Annahmen!$B$118/(1+Annahmen!$B$9)*Annahmen!$B$129</f>
        <v>0</v>
      </c>
      <c r="O76" s="17" t="n">
        <f aca="false">IF($A76&gt;=Annahmen!$D$125,Annahmen!$D$126,0)</f>
        <v>0</v>
      </c>
      <c r="P76" s="23" t="n">
        <f aca="false">O76*Annahmen!$B$127</f>
        <v>0</v>
      </c>
      <c r="Q76" s="23" t="n">
        <f aca="false">F76+J76+N76+P76</f>
        <v>0</v>
      </c>
      <c r="R76" s="23" t="n">
        <f aca="false">O76*Annahmen!$B$47+(C76+G76+K76)*Annahmen!$B$128</f>
        <v>0</v>
      </c>
      <c r="S76" s="23" t="n">
        <f aca="false">SUMPRODUCT((((Annahmen!$C$145:$C$155="monatlich")*(Annahmen!$D$145:$D$155&lt;=$A76))+((Annahmen!$C$145:$C$155="einmalig")*(Annahmen!$D$145:$D$155=$A76)))*Annahmen!$B$145:$B$155*Annahmen!$G$145:$G$155)</f>
        <v>109.560493165371</v>
      </c>
      <c r="T76" s="23" t="n">
        <f aca="false">IF($A76&gt;=Annahmen!$D$109,Annahmen!$D$136,0)</f>
        <v>0</v>
      </c>
      <c r="U76" s="23" t="n">
        <f aca="false">Q76-R76-S76-T76</f>
        <v>-109.560493165371</v>
      </c>
      <c r="V76" s="23" t="n">
        <f aca="false">U76</f>
        <v>-109.560493165371</v>
      </c>
      <c r="W76" s="7" t="n">
        <f aca="false">IF(U76&gt;0,1,0)</f>
        <v>0</v>
      </c>
      <c r="X76" s="7" t="n">
        <f aca="false">IF(V76&gt;=0,1,0)</f>
        <v>0</v>
      </c>
    </row>
    <row r="77" customFormat="false" ht="15" hidden="false" customHeight="false" outlineLevel="0" collapsed="false">
      <c r="A77" s="7" t="n">
        <v>2</v>
      </c>
      <c r="B77" s="7" t="s">
        <v>351</v>
      </c>
      <c r="C77" s="17" t="n">
        <f aca="false">IF($A77&gt;=Annahmen!$D$109,Annahmen!$D$110,0)</f>
        <v>0</v>
      </c>
      <c r="D77" s="17" t="n">
        <f aca="false">D76+C77</f>
        <v>0</v>
      </c>
      <c r="E77" s="17" t="n">
        <f aca="false">D77*Annahmen!$D$113</f>
        <v>0</v>
      </c>
      <c r="F77" s="18" t="n">
        <f aca="false">E77*Annahmen!$B$116/(1+Annahmen!$B$9)*Annahmen!$B$129</f>
        <v>0</v>
      </c>
      <c r="G77" s="17" t="n">
        <f aca="false">IF($A77&gt;=Annahmen!$D$109,Annahmen!$D$111,0)</f>
        <v>0</v>
      </c>
      <c r="H77" s="17" t="n">
        <f aca="false">H76+G77</f>
        <v>0</v>
      </c>
      <c r="I77" s="17" t="n">
        <f aca="false">H77*Annahmen!$D$114</f>
        <v>0</v>
      </c>
      <c r="J77" s="18" t="n">
        <f aca="false">I77*Annahmen!$B$117/(1+Annahmen!$B$9)*Annahmen!$B$130</f>
        <v>0</v>
      </c>
      <c r="K77" s="17" t="n">
        <f aca="false">IF($A77&gt;=Annahmen!$D$109,Annahmen!$D$112,0)</f>
        <v>0</v>
      </c>
      <c r="L77" s="17" t="n">
        <f aca="false">L76+K77</f>
        <v>0</v>
      </c>
      <c r="M77" s="17" t="n">
        <f aca="false">L77*Annahmen!$D$115</f>
        <v>0</v>
      </c>
      <c r="N77" s="18" t="n">
        <f aca="false">M77*Annahmen!$B$118/(1+Annahmen!$B$9)*Annahmen!$B$129</f>
        <v>0</v>
      </c>
      <c r="O77" s="17" t="n">
        <f aca="false">IF($A77&gt;=Annahmen!$D$125,Annahmen!$D$126,0)</f>
        <v>0</v>
      </c>
      <c r="P77" s="23" t="n">
        <f aca="false">O77*Annahmen!$B$127</f>
        <v>0</v>
      </c>
      <c r="Q77" s="23" t="n">
        <f aca="false">F77+J77+N77+P77</f>
        <v>0</v>
      </c>
      <c r="R77" s="23" t="n">
        <f aca="false">O77*Annahmen!$B$47+(C77+G77+K77)*Annahmen!$B$128</f>
        <v>0</v>
      </c>
      <c r="S77" s="23" t="n">
        <f aca="false">SUMPRODUCT((((Annahmen!$C$145:$C$155="monatlich")*(Annahmen!$D$145:$D$155&lt;=$A77))+((Annahmen!$C$145:$C$155="einmalig")*(Annahmen!$D$145:$D$155=$A77)))*Annahmen!$B$145:$B$155*Annahmen!$G$145:$G$155)</f>
        <v>28.3604931653712</v>
      </c>
      <c r="T77" s="23" t="n">
        <f aca="false">IF($A77&gt;=Annahmen!$D$109,Annahmen!$D$136,0)</f>
        <v>0</v>
      </c>
      <c r="U77" s="23" t="n">
        <f aca="false">Q77-R77-S77-T77</f>
        <v>-28.3604931653712</v>
      </c>
      <c r="V77" s="23" t="n">
        <f aca="false">V76+U77</f>
        <v>-137.920986330742</v>
      </c>
      <c r="W77" s="7" t="n">
        <f aca="false">IF(U77&gt;0,1,0)</f>
        <v>0</v>
      </c>
      <c r="X77" s="7" t="n">
        <f aca="false">IF(V77&gt;=0,1,0)</f>
        <v>0</v>
      </c>
    </row>
    <row r="78" customFormat="false" ht="15" hidden="false" customHeight="false" outlineLevel="0" collapsed="false">
      <c r="A78" s="7" t="n">
        <v>3</v>
      </c>
      <c r="B78" s="7" t="s">
        <v>352</v>
      </c>
      <c r="C78" s="17" t="n">
        <f aca="false">IF($A78&gt;=Annahmen!$D$109,Annahmen!$D$110,0)</f>
        <v>10</v>
      </c>
      <c r="D78" s="17" t="n">
        <f aca="false">D77+C78</f>
        <v>10</v>
      </c>
      <c r="E78" s="17" t="n">
        <f aca="false">D78*Annahmen!$D$113</f>
        <v>8</v>
      </c>
      <c r="F78" s="18" t="n">
        <f aca="false">E78*Annahmen!$B$116/(1+Annahmen!$B$9)*Annahmen!$B$129</f>
        <v>11.7364485981308</v>
      </c>
      <c r="G78" s="17" t="n">
        <f aca="false">IF($A78&gt;=Annahmen!$D$109,Annahmen!$D$111,0)</f>
        <v>6</v>
      </c>
      <c r="H78" s="17" t="n">
        <f aca="false">H77+G78</f>
        <v>6</v>
      </c>
      <c r="I78" s="17" t="n">
        <f aca="false">H78*Annahmen!$D$114</f>
        <v>3.6</v>
      </c>
      <c r="J78" s="18" t="n">
        <f aca="false">I78*Annahmen!$B$117/(1+Annahmen!$B$9)*Annahmen!$B$130</f>
        <v>14.7852336448598</v>
      </c>
      <c r="K78" s="17" t="n">
        <f aca="false">IF($A78&gt;=Annahmen!$D$109,Annahmen!$D$112,0)</f>
        <v>6</v>
      </c>
      <c r="L78" s="17" t="n">
        <f aca="false">L77+K78</f>
        <v>6</v>
      </c>
      <c r="M78" s="17" t="n">
        <f aca="false">L78*Annahmen!$D$115</f>
        <v>4.8</v>
      </c>
      <c r="N78" s="18" t="n">
        <f aca="false">M78*Annahmen!$B$118/(1+Annahmen!$B$9)*Annahmen!$B$129</f>
        <v>11.7521495327103</v>
      </c>
      <c r="O78" s="17" t="n">
        <f aca="false">IF($A78&gt;=Annahmen!$D$125,Annahmen!$D$126,0)</f>
        <v>0</v>
      </c>
      <c r="P78" s="23" t="n">
        <f aca="false">O78*Annahmen!$B$127</f>
        <v>0</v>
      </c>
      <c r="Q78" s="23" t="n">
        <f aca="false">F78+J78+N78+P78</f>
        <v>38.2738317757009</v>
      </c>
      <c r="R78" s="23" t="n">
        <f aca="false">O78*Annahmen!$B$47+(C78+G78+K78)*Annahmen!$B$128</f>
        <v>0</v>
      </c>
      <c r="S78" s="23" t="n">
        <f aca="false">SUMPRODUCT((((Annahmen!$C$145:$C$155="monatlich")*(Annahmen!$D$145:$D$155&lt;=$A78))+((Annahmen!$C$145:$C$155="einmalig")*(Annahmen!$D$145:$D$155=$A78)))*Annahmen!$B$145:$B$155*Annahmen!$G$145:$G$155)</f>
        <v>98.3604931653712</v>
      </c>
      <c r="T78" s="23" t="n">
        <f aca="false">IF($A78&gt;=Annahmen!$D$109,Annahmen!$D$136,0)</f>
        <v>300</v>
      </c>
      <c r="U78" s="23" t="n">
        <f aca="false">Q78-R78-S78-T78</f>
        <v>-360.08666138967</v>
      </c>
      <c r="V78" s="23" t="n">
        <f aca="false">V77+U78</f>
        <v>-498.007647720413</v>
      </c>
      <c r="W78" s="7" t="n">
        <f aca="false">IF(U78&gt;0,1,0)</f>
        <v>0</v>
      </c>
      <c r="X78" s="7" t="n">
        <f aca="false">IF(V78&gt;=0,1,0)</f>
        <v>0</v>
      </c>
    </row>
    <row r="79" customFormat="false" ht="15" hidden="false" customHeight="false" outlineLevel="0" collapsed="false">
      <c r="A79" s="7" t="n">
        <v>4</v>
      </c>
      <c r="B79" s="7" t="s">
        <v>353</v>
      </c>
      <c r="C79" s="17" t="n">
        <f aca="false">IF($A79&gt;=Annahmen!$D$109,Annahmen!$D$110,0)</f>
        <v>10</v>
      </c>
      <c r="D79" s="17" t="n">
        <f aca="false">D78+C79</f>
        <v>20</v>
      </c>
      <c r="E79" s="17" t="n">
        <f aca="false">D79*Annahmen!$D$113</f>
        <v>16</v>
      </c>
      <c r="F79" s="18" t="n">
        <f aca="false">E79*Annahmen!$B$116/(1+Annahmen!$B$9)*Annahmen!$B$129</f>
        <v>23.4728971962617</v>
      </c>
      <c r="G79" s="17" t="n">
        <f aca="false">IF($A79&gt;=Annahmen!$D$109,Annahmen!$D$111,0)</f>
        <v>6</v>
      </c>
      <c r="H79" s="17" t="n">
        <f aca="false">H78+G79</f>
        <v>12</v>
      </c>
      <c r="I79" s="17" t="n">
        <f aca="false">H79*Annahmen!$D$114</f>
        <v>7.2</v>
      </c>
      <c r="J79" s="18" t="n">
        <f aca="false">I79*Annahmen!$B$117/(1+Annahmen!$B$9)*Annahmen!$B$130</f>
        <v>29.5704672897196</v>
      </c>
      <c r="K79" s="17" t="n">
        <f aca="false">IF($A79&gt;=Annahmen!$D$109,Annahmen!$D$112,0)</f>
        <v>6</v>
      </c>
      <c r="L79" s="17" t="n">
        <f aca="false">L78+K79</f>
        <v>12</v>
      </c>
      <c r="M79" s="17" t="n">
        <f aca="false">L79*Annahmen!$D$115</f>
        <v>9.6</v>
      </c>
      <c r="N79" s="18" t="n">
        <f aca="false">M79*Annahmen!$B$118/(1+Annahmen!$B$9)*Annahmen!$B$129</f>
        <v>23.5042990654206</v>
      </c>
      <c r="O79" s="17" t="n">
        <f aca="false">IF($A79&gt;=Annahmen!$D$125,Annahmen!$D$126,0)</f>
        <v>0</v>
      </c>
      <c r="P79" s="23" t="n">
        <f aca="false">O79*Annahmen!$B$127</f>
        <v>0</v>
      </c>
      <c r="Q79" s="23" t="n">
        <f aca="false">F79+J79+N79+P79</f>
        <v>76.5476635514019</v>
      </c>
      <c r="R79" s="23" t="n">
        <f aca="false">O79*Annahmen!$B$47+(C79+G79+K79)*Annahmen!$B$128</f>
        <v>0</v>
      </c>
      <c r="S79" s="23" t="n">
        <f aca="false">SUMPRODUCT((((Annahmen!$C$145:$C$155="monatlich")*(Annahmen!$D$145:$D$155&lt;=$A79))+((Annahmen!$C$145:$C$155="einmalig")*(Annahmen!$D$145:$D$155=$A79)))*Annahmen!$B$145:$B$155*Annahmen!$G$145:$G$155)</f>
        <v>28.3604931653712</v>
      </c>
      <c r="T79" s="23" t="n">
        <f aca="false">IF($A79&gt;=Annahmen!$D$109,Annahmen!$D$136,0)</f>
        <v>300</v>
      </c>
      <c r="U79" s="23" t="n">
        <f aca="false">Q79-R79-S79-T79</f>
        <v>-251.812829613969</v>
      </c>
      <c r="V79" s="23" t="n">
        <f aca="false">V78+U79</f>
        <v>-749.820477334382</v>
      </c>
      <c r="W79" s="7" t="n">
        <f aca="false">IF(U79&gt;0,1,0)</f>
        <v>0</v>
      </c>
      <c r="X79" s="7" t="n">
        <f aca="false">IF(V79&gt;=0,1,0)</f>
        <v>0</v>
      </c>
    </row>
    <row r="80" customFormat="false" ht="15" hidden="false" customHeight="false" outlineLevel="0" collapsed="false">
      <c r="A80" s="7" t="n">
        <v>5</v>
      </c>
      <c r="B80" s="7" t="s">
        <v>354</v>
      </c>
      <c r="C80" s="17" t="n">
        <f aca="false">IF($A80&gt;=Annahmen!$D$109,Annahmen!$D$110,0)</f>
        <v>10</v>
      </c>
      <c r="D80" s="17" t="n">
        <f aca="false">D79+C80</f>
        <v>30</v>
      </c>
      <c r="E80" s="17" t="n">
        <f aca="false">D80*Annahmen!$D$113</f>
        <v>24</v>
      </c>
      <c r="F80" s="18" t="n">
        <f aca="false">E80*Annahmen!$B$116/(1+Annahmen!$B$9)*Annahmen!$B$129</f>
        <v>35.2093457943925</v>
      </c>
      <c r="G80" s="17" t="n">
        <f aca="false">IF($A80&gt;=Annahmen!$D$109,Annahmen!$D$111,0)</f>
        <v>6</v>
      </c>
      <c r="H80" s="17" t="n">
        <f aca="false">H79+G80</f>
        <v>18</v>
      </c>
      <c r="I80" s="17" t="n">
        <f aca="false">H80*Annahmen!$D$114</f>
        <v>10.8</v>
      </c>
      <c r="J80" s="18" t="n">
        <f aca="false">I80*Annahmen!$B$117/(1+Annahmen!$B$9)*Annahmen!$B$130</f>
        <v>44.3557009345794</v>
      </c>
      <c r="K80" s="17" t="n">
        <f aca="false">IF($A80&gt;=Annahmen!$D$109,Annahmen!$D$112,0)</f>
        <v>6</v>
      </c>
      <c r="L80" s="17" t="n">
        <f aca="false">L79+K80</f>
        <v>18</v>
      </c>
      <c r="M80" s="17" t="n">
        <f aca="false">L80*Annahmen!$D$115</f>
        <v>14.4</v>
      </c>
      <c r="N80" s="18" t="n">
        <f aca="false">M80*Annahmen!$B$118/(1+Annahmen!$B$9)*Annahmen!$B$129</f>
        <v>35.2564485981308</v>
      </c>
      <c r="O80" s="17" t="n">
        <f aca="false">IF($A80&gt;=Annahmen!$D$125,Annahmen!$D$126,0)</f>
        <v>0</v>
      </c>
      <c r="P80" s="23" t="n">
        <f aca="false">O80*Annahmen!$B$127</f>
        <v>0</v>
      </c>
      <c r="Q80" s="23" t="n">
        <f aca="false">F80+J80+N80+P80</f>
        <v>114.821495327103</v>
      </c>
      <c r="R80" s="23" t="n">
        <f aca="false">O80*Annahmen!$B$47+(C80+G80+K80)*Annahmen!$B$128</f>
        <v>0</v>
      </c>
      <c r="S80" s="23" t="n">
        <f aca="false">SUMPRODUCT((((Annahmen!$C$145:$C$155="monatlich")*(Annahmen!$D$145:$D$155&lt;=$A80))+((Annahmen!$C$145:$C$155="einmalig")*(Annahmen!$D$145:$D$155=$A80)))*Annahmen!$B$145:$B$155*Annahmen!$G$145:$G$155)</f>
        <v>28.3604931653712</v>
      </c>
      <c r="T80" s="23" t="n">
        <f aca="false">IF($A80&gt;=Annahmen!$D$109,Annahmen!$D$136,0)</f>
        <v>300</v>
      </c>
      <c r="U80" s="23" t="n">
        <f aca="false">Q80-R80-S80-T80</f>
        <v>-213.538997838268</v>
      </c>
      <c r="V80" s="23" t="n">
        <f aca="false">V79+U80</f>
        <v>-963.359475172651</v>
      </c>
      <c r="W80" s="7" t="n">
        <f aca="false">IF(U80&gt;0,1,0)</f>
        <v>0</v>
      </c>
      <c r="X80" s="7" t="n">
        <f aca="false">IF(V80&gt;=0,1,0)</f>
        <v>0</v>
      </c>
    </row>
    <row r="81" customFormat="false" ht="15" hidden="false" customHeight="false" outlineLevel="0" collapsed="false">
      <c r="A81" s="7" t="n">
        <v>6</v>
      </c>
      <c r="B81" s="7" t="s">
        <v>355</v>
      </c>
      <c r="C81" s="17" t="n">
        <f aca="false">IF($A81&gt;=Annahmen!$D$109,Annahmen!$D$110,0)</f>
        <v>10</v>
      </c>
      <c r="D81" s="17" t="n">
        <f aca="false">D80+C81</f>
        <v>40</v>
      </c>
      <c r="E81" s="17" t="n">
        <f aca="false">D81*Annahmen!$D$113</f>
        <v>32</v>
      </c>
      <c r="F81" s="18" t="n">
        <f aca="false">E81*Annahmen!$B$116/(1+Annahmen!$B$9)*Annahmen!$B$129</f>
        <v>46.9457943925234</v>
      </c>
      <c r="G81" s="17" t="n">
        <f aca="false">IF($A81&gt;=Annahmen!$D$109,Annahmen!$D$111,0)</f>
        <v>6</v>
      </c>
      <c r="H81" s="17" t="n">
        <f aca="false">H80+G81</f>
        <v>24</v>
      </c>
      <c r="I81" s="17" t="n">
        <f aca="false">H81*Annahmen!$D$114</f>
        <v>14.4</v>
      </c>
      <c r="J81" s="18" t="n">
        <f aca="false">I81*Annahmen!$B$117/(1+Annahmen!$B$9)*Annahmen!$B$130</f>
        <v>59.1409345794393</v>
      </c>
      <c r="K81" s="17" t="n">
        <f aca="false">IF($A81&gt;=Annahmen!$D$109,Annahmen!$D$112,0)</f>
        <v>6</v>
      </c>
      <c r="L81" s="17" t="n">
        <f aca="false">L80+K81</f>
        <v>24</v>
      </c>
      <c r="M81" s="17" t="n">
        <f aca="false">L81*Annahmen!$D$115</f>
        <v>19.2</v>
      </c>
      <c r="N81" s="18" t="n">
        <f aca="false">M81*Annahmen!$B$118/(1+Annahmen!$B$9)*Annahmen!$B$129</f>
        <v>47.0085981308411</v>
      </c>
      <c r="O81" s="17" t="n">
        <f aca="false">IF($A81&gt;=Annahmen!$D$125,Annahmen!$D$126,0)</f>
        <v>0</v>
      </c>
      <c r="P81" s="23" t="n">
        <f aca="false">O81*Annahmen!$B$127</f>
        <v>0</v>
      </c>
      <c r="Q81" s="23" t="n">
        <f aca="false">F81+J81+N81+P81</f>
        <v>153.095327102804</v>
      </c>
      <c r="R81" s="23" t="n">
        <f aca="false">O81*Annahmen!$B$47+(C81+G81+K81)*Annahmen!$B$128</f>
        <v>0</v>
      </c>
      <c r="S81" s="23" t="n">
        <f aca="false">SUMPRODUCT((((Annahmen!$C$145:$C$155="monatlich")*(Annahmen!$D$145:$D$155&lt;=$A81))+((Annahmen!$C$145:$C$155="einmalig")*(Annahmen!$D$145:$D$155=$A81)))*Annahmen!$B$145:$B$155*Annahmen!$G$145:$G$155)</f>
        <v>28.3604931653712</v>
      </c>
      <c r="T81" s="23" t="n">
        <f aca="false">IF($A81&gt;=Annahmen!$D$109,Annahmen!$D$136,0)</f>
        <v>300</v>
      </c>
      <c r="U81" s="23" t="n">
        <f aca="false">Q81-R81-S81-T81</f>
        <v>-175.265166062568</v>
      </c>
      <c r="V81" s="23" t="n">
        <f aca="false">V80+U81</f>
        <v>-1138.62464123522</v>
      </c>
      <c r="W81" s="7" t="n">
        <f aca="false">IF(U81&gt;0,1,0)</f>
        <v>0</v>
      </c>
      <c r="X81" s="7" t="n">
        <f aca="false">IF(V81&gt;=0,1,0)</f>
        <v>0</v>
      </c>
    </row>
    <row r="82" customFormat="false" ht="15" hidden="false" customHeight="false" outlineLevel="0" collapsed="false">
      <c r="A82" s="7" t="n">
        <v>7</v>
      </c>
      <c r="B82" s="7" t="s">
        <v>356</v>
      </c>
      <c r="C82" s="17" t="n">
        <f aca="false">IF($A82&gt;=Annahmen!$D$109,Annahmen!$D$110,0)</f>
        <v>10</v>
      </c>
      <c r="D82" s="17" t="n">
        <f aca="false">D81+C82</f>
        <v>50</v>
      </c>
      <c r="E82" s="17" t="n">
        <f aca="false">D82*Annahmen!$D$113</f>
        <v>40</v>
      </c>
      <c r="F82" s="18" t="n">
        <f aca="false">E82*Annahmen!$B$116/(1+Annahmen!$B$9)*Annahmen!$B$129</f>
        <v>58.6822429906542</v>
      </c>
      <c r="G82" s="17" t="n">
        <f aca="false">IF($A82&gt;=Annahmen!$D$109,Annahmen!$D$111,0)</f>
        <v>6</v>
      </c>
      <c r="H82" s="17" t="n">
        <f aca="false">H81+G82</f>
        <v>30</v>
      </c>
      <c r="I82" s="17" t="n">
        <f aca="false">H82*Annahmen!$D$114</f>
        <v>18</v>
      </c>
      <c r="J82" s="18" t="n">
        <f aca="false">I82*Annahmen!$B$117/(1+Annahmen!$B$9)*Annahmen!$B$130</f>
        <v>73.9261682242991</v>
      </c>
      <c r="K82" s="17" t="n">
        <f aca="false">IF($A82&gt;=Annahmen!$D$109,Annahmen!$D$112,0)</f>
        <v>6</v>
      </c>
      <c r="L82" s="17" t="n">
        <f aca="false">L81+K82</f>
        <v>30</v>
      </c>
      <c r="M82" s="17" t="n">
        <f aca="false">L82*Annahmen!$D$115</f>
        <v>24</v>
      </c>
      <c r="N82" s="18" t="n">
        <f aca="false">M82*Annahmen!$B$118/(1+Annahmen!$B$9)*Annahmen!$B$129</f>
        <v>58.7607476635514</v>
      </c>
      <c r="O82" s="17" t="n">
        <f aca="false">IF($A82&gt;=Annahmen!$D$125,Annahmen!$D$126,0)</f>
        <v>2</v>
      </c>
      <c r="P82" s="23" t="n">
        <f aca="false">O82*Annahmen!$B$127</f>
        <v>780</v>
      </c>
      <c r="Q82" s="23" t="n">
        <f aca="false">F82+J82+N82+P82</f>
        <v>971.369158878505</v>
      </c>
      <c r="R82" s="23" t="n">
        <f aca="false">O82*Annahmen!$B$47+(C82+G82+K82)*Annahmen!$B$128</f>
        <v>17.3434865427531</v>
      </c>
      <c r="S82" s="23" t="n">
        <f aca="false">SUMPRODUCT((((Annahmen!$C$145:$C$155="monatlich")*(Annahmen!$D$145:$D$155&lt;=$A82))+((Annahmen!$C$145:$C$155="einmalig")*(Annahmen!$D$145:$D$155=$A82)))*Annahmen!$B$145:$B$155*Annahmen!$G$145:$G$155)</f>
        <v>28.3604931653712</v>
      </c>
      <c r="T82" s="23" t="n">
        <f aca="false">IF($A82&gt;=Annahmen!$D$109,Annahmen!$D$136,0)</f>
        <v>300</v>
      </c>
      <c r="U82" s="23" t="n">
        <f aca="false">Q82-R82-S82-T82</f>
        <v>625.66517917038</v>
      </c>
      <c r="V82" s="23" t="n">
        <f aca="false">V81+U82</f>
        <v>-512.959462064838</v>
      </c>
      <c r="W82" s="7" t="n">
        <f aca="false">IF(U82&gt;0,1,0)</f>
        <v>1</v>
      </c>
      <c r="X82" s="7" t="n">
        <f aca="false">IF(V82&gt;=0,1,0)</f>
        <v>0</v>
      </c>
    </row>
    <row r="83" customFormat="false" ht="15" hidden="false" customHeight="false" outlineLevel="0" collapsed="false">
      <c r="A83" s="7" t="n">
        <v>8</v>
      </c>
      <c r="B83" s="7" t="s">
        <v>357</v>
      </c>
      <c r="C83" s="17" t="n">
        <f aca="false">IF($A83&gt;=Annahmen!$D$109,Annahmen!$D$110,0)</f>
        <v>10</v>
      </c>
      <c r="D83" s="17" t="n">
        <f aca="false">D82+C83</f>
        <v>60</v>
      </c>
      <c r="E83" s="17" t="n">
        <f aca="false">D83*Annahmen!$D$113</f>
        <v>48</v>
      </c>
      <c r="F83" s="18" t="n">
        <f aca="false">E83*Annahmen!$B$116/(1+Annahmen!$B$9)*Annahmen!$B$129</f>
        <v>70.418691588785</v>
      </c>
      <c r="G83" s="17" t="n">
        <f aca="false">IF($A83&gt;=Annahmen!$D$109,Annahmen!$D$111,0)</f>
        <v>6</v>
      </c>
      <c r="H83" s="17" t="n">
        <f aca="false">H82+G83</f>
        <v>36</v>
      </c>
      <c r="I83" s="17" t="n">
        <f aca="false">H83*Annahmen!$D$114</f>
        <v>21.6</v>
      </c>
      <c r="J83" s="18" t="n">
        <f aca="false">I83*Annahmen!$B$117/(1+Annahmen!$B$9)*Annahmen!$B$130</f>
        <v>88.7114018691589</v>
      </c>
      <c r="K83" s="17" t="n">
        <f aca="false">IF($A83&gt;=Annahmen!$D$109,Annahmen!$D$112,0)</f>
        <v>6</v>
      </c>
      <c r="L83" s="17" t="n">
        <f aca="false">L82+K83</f>
        <v>36</v>
      </c>
      <c r="M83" s="17" t="n">
        <f aca="false">L83*Annahmen!$D$115</f>
        <v>28.8</v>
      </c>
      <c r="N83" s="18" t="n">
        <f aca="false">M83*Annahmen!$B$118/(1+Annahmen!$B$9)*Annahmen!$B$129</f>
        <v>70.5128971962617</v>
      </c>
      <c r="O83" s="17" t="n">
        <f aca="false">IF($A83&gt;=Annahmen!$D$125,Annahmen!$D$126,0)</f>
        <v>2</v>
      </c>
      <c r="P83" s="23" t="n">
        <f aca="false">O83*Annahmen!$B$127</f>
        <v>780</v>
      </c>
      <c r="Q83" s="23" t="n">
        <f aca="false">F83+J83+N83+P83</f>
        <v>1009.64299065421</v>
      </c>
      <c r="R83" s="23" t="n">
        <f aca="false">O83*Annahmen!$B$47+(C83+G83+K83)*Annahmen!$B$128</f>
        <v>17.3434865427531</v>
      </c>
      <c r="S83" s="23" t="n">
        <f aca="false">SUMPRODUCT((((Annahmen!$C$145:$C$155="monatlich")*(Annahmen!$D$145:$D$155&lt;=$A83))+((Annahmen!$C$145:$C$155="einmalig")*(Annahmen!$D$145:$D$155=$A83)))*Annahmen!$B$145:$B$155*Annahmen!$G$145:$G$155)</f>
        <v>28.3604931653712</v>
      </c>
      <c r="T83" s="23" t="n">
        <f aca="false">IF($A83&gt;=Annahmen!$D$109,Annahmen!$D$136,0)</f>
        <v>300</v>
      </c>
      <c r="U83" s="23" t="n">
        <f aca="false">Q83-R83-S83-T83</f>
        <v>663.939010946081</v>
      </c>
      <c r="V83" s="23" t="n">
        <f aca="false">V82+U83</f>
        <v>150.979548881244</v>
      </c>
      <c r="W83" s="7" t="n">
        <f aca="false">IF(U83&gt;0,1,0)</f>
        <v>1</v>
      </c>
      <c r="X83" s="7" t="n">
        <f aca="false">IF(V83&gt;=0,1,0)</f>
        <v>1</v>
      </c>
    </row>
    <row r="84" customFormat="false" ht="15" hidden="false" customHeight="false" outlineLevel="0" collapsed="false">
      <c r="A84" s="7" t="n">
        <v>9</v>
      </c>
      <c r="B84" s="7" t="s">
        <v>358</v>
      </c>
      <c r="C84" s="17" t="n">
        <f aca="false">IF($A84&gt;=Annahmen!$D$109,Annahmen!$D$110,0)</f>
        <v>10</v>
      </c>
      <c r="D84" s="17" t="n">
        <f aca="false">D83+C84</f>
        <v>70</v>
      </c>
      <c r="E84" s="17" t="n">
        <f aca="false">D84*Annahmen!$D$113</f>
        <v>56</v>
      </c>
      <c r="F84" s="18" t="n">
        <f aca="false">E84*Annahmen!$B$116/(1+Annahmen!$B$9)*Annahmen!$B$129</f>
        <v>82.1551401869159</v>
      </c>
      <c r="G84" s="17" t="n">
        <f aca="false">IF($A84&gt;=Annahmen!$D$109,Annahmen!$D$111,0)</f>
        <v>6</v>
      </c>
      <c r="H84" s="17" t="n">
        <f aca="false">H83+G84</f>
        <v>42</v>
      </c>
      <c r="I84" s="17" t="n">
        <f aca="false">H84*Annahmen!$D$114</f>
        <v>25.2</v>
      </c>
      <c r="J84" s="18" t="n">
        <f aca="false">I84*Annahmen!$B$117/(1+Annahmen!$B$9)*Annahmen!$B$130</f>
        <v>103.496635514019</v>
      </c>
      <c r="K84" s="17" t="n">
        <f aca="false">IF($A84&gt;=Annahmen!$D$109,Annahmen!$D$112,0)</f>
        <v>6</v>
      </c>
      <c r="L84" s="17" t="n">
        <f aca="false">L83+K84</f>
        <v>42</v>
      </c>
      <c r="M84" s="17" t="n">
        <f aca="false">L84*Annahmen!$D$115</f>
        <v>33.6</v>
      </c>
      <c r="N84" s="18" t="n">
        <f aca="false">M84*Annahmen!$B$118/(1+Annahmen!$B$9)*Annahmen!$B$129</f>
        <v>82.2650467289719</v>
      </c>
      <c r="O84" s="17" t="n">
        <f aca="false">IF($A84&gt;=Annahmen!$D$125,Annahmen!$D$126,0)</f>
        <v>2</v>
      </c>
      <c r="P84" s="23" t="n">
        <f aca="false">O84*Annahmen!$B$127</f>
        <v>780</v>
      </c>
      <c r="Q84" s="23" t="n">
        <f aca="false">F84+J84+N84+P84</f>
        <v>1047.91682242991</v>
      </c>
      <c r="R84" s="23" t="n">
        <f aca="false">O84*Annahmen!$B$47+(C84+G84+K84)*Annahmen!$B$128</f>
        <v>17.3434865427531</v>
      </c>
      <c r="S84" s="23" t="n">
        <f aca="false">SUMPRODUCT((((Annahmen!$C$145:$C$155="monatlich")*(Annahmen!$D$145:$D$155&lt;=$A84))+((Annahmen!$C$145:$C$155="einmalig")*(Annahmen!$D$145:$D$155=$A84)))*Annahmen!$B$145:$B$155*Annahmen!$G$145:$G$155)</f>
        <v>28.3604931653712</v>
      </c>
      <c r="T84" s="23" t="n">
        <f aca="false">IF($A84&gt;=Annahmen!$D$109,Annahmen!$D$136,0)</f>
        <v>300</v>
      </c>
      <c r="U84" s="23" t="n">
        <f aca="false">Q84-R84-S84-T84</f>
        <v>702.212842721782</v>
      </c>
      <c r="V84" s="23" t="n">
        <f aca="false">V83+U84</f>
        <v>853.192391603026</v>
      </c>
      <c r="W84" s="7" t="n">
        <f aca="false">IF(U84&gt;0,1,0)</f>
        <v>1</v>
      </c>
      <c r="X84" s="7" t="n">
        <f aca="false">IF(V84&gt;=0,1,0)</f>
        <v>1</v>
      </c>
    </row>
    <row r="85" customFormat="false" ht="15" hidden="false" customHeight="false" outlineLevel="0" collapsed="false">
      <c r="A85" s="7" t="n">
        <v>10</v>
      </c>
      <c r="B85" s="7" t="s">
        <v>359</v>
      </c>
      <c r="C85" s="17" t="n">
        <f aca="false">IF($A85&gt;=Annahmen!$D$109,Annahmen!$D$110,0)</f>
        <v>10</v>
      </c>
      <c r="D85" s="17" t="n">
        <f aca="false">D84+C85</f>
        <v>80</v>
      </c>
      <c r="E85" s="17" t="n">
        <f aca="false">D85*Annahmen!$D$113</f>
        <v>64</v>
      </c>
      <c r="F85" s="18" t="n">
        <f aca="false">E85*Annahmen!$B$116/(1+Annahmen!$B$9)*Annahmen!$B$129</f>
        <v>93.8915887850467</v>
      </c>
      <c r="G85" s="17" t="n">
        <f aca="false">IF($A85&gt;=Annahmen!$D$109,Annahmen!$D$111,0)</f>
        <v>6</v>
      </c>
      <c r="H85" s="17" t="n">
        <f aca="false">H84+G85</f>
        <v>48</v>
      </c>
      <c r="I85" s="17" t="n">
        <f aca="false">H85*Annahmen!$D$114</f>
        <v>28.8</v>
      </c>
      <c r="J85" s="18" t="n">
        <f aca="false">I85*Annahmen!$B$117/(1+Annahmen!$B$9)*Annahmen!$B$130</f>
        <v>118.281869158879</v>
      </c>
      <c r="K85" s="17" t="n">
        <f aca="false">IF($A85&gt;=Annahmen!$D$109,Annahmen!$D$112,0)</f>
        <v>6</v>
      </c>
      <c r="L85" s="17" t="n">
        <f aca="false">L84+K85</f>
        <v>48</v>
      </c>
      <c r="M85" s="17" t="n">
        <f aca="false">L85*Annahmen!$D$115</f>
        <v>38.4</v>
      </c>
      <c r="N85" s="18" t="n">
        <f aca="false">M85*Annahmen!$B$118/(1+Annahmen!$B$9)*Annahmen!$B$129</f>
        <v>94.0171962616822</v>
      </c>
      <c r="O85" s="17" t="n">
        <f aca="false">IF($A85&gt;=Annahmen!$D$125,Annahmen!$D$126,0)</f>
        <v>2</v>
      </c>
      <c r="P85" s="23" t="n">
        <f aca="false">O85*Annahmen!$B$127</f>
        <v>780</v>
      </c>
      <c r="Q85" s="23" t="n">
        <f aca="false">F85+J85+N85+P85</f>
        <v>1086.19065420561</v>
      </c>
      <c r="R85" s="23" t="n">
        <f aca="false">O85*Annahmen!$B$47+(C85+G85+K85)*Annahmen!$B$128</f>
        <v>17.3434865427531</v>
      </c>
      <c r="S85" s="23" t="n">
        <f aca="false">SUMPRODUCT((((Annahmen!$C$145:$C$155="monatlich")*(Annahmen!$D$145:$D$155&lt;=$A85))+((Annahmen!$C$145:$C$155="einmalig")*(Annahmen!$D$145:$D$155=$A85)))*Annahmen!$B$145:$B$155*Annahmen!$G$145:$G$155)</f>
        <v>28.3604931653712</v>
      </c>
      <c r="T85" s="23" t="n">
        <f aca="false">IF($A85&gt;=Annahmen!$D$109,Annahmen!$D$136,0)</f>
        <v>300</v>
      </c>
      <c r="U85" s="23" t="n">
        <f aca="false">Q85-R85-S85-T85</f>
        <v>740.486674497483</v>
      </c>
      <c r="V85" s="23" t="n">
        <f aca="false">V84+U85</f>
        <v>1593.67906610051</v>
      </c>
      <c r="W85" s="7" t="n">
        <f aca="false">IF(U85&gt;0,1,0)</f>
        <v>1</v>
      </c>
      <c r="X85" s="7" t="n">
        <f aca="false">IF(V85&gt;=0,1,0)</f>
        <v>1</v>
      </c>
    </row>
    <row r="86" customFormat="false" ht="15" hidden="false" customHeight="false" outlineLevel="0" collapsed="false">
      <c r="A86" s="7" t="n">
        <v>11</v>
      </c>
      <c r="B86" s="7" t="s">
        <v>360</v>
      </c>
      <c r="C86" s="17" t="n">
        <f aca="false">IF($A86&gt;=Annahmen!$D$109,Annahmen!$D$110,0)</f>
        <v>10</v>
      </c>
      <c r="D86" s="17" t="n">
        <f aca="false">D85+C86</f>
        <v>90</v>
      </c>
      <c r="E86" s="17" t="n">
        <f aca="false">D86*Annahmen!$D$113</f>
        <v>72</v>
      </c>
      <c r="F86" s="18" t="n">
        <f aca="false">E86*Annahmen!$B$116/(1+Annahmen!$B$9)*Annahmen!$B$129</f>
        <v>105.628037383178</v>
      </c>
      <c r="G86" s="17" t="n">
        <f aca="false">IF($A86&gt;=Annahmen!$D$109,Annahmen!$D$111,0)</f>
        <v>6</v>
      </c>
      <c r="H86" s="17" t="n">
        <f aca="false">H85+G86</f>
        <v>54</v>
      </c>
      <c r="I86" s="17" t="n">
        <f aca="false">H86*Annahmen!$D$114</f>
        <v>32.4</v>
      </c>
      <c r="J86" s="18" t="n">
        <f aca="false">I86*Annahmen!$B$117/(1+Annahmen!$B$9)*Annahmen!$B$130</f>
        <v>133.067102803738</v>
      </c>
      <c r="K86" s="17" t="n">
        <f aca="false">IF($A86&gt;=Annahmen!$D$109,Annahmen!$D$112,0)</f>
        <v>6</v>
      </c>
      <c r="L86" s="17" t="n">
        <f aca="false">L85+K86</f>
        <v>54</v>
      </c>
      <c r="M86" s="17" t="n">
        <f aca="false">L86*Annahmen!$D$115</f>
        <v>43.2</v>
      </c>
      <c r="N86" s="18" t="n">
        <f aca="false">M86*Annahmen!$B$118/(1+Annahmen!$B$9)*Annahmen!$B$129</f>
        <v>105.769345794393</v>
      </c>
      <c r="O86" s="17" t="n">
        <f aca="false">IF($A86&gt;=Annahmen!$D$125,Annahmen!$D$126,0)</f>
        <v>2</v>
      </c>
      <c r="P86" s="23" t="n">
        <f aca="false">O86*Annahmen!$B$127</f>
        <v>780</v>
      </c>
      <c r="Q86" s="23" t="n">
        <f aca="false">F86+J86+N86+P86</f>
        <v>1124.46448598131</v>
      </c>
      <c r="R86" s="23" t="n">
        <f aca="false">O86*Annahmen!$B$47+(C86+G86+K86)*Annahmen!$B$128</f>
        <v>17.3434865427531</v>
      </c>
      <c r="S86" s="23" t="n">
        <f aca="false">SUMPRODUCT((((Annahmen!$C$145:$C$155="monatlich")*(Annahmen!$D$145:$D$155&lt;=$A86))+((Annahmen!$C$145:$C$155="einmalig")*(Annahmen!$D$145:$D$155=$A86)))*Annahmen!$B$145:$B$155*Annahmen!$G$145:$G$155)</f>
        <v>28.3604931653712</v>
      </c>
      <c r="T86" s="23" t="n">
        <f aca="false">IF($A86&gt;=Annahmen!$D$109,Annahmen!$D$136,0)</f>
        <v>300</v>
      </c>
      <c r="U86" s="23" t="n">
        <f aca="false">Q86-R86-S86-T86</f>
        <v>778.760506273184</v>
      </c>
      <c r="V86" s="23" t="n">
        <f aca="false">V85+U86</f>
        <v>2372.43957237369</v>
      </c>
      <c r="W86" s="7" t="n">
        <f aca="false">IF(U86&gt;0,1,0)</f>
        <v>1</v>
      </c>
      <c r="X86" s="7" t="n">
        <f aca="false">IF(V86&gt;=0,1,0)</f>
        <v>1</v>
      </c>
    </row>
    <row r="87" customFormat="false" ht="15" hidden="false" customHeight="false" outlineLevel="0" collapsed="false">
      <c r="A87" s="7" t="n">
        <v>12</v>
      </c>
      <c r="B87" s="7" t="s">
        <v>361</v>
      </c>
      <c r="C87" s="17" t="n">
        <f aca="false">IF($A87&gt;=Annahmen!$D$109,Annahmen!$D$110,0)</f>
        <v>10</v>
      </c>
      <c r="D87" s="17" t="n">
        <f aca="false">D86+C87</f>
        <v>100</v>
      </c>
      <c r="E87" s="17" t="n">
        <f aca="false">D87*Annahmen!$D$113</f>
        <v>80</v>
      </c>
      <c r="F87" s="18" t="n">
        <f aca="false">E87*Annahmen!$B$116/(1+Annahmen!$B$9)*Annahmen!$B$129</f>
        <v>117.364485981308</v>
      </c>
      <c r="G87" s="17" t="n">
        <f aca="false">IF($A87&gt;=Annahmen!$D$109,Annahmen!$D$111,0)</f>
        <v>6</v>
      </c>
      <c r="H87" s="17" t="n">
        <f aca="false">H86+G87</f>
        <v>60</v>
      </c>
      <c r="I87" s="17" t="n">
        <f aca="false">H87*Annahmen!$D$114</f>
        <v>36</v>
      </c>
      <c r="J87" s="18" t="n">
        <f aca="false">I87*Annahmen!$B$117/(1+Annahmen!$B$9)*Annahmen!$B$130</f>
        <v>147.852336448598</v>
      </c>
      <c r="K87" s="17" t="n">
        <f aca="false">IF($A87&gt;=Annahmen!$D$109,Annahmen!$D$112,0)</f>
        <v>6</v>
      </c>
      <c r="L87" s="17" t="n">
        <f aca="false">L86+K87</f>
        <v>60</v>
      </c>
      <c r="M87" s="17" t="n">
        <f aca="false">L87*Annahmen!$D$115</f>
        <v>48</v>
      </c>
      <c r="N87" s="18" t="n">
        <f aca="false">M87*Annahmen!$B$118/(1+Annahmen!$B$9)*Annahmen!$B$129</f>
        <v>117.521495327103</v>
      </c>
      <c r="O87" s="17" t="n">
        <f aca="false">IF($A87&gt;=Annahmen!$D$125,Annahmen!$D$126,0)</f>
        <v>2</v>
      </c>
      <c r="P87" s="23" t="n">
        <f aca="false">O87*Annahmen!$B$127</f>
        <v>780</v>
      </c>
      <c r="Q87" s="23" t="n">
        <f aca="false">F87+J87+N87+P87</f>
        <v>1162.73831775701</v>
      </c>
      <c r="R87" s="23" t="n">
        <f aca="false">O87*Annahmen!$B$47+(C87+G87+K87)*Annahmen!$B$128</f>
        <v>17.3434865427531</v>
      </c>
      <c r="S87" s="23" t="n">
        <f aca="false">SUMPRODUCT((((Annahmen!$C$145:$C$155="monatlich")*(Annahmen!$D$145:$D$155&lt;=$A87))+((Annahmen!$C$145:$C$155="einmalig")*(Annahmen!$D$145:$D$155=$A87)))*Annahmen!$B$145:$B$155*Annahmen!$G$145:$G$155)</f>
        <v>28.3604931653712</v>
      </c>
      <c r="T87" s="23" t="n">
        <f aca="false">IF($A87&gt;=Annahmen!$D$109,Annahmen!$D$136,0)</f>
        <v>300</v>
      </c>
      <c r="U87" s="23" t="n">
        <f aca="false">Q87-R87-S87-T87</f>
        <v>817.034338048885</v>
      </c>
      <c r="V87" s="23" t="n">
        <f aca="false">V86+U87</f>
        <v>3189.47391042258</v>
      </c>
      <c r="W87" s="7" t="n">
        <f aca="false">IF(U87&gt;0,1,0)</f>
        <v>1</v>
      </c>
      <c r="X87" s="7" t="n">
        <f aca="false">IF(V87&gt;=0,1,0)</f>
        <v>1</v>
      </c>
    </row>
    <row r="88" customFormat="false" ht="15" hidden="false" customHeight="false" outlineLevel="0" collapsed="false">
      <c r="A88" s="7" t="n">
        <v>13</v>
      </c>
      <c r="B88" s="7" t="s">
        <v>362</v>
      </c>
      <c r="C88" s="17" t="n">
        <f aca="false">IF($A88&gt;=Annahmen!$D$109,Annahmen!$D$110,0)</f>
        <v>10</v>
      </c>
      <c r="D88" s="17" t="n">
        <f aca="false">D87+C88</f>
        <v>110</v>
      </c>
      <c r="E88" s="17" t="n">
        <f aca="false">D88*Annahmen!$D$113</f>
        <v>88</v>
      </c>
      <c r="F88" s="18" t="n">
        <f aca="false">E88*Annahmen!$B$116/(1+Annahmen!$B$9)*Annahmen!$B$129</f>
        <v>129.100934579439</v>
      </c>
      <c r="G88" s="17" t="n">
        <f aca="false">IF($A88&gt;=Annahmen!$D$109,Annahmen!$D$111,0)</f>
        <v>6</v>
      </c>
      <c r="H88" s="17" t="n">
        <f aca="false">H87+G88</f>
        <v>66</v>
      </c>
      <c r="I88" s="17" t="n">
        <f aca="false">H88*Annahmen!$D$114</f>
        <v>39.6</v>
      </c>
      <c r="J88" s="18" t="n">
        <f aca="false">I88*Annahmen!$B$117/(1+Annahmen!$B$9)*Annahmen!$B$130</f>
        <v>162.637570093458</v>
      </c>
      <c r="K88" s="17" t="n">
        <f aca="false">IF($A88&gt;=Annahmen!$D$109,Annahmen!$D$112,0)</f>
        <v>6</v>
      </c>
      <c r="L88" s="17" t="n">
        <f aca="false">L87+K88</f>
        <v>66</v>
      </c>
      <c r="M88" s="17" t="n">
        <f aca="false">L88*Annahmen!$D$115</f>
        <v>52.8</v>
      </c>
      <c r="N88" s="18" t="n">
        <f aca="false">M88*Annahmen!$B$118/(1+Annahmen!$B$9)*Annahmen!$B$129</f>
        <v>129.273644859813</v>
      </c>
      <c r="O88" s="17" t="n">
        <f aca="false">IF($A88&gt;=Annahmen!$D$125,Annahmen!$D$126,0)</f>
        <v>2</v>
      </c>
      <c r="P88" s="23" t="n">
        <f aca="false">O88*Annahmen!$B$127</f>
        <v>780</v>
      </c>
      <c r="Q88" s="23" t="n">
        <f aca="false">F88+J88+N88+P88</f>
        <v>1201.01214953271</v>
      </c>
      <c r="R88" s="23" t="n">
        <f aca="false">O88*Annahmen!$B$47+(C88+G88+K88)*Annahmen!$B$128</f>
        <v>17.3434865427531</v>
      </c>
      <c r="S88" s="23" t="n">
        <f aca="false">SUMPRODUCT((((Annahmen!$C$145:$C$155="monatlich")*(Annahmen!$D$145:$D$155&lt;=$A88))+((Annahmen!$C$145:$C$155="einmalig")*(Annahmen!$D$145:$D$155=$A88)))*Annahmen!$B$145:$B$155*Annahmen!$G$145:$G$155)</f>
        <v>28.3604931653712</v>
      </c>
      <c r="T88" s="23" t="n">
        <f aca="false">IF($A88&gt;=Annahmen!$D$109,Annahmen!$D$136,0)</f>
        <v>300</v>
      </c>
      <c r="U88" s="23" t="n">
        <f aca="false">Q88-R88-S88-T88</f>
        <v>855.308169824586</v>
      </c>
      <c r="V88" s="23" t="n">
        <f aca="false">V87+U88</f>
        <v>4044.78208024716</v>
      </c>
      <c r="W88" s="7" t="n">
        <f aca="false">IF(U88&gt;0,1,0)</f>
        <v>1</v>
      </c>
      <c r="X88" s="7" t="n">
        <f aca="false">IF(V88&gt;=0,1,0)</f>
        <v>1</v>
      </c>
    </row>
    <row r="89" customFormat="false" ht="15" hidden="false" customHeight="false" outlineLevel="0" collapsed="false">
      <c r="A89" s="7" t="n">
        <v>14</v>
      </c>
      <c r="B89" s="7" t="s">
        <v>363</v>
      </c>
      <c r="C89" s="17" t="n">
        <f aca="false">IF($A89&gt;=Annahmen!$D$109,Annahmen!$D$110,0)</f>
        <v>10</v>
      </c>
      <c r="D89" s="17" t="n">
        <f aca="false">D88+C89</f>
        <v>120</v>
      </c>
      <c r="E89" s="17" t="n">
        <f aca="false">D89*Annahmen!$D$113</f>
        <v>96</v>
      </c>
      <c r="F89" s="18" t="n">
        <f aca="false">E89*Annahmen!$B$116/(1+Annahmen!$B$9)*Annahmen!$B$129</f>
        <v>140.83738317757</v>
      </c>
      <c r="G89" s="17" t="n">
        <f aca="false">IF($A89&gt;=Annahmen!$D$109,Annahmen!$D$111,0)</f>
        <v>6</v>
      </c>
      <c r="H89" s="17" t="n">
        <f aca="false">H88+G89</f>
        <v>72</v>
      </c>
      <c r="I89" s="17" t="n">
        <f aca="false">H89*Annahmen!$D$114</f>
        <v>43.2</v>
      </c>
      <c r="J89" s="18" t="n">
        <f aca="false">I89*Annahmen!$B$117/(1+Annahmen!$B$9)*Annahmen!$B$130</f>
        <v>177.422803738318</v>
      </c>
      <c r="K89" s="17" t="n">
        <f aca="false">IF($A89&gt;=Annahmen!$D$109,Annahmen!$D$112,0)</f>
        <v>6</v>
      </c>
      <c r="L89" s="17" t="n">
        <f aca="false">L88+K89</f>
        <v>72</v>
      </c>
      <c r="M89" s="17" t="n">
        <f aca="false">L89*Annahmen!$D$115</f>
        <v>57.6</v>
      </c>
      <c r="N89" s="18" t="n">
        <f aca="false">M89*Annahmen!$B$118/(1+Annahmen!$B$9)*Annahmen!$B$129</f>
        <v>141.025794392523</v>
      </c>
      <c r="O89" s="17" t="n">
        <f aca="false">IF($A89&gt;=Annahmen!$D$125,Annahmen!$D$126,0)</f>
        <v>2</v>
      </c>
      <c r="P89" s="23" t="n">
        <f aca="false">O89*Annahmen!$B$127</f>
        <v>780</v>
      </c>
      <c r="Q89" s="23" t="n">
        <f aca="false">F89+J89+N89+P89</f>
        <v>1239.28598130841</v>
      </c>
      <c r="R89" s="23" t="n">
        <f aca="false">O89*Annahmen!$B$47+(C89+G89+K89)*Annahmen!$B$128</f>
        <v>17.3434865427531</v>
      </c>
      <c r="S89" s="23" t="n">
        <f aca="false">SUMPRODUCT((((Annahmen!$C$145:$C$155="monatlich")*(Annahmen!$D$145:$D$155&lt;=$A89))+((Annahmen!$C$145:$C$155="einmalig")*(Annahmen!$D$145:$D$155=$A89)))*Annahmen!$B$145:$B$155*Annahmen!$G$145:$G$155)</f>
        <v>28.3604931653712</v>
      </c>
      <c r="T89" s="23" t="n">
        <f aca="false">IF($A89&gt;=Annahmen!$D$109,Annahmen!$D$136,0)</f>
        <v>300</v>
      </c>
      <c r="U89" s="23" t="n">
        <f aca="false">Q89-R89-S89-T89</f>
        <v>893.582001600287</v>
      </c>
      <c r="V89" s="23" t="n">
        <f aca="false">V88+U89</f>
        <v>4938.36408184745</v>
      </c>
      <c r="W89" s="7" t="n">
        <f aca="false">IF(U89&gt;0,1,0)</f>
        <v>1</v>
      </c>
      <c r="X89" s="7" t="n">
        <f aca="false">IF(V89&gt;=0,1,0)</f>
        <v>1</v>
      </c>
    </row>
    <row r="90" customFormat="false" ht="15" hidden="false" customHeight="false" outlineLevel="0" collapsed="false">
      <c r="A90" s="7" t="n">
        <v>15</v>
      </c>
      <c r="B90" s="7" t="s">
        <v>364</v>
      </c>
      <c r="C90" s="17" t="n">
        <f aca="false">IF($A90&gt;=Annahmen!$D$109,Annahmen!$D$110,0)</f>
        <v>10</v>
      </c>
      <c r="D90" s="17" t="n">
        <f aca="false">D89+C90</f>
        <v>130</v>
      </c>
      <c r="E90" s="17" t="n">
        <f aca="false">D90*Annahmen!$D$113</f>
        <v>104</v>
      </c>
      <c r="F90" s="18" t="n">
        <f aca="false">E90*Annahmen!$B$116/(1+Annahmen!$B$9)*Annahmen!$B$129</f>
        <v>152.573831775701</v>
      </c>
      <c r="G90" s="17" t="n">
        <f aca="false">IF($A90&gt;=Annahmen!$D$109,Annahmen!$D$111,0)</f>
        <v>6</v>
      </c>
      <c r="H90" s="17" t="n">
        <f aca="false">H89+G90</f>
        <v>78</v>
      </c>
      <c r="I90" s="17" t="n">
        <f aca="false">H90*Annahmen!$D$114</f>
        <v>46.8</v>
      </c>
      <c r="J90" s="18" t="n">
        <f aca="false">I90*Annahmen!$B$117/(1+Annahmen!$B$9)*Annahmen!$B$130</f>
        <v>192.208037383178</v>
      </c>
      <c r="K90" s="17" t="n">
        <f aca="false">IF($A90&gt;=Annahmen!$D$109,Annahmen!$D$112,0)</f>
        <v>6</v>
      </c>
      <c r="L90" s="17" t="n">
        <f aca="false">L89+K90</f>
        <v>78</v>
      </c>
      <c r="M90" s="17" t="n">
        <f aca="false">L90*Annahmen!$D$115</f>
        <v>62.4</v>
      </c>
      <c r="N90" s="18" t="n">
        <f aca="false">M90*Annahmen!$B$118/(1+Annahmen!$B$9)*Annahmen!$B$129</f>
        <v>152.777943925234</v>
      </c>
      <c r="O90" s="17" t="n">
        <f aca="false">IF($A90&gt;=Annahmen!$D$125,Annahmen!$D$126,0)</f>
        <v>2</v>
      </c>
      <c r="P90" s="23" t="n">
        <f aca="false">O90*Annahmen!$B$127</f>
        <v>780</v>
      </c>
      <c r="Q90" s="23" t="n">
        <f aca="false">F90+J90+N90+P90</f>
        <v>1277.55981308411</v>
      </c>
      <c r="R90" s="23" t="n">
        <f aca="false">O90*Annahmen!$B$47+(C90+G90+K90)*Annahmen!$B$128</f>
        <v>17.3434865427531</v>
      </c>
      <c r="S90" s="23" t="n">
        <f aca="false">SUMPRODUCT((((Annahmen!$C$145:$C$155="monatlich")*(Annahmen!$D$145:$D$155&lt;=$A90))+((Annahmen!$C$145:$C$155="einmalig")*(Annahmen!$D$145:$D$155=$A90)))*Annahmen!$B$145:$B$155*Annahmen!$G$145:$G$155)</f>
        <v>28.3604931653712</v>
      </c>
      <c r="T90" s="23" t="n">
        <f aca="false">IF($A90&gt;=Annahmen!$D$109,Annahmen!$D$136,0)</f>
        <v>300</v>
      </c>
      <c r="U90" s="23" t="n">
        <f aca="false">Q90-R90-S90-T90</f>
        <v>931.855833375988</v>
      </c>
      <c r="V90" s="23" t="n">
        <f aca="false">V89+U90</f>
        <v>5870.21991522344</v>
      </c>
      <c r="W90" s="7" t="n">
        <f aca="false">IF(U90&gt;0,1,0)</f>
        <v>1</v>
      </c>
      <c r="X90" s="7" t="n">
        <f aca="false">IF(V90&gt;=0,1,0)</f>
        <v>1</v>
      </c>
    </row>
    <row r="91" customFormat="false" ht="15" hidden="false" customHeight="false" outlineLevel="0" collapsed="false">
      <c r="A91" s="7" t="n">
        <v>16</v>
      </c>
      <c r="B91" s="7" t="s">
        <v>365</v>
      </c>
      <c r="C91" s="17" t="n">
        <f aca="false">IF($A91&gt;=Annahmen!$D$109,Annahmen!$D$110,0)</f>
        <v>10</v>
      </c>
      <c r="D91" s="17" t="n">
        <f aca="false">D90+C91</f>
        <v>140</v>
      </c>
      <c r="E91" s="17" t="n">
        <f aca="false">D91*Annahmen!$D$113</f>
        <v>112</v>
      </c>
      <c r="F91" s="18" t="n">
        <f aca="false">E91*Annahmen!$B$116/(1+Annahmen!$B$9)*Annahmen!$B$129</f>
        <v>164.310280373832</v>
      </c>
      <c r="G91" s="17" t="n">
        <f aca="false">IF($A91&gt;=Annahmen!$D$109,Annahmen!$D$111,0)</f>
        <v>6</v>
      </c>
      <c r="H91" s="17" t="n">
        <f aca="false">H90+G91</f>
        <v>84</v>
      </c>
      <c r="I91" s="17" t="n">
        <f aca="false">H91*Annahmen!$D$114</f>
        <v>50.4</v>
      </c>
      <c r="J91" s="18" t="n">
        <f aca="false">I91*Annahmen!$B$117/(1+Annahmen!$B$9)*Annahmen!$B$130</f>
        <v>206.993271028037</v>
      </c>
      <c r="K91" s="17" t="n">
        <f aca="false">IF($A91&gt;=Annahmen!$D$109,Annahmen!$D$112,0)</f>
        <v>6</v>
      </c>
      <c r="L91" s="17" t="n">
        <f aca="false">L90+K91</f>
        <v>84</v>
      </c>
      <c r="M91" s="17" t="n">
        <f aca="false">L91*Annahmen!$D$115</f>
        <v>67.2</v>
      </c>
      <c r="N91" s="18" t="n">
        <f aca="false">M91*Annahmen!$B$118/(1+Annahmen!$B$9)*Annahmen!$B$129</f>
        <v>164.530093457944</v>
      </c>
      <c r="O91" s="17" t="n">
        <f aca="false">IF($A91&gt;=Annahmen!$D$125,Annahmen!$D$126,0)</f>
        <v>2</v>
      </c>
      <c r="P91" s="23" t="n">
        <f aca="false">O91*Annahmen!$B$127</f>
        <v>780</v>
      </c>
      <c r="Q91" s="23" t="n">
        <f aca="false">F91+J91+N91+P91</f>
        <v>1315.83364485981</v>
      </c>
      <c r="R91" s="23" t="n">
        <f aca="false">O91*Annahmen!$B$47+(C91+G91+K91)*Annahmen!$B$128</f>
        <v>17.3434865427531</v>
      </c>
      <c r="S91" s="23" t="n">
        <f aca="false">SUMPRODUCT((((Annahmen!$C$145:$C$155="monatlich")*(Annahmen!$D$145:$D$155&lt;=$A91))+((Annahmen!$C$145:$C$155="einmalig")*(Annahmen!$D$145:$D$155=$A91)))*Annahmen!$B$145:$B$155*Annahmen!$G$145:$G$155)</f>
        <v>28.3604931653712</v>
      </c>
      <c r="T91" s="23" t="n">
        <f aca="false">IF($A91&gt;=Annahmen!$D$109,Annahmen!$D$136,0)</f>
        <v>300</v>
      </c>
      <c r="U91" s="23" t="n">
        <f aca="false">Q91-R91-S91-T91</f>
        <v>970.129665151689</v>
      </c>
      <c r="V91" s="23" t="n">
        <f aca="false">V90+U91</f>
        <v>6840.34958037513</v>
      </c>
      <c r="W91" s="7" t="n">
        <f aca="false">IF(U91&gt;0,1,0)</f>
        <v>1</v>
      </c>
      <c r="X91" s="7" t="n">
        <f aca="false">IF(V91&gt;=0,1,0)</f>
        <v>1</v>
      </c>
    </row>
    <row r="92" customFormat="false" ht="15" hidden="false" customHeight="false" outlineLevel="0" collapsed="false">
      <c r="A92" s="7" t="n">
        <v>17</v>
      </c>
      <c r="B92" s="7" t="s">
        <v>366</v>
      </c>
      <c r="C92" s="17" t="n">
        <f aca="false">IF($A92&gt;=Annahmen!$D$109,Annahmen!$D$110,0)</f>
        <v>10</v>
      </c>
      <c r="D92" s="17" t="n">
        <f aca="false">D91+C92</f>
        <v>150</v>
      </c>
      <c r="E92" s="17" t="n">
        <f aca="false">D92*Annahmen!$D$113</f>
        <v>120</v>
      </c>
      <c r="F92" s="18" t="n">
        <f aca="false">E92*Annahmen!$B$116/(1+Annahmen!$B$9)*Annahmen!$B$129</f>
        <v>176.046728971963</v>
      </c>
      <c r="G92" s="17" t="n">
        <f aca="false">IF($A92&gt;=Annahmen!$D$109,Annahmen!$D$111,0)</f>
        <v>6</v>
      </c>
      <c r="H92" s="17" t="n">
        <f aca="false">H91+G92</f>
        <v>90</v>
      </c>
      <c r="I92" s="17" t="n">
        <f aca="false">H92*Annahmen!$D$114</f>
        <v>54</v>
      </c>
      <c r="J92" s="18" t="n">
        <f aca="false">I92*Annahmen!$B$117/(1+Annahmen!$B$9)*Annahmen!$B$130</f>
        <v>221.778504672897</v>
      </c>
      <c r="K92" s="17" t="n">
        <f aca="false">IF($A92&gt;=Annahmen!$D$109,Annahmen!$D$112,0)</f>
        <v>6</v>
      </c>
      <c r="L92" s="17" t="n">
        <f aca="false">L91+K92</f>
        <v>90</v>
      </c>
      <c r="M92" s="17" t="n">
        <f aca="false">L92*Annahmen!$D$115</f>
        <v>72</v>
      </c>
      <c r="N92" s="18" t="n">
        <f aca="false">M92*Annahmen!$B$118/(1+Annahmen!$B$9)*Annahmen!$B$129</f>
        <v>176.282242990654</v>
      </c>
      <c r="O92" s="17" t="n">
        <f aca="false">IF($A92&gt;=Annahmen!$D$125,Annahmen!$D$126,0)</f>
        <v>2</v>
      </c>
      <c r="P92" s="23" t="n">
        <f aca="false">O92*Annahmen!$B$127</f>
        <v>780</v>
      </c>
      <c r="Q92" s="23" t="n">
        <f aca="false">F92+J92+N92+P92</f>
        <v>1354.10747663551</v>
      </c>
      <c r="R92" s="23" t="n">
        <f aca="false">O92*Annahmen!$B$47+(C92+G92+K92)*Annahmen!$B$128</f>
        <v>17.3434865427531</v>
      </c>
      <c r="S92" s="23" t="n">
        <f aca="false">SUMPRODUCT((((Annahmen!$C$145:$C$155="monatlich")*(Annahmen!$D$145:$D$155&lt;=$A92))+((Annahmen!$C$145:$C$155="einmalig")*(Annahmen!$D$145:$D$155=$A92)))*Annahmen!$B$145:$B$155*Annahmen!$G$145:$G$155)</f>
        <v>28.3604931653712</v>
      </c>
      <c r="T92" s="23" t="n">
        <f aca="false">IF($A92&gt;=Annahmen!$D$109,Annahmen!$D$136,0)</f>
        <v>300</v>
      </c>
      <c r="U92" s="23" t="n">
        <f aca="false">Q92-R92-S92-T92</f>
        <v>1008.40349692739</v>
      </c>
      <c r="V92" s="23" t="n">
        <f aca="false">V91+U92</f>
        <v>7848.75307730252</v>
      </c>
      <c r="W92" s="7" t="n">
        <f aca="false">IF(U92&gt;0,1,0)</f>
        <v>1</v>
      </c>
      <c r="X92" s="7" t="n">
        <f aca="false">IF(V92&gt;=0,1,0)</f>
        <v>1</v>
      </c>
    </row>
    <row r="93" customFormat="false" ht="15" hidden="false" customHeight="false" outlineLevel="0" collapsed="false">
      <c r="A93" s="7" t="n">
        <v>18</v>
      </c>
      <c r="B93" s="7" t="s">
        <v>367</v>
      </c>
      <c r="C93" s="17" t="n">
        <f aca="false">IF($A93&gt;=Annahmen!$D$109,Annahmen!$D$110,0)</f>
        <v>10</v>
      </c>
      <c r="D93" s="17" t="n">
        <f aca="false">D92+C93</f>
        <v>160</v>
      </c>
      <c r="E93" s="17" t="n">
        <f aca="false">D93*Annahmen!$D$113</f>
        <v>128</v>
      </c>
      <c r="F93" s="18" t="n">
        <f aca="false">E93*Annahmen!$B$116/(1+Annahmen!$B$9)*Annahmen!$B$129</f>
        <v>187.783177570093</v>
      </c>
      <c r="G93" s="17" t="n">
        <f aca="false">IF($A93&gt;=Annahmen!$D$109,Annahmen!$D$111,0)</f>
        <v>6</v>
      </c>
      <c r="H93" s="17" t="n">
        <f aca="false">H92+G93</f>
        <v>96</v>
      </c>
      <c r="I93" s="17" t="n">
        <f aca="false">H93*Annahmen!$D$114</f>
        <v>57.6</v>
      </c>
      <c r="J93" s="18" t="n">
        <f aca="false">I93*Annahmen!$B$117/(1+Annahmen!$B$9)*Annahmen!$B$130</f>
        <v>236.563738317757</v>
      </c>
      <c r="K93" s="17" t="n">
        <f aca="false">IF($A93&gt;=Annahmen!$D$109,Annahmen!$D$112,0)</f>
        <v>6</v>
      </c>
      <c r="L93" s="17" t="n">
        <f aca="false">L92+K93</f>
        <v>96</v>
      </c>
      <c r="M93" s="17" t="n">
        <f aca="false">L93*Annahmen!$D$115</f>
        <v>76.8</v>
      </c>
      <c r="N93" s="18" t="n">
        <f aca="false">M93*Annahmen!$B$118/(1+Annahmen!$B$9)*Annahmen!$B$129</f>
        <v>188.034392523364</v>
      </c>
      <c r="O93" s="17" t="n">
        <f aca="false">IF($A93&gt;=Annahmen!$D$125,Annahmen!$D$126,0)</f>
        <v>2</v>
      </c>
      <c r="P93" s="23" t="n">
        <f aca="false">O93*Annahmen!$B$127</f>
        <v>780</v>
      </c>
      <c r="Q93" s="23" t="n">
        <f aca="false">F93+J93+N93+P93</f>
        <v>1392.38130841121</v>
      </c>
      <c r="R93" s="23" t="n">
        <f aca="false">O93*Annahmen!$B$47+(C93+G93+K93)*Annahmen!$B$128</f>
        <v>17.3434865427531</v>
      </c>
      <c r="S93" s="23" t="n">
        <f aca="false">SUMPRODUCT((((Annahmen!$C$145:$C$155="monatlich")*(Annahmen!$D$145:$D$155&lt;=$A93))+((Annahmen!$C$145:$C$155="einmalig")*(Annahmen!$D$145:$D$155=$A93)))*Annahmen!$B$145:$B$155*Annahmen!$G$145:$G$155)</f>
        <v>28.3604931653712</v>
      </c>
      <c r="T93" s="23" t="n">
        <f aca="false">IF($A93&gt;=Annahmen!$D$109,Annahmen!$D$136,0)</f>
        <v>300</v>
      </c>
      <c r="U93" s="23" t="n">
        <f aca="false">Q93-R93-S93-T93</f>
        <v>1046.67732870309</v>
      </c>
      <c r="V93" s="23" t="n">
        <f aca="false">V92+U93</f>
        <v>8895.43040600561</v>
      </c>
      <c r="W93" s="7" t="n">
        <f aca="false">IF(U93&gt;0,1,0)</f>
        <v>1</v>
      </c>
      <c r="X93" s="7" t="n">
        <f aca="false">IF(V93&gt;=0,1,0)</f>
        <v>1</v>
      </c>
    </row>
    <row r="94" customFormat="false" ht="15" hidden="false" customHeight="false" outlineLevel="0" collapsed="false">
      <c r="A94" s="7" t="n">
        <v>19</v>
      </c>
      <c r="B94" s="7" t="s">
        <v>368</v>
      </c>
      <c r="C94" s="17" t="n">
        <f aca="false">IF($A94&gt;=Annahmen!$D$109,Annahmen!$D$110,0)</f>
        <v>10</v>
      </c>
      <c r="D94" s="17" t="n">
        <f aca="false">D93+C94</f>
        <v>170</v>
      </c>
      <c r="E94" s="17" t="n">
        <f aca="false">D94*Annahmen!$D$113</f>
        <v>136</v>
      </c>
      <c r="F94" s="18" t="n">
        <f aca="false">E94*Annahmen!$B$116/(1+Annahmen!$B$9)*Annahmen!$B$129</f>
        <v>199.519626168224</v>
      </c>
      <c r="G94" s="17" t="n">
        <f aca="false">IF($A94&gt;=Annahmen!$D$109,Annahmen!$D$111,0)</f>
        <v>6</v>
      </c>
      <c r="H94" s="17" t="n">
        <f aca="false">H93+G94</f>
        <v>102</v>
      </c>
      <c r="I94" s="17" t="n">
        <f aca="false">H94*Annahmen!$D$114</f>
        <v>61.2</v>
      </c>
      <c r="J94" s="18" t="n">
        <f aca="false">I94*Annahmen!$B$117/(1+Annahmen!$B$9)*Annahmen!$B$130</f>
        <v>251.348971962617</v>
      </c>
      <c r="K94" s="17" t="n">
        <f aca="false">IF($A94&gt;=Annahmen!$D$109,Annahmen!$D$112,0)</f>
        <v>6</v>
      </c>
      <c r="L94" s="17" t="n">
        <f aca="false">L93+K94</f>
        <v>102</v>
      </c>
      <c r="M94" s="17" t="n">
        <f aca="false">L94*Annahmen!$D$115</f>
        <v>81.6</v>
      </c>
      <c r="N94" s="18" t="n">
        <f aca="false">M94*Annahmen!$B$118/(1+Annahmen!$B$9)*Annahmen!$B$129</f>
        <v>199.786542056075</v>
      </c>
      <c r="O94" s="17" t="n">
        <f aca="false">IF($A94&gt;=Annahmen!$D$125,Annahmen!$D$126,0)</f>
        <v>2</v>
      </c>
      <c r="P94" s="23" t="n">
        <f aca="false">O94*Annahmen!$B$127</f>
        <v>780</v>
      </c>
      <c r="Q94" s="23" t="n">
        <f aca="false">F94+J94+N94+P94</f>
        <v>1430.65514018692</v>
      </c>
      <c r="R94" s="23" t="n">
        <f aca="false">O94*Annahmen!$B$47+(C94+G94+K94)*Annahmen!$B$128</f>
        <v>17.3434865427531</v>
      </c>
      <c r="S94" s="23" t="n">
        <f aca="false">SUMPRODUCT((((Annahmen!$C$145:$C$155="monatlich")*(Annahmen!$D$145:$D$155&lt;=$A94))+((Annahmen!$C$145:$C$155="einmalig")*(Annahmen!$D$145:$D$155=$A94)))*Annahmen!$B$145:$B$155*Annahmen!$G$145:$G$155)</f>
        <v>28.3604931653712</v>
      </c>
      <c r="T94" s="23" t="n">
        <f aca="false">IF($A94&gt;=Annahmen!$D$109,Annahmen!$D$136,0)</f>
        <v>300</v>
      </c>
      <c r="U94" s="23" t="n">
        <f aca="false">Q94-R94-S94-T94</f>
        <v>1084.95116047879</v>
      </c>
      <c r="V94" s="23" t="n">
        <f aca="false">V93+U94</f>
        <v>9980.3815664844</v>
      </c>
      <c r="W94" s="7" t="n">
        <f aca="false">IF(U94&gt;0,1,0)</f>
        <v>1</v>
      </c>
      <c r="X94" s="7" t="n">
        <f aca="false">IF(V94&gt;=0,1,0)</f>
        <v>1</v>
      </c>
    </row>
    <row r="95" customFormat="false" ht="15" hidden="false" customHeight="false" outlineLevel="0" collapsed="false">
      <c r="A95" s="7" t="n">
        <v>20</v>
      </c>
      <c r="B95" s="7" t="s">
        <v>369</v>
      </c>
      <c r="C95" s="17" t="n">
        <f aca="false">IF($A95&gt;=Annahmen!$D$109,Annahmen!$D$110,0)</f>
        <v>10</v>
      </c>
      <c r="D95" s="17" t="n">
        <f aca="false">D94+C95</f>
        <v>180</v>
      </c>
      <c r="E95" s="17" t="n">
        <f aca="false">D95*Annahmen!$D$113</f>
        <v>144</v>
      </c>
      <c r="F95" s="18" t="n">
        <f aca="false">E95*Annahmen!$B$116/(1+Annahmen!$B$9)*Annahmen!$B$129</f>
        <v>211.256074766355</v>
      </c>
      <c r="G95" s="17" t="n">
        <f aca="false">IF($A95&gt;=Annahmen!$D$109,Annahmen!$D$111,0)</f>
        <v>6</v>
      </c>
      <c r="H95" s="17" t="n">
        <f aca="false">H94+G95</f>
        <v>108</v>
      </c>
      <c r="I95" s="17" t="n">
        <f aca="false">H95*Annahmen!$D$114</f>
        <v>64.8</v>
      </c>
      <c r="J95" s="18" t="n">
        <f aca="false">I95*Annahmen!$B$117/(1+Annahmen!$B$9)*Annahmen!$B$130</f>
        <v>266.134205607477</v>
      </c>
      <c r="K95" s="17" t="n">
        <f aca="false">IF($A95&gt;=Annahmen!$D$109,Annahmen!$D$112,0)</f>
        <v>6</v>
      </c>
      <c r="L95" s="17" t="n">
        <f aca="false">L94+K95</f>
        <v>108</v>
      </c>
      <c r="M95" s="17" t="n">
        <f aca="false">L95*Annahmen!$D$115</f>
        <v>86.4</v>
      </c>
      <c r="N95" s="18" t="n">
        <f aca="false">M95*Annahmen!$B$118/(1+Annahmen!$B$9)*Annahmen!$B$129</f>
        <v>211.538691588785</v>
      </c>
      <c r="O95" s="17" t="n">
        <f aca="false">IF($A95&gt;=Annahmen!$D$125,Annahmen!$D$126,0)</f>
        <v>2</v>
      </c>
      <c r="P95" s="23" t="n">
        <f aca="false">O95*Annahmen!$B$127</f>
        <v>780</v>
      </c>
      <c r="Q95" s="23" t="n">
        <f aca="false">F95+J95+N95+P95</f>
        <v>1468.92897196262</v>
      </c>
      <c r="R95" s="23" t="n">
        <f aca="false">O95*Annahmen!$B$47+(C95+G95+K95)*Annahmen!$B$128</f>
        <v>17.3434865427531</v>
      </c>
      <c r="S95" s="23" t="n">
        <f aca="false">SUMPRODUCT((((Annahmen!$C$145:$C$155="monatlich")*(Annahmen!$D$145:$D$155&lt;=$A95))+((Annahmen!$C$145:$C$155="einmalig")*(Annahmen!$D$145:$D$155=$A95)))*Annahmen!$B$145:$B$155*Annahmen!$G$145:$G$155)</f>
        <v>28.3604931653712</v>
      </c>
      <c r="T95" s="23" t="n">
        <f aca="false">IF($A95&gt;=Annahmen!$D$109,Annahmen!$D$136,0)</f>
        <v>300</v>
      </c>
      <c r="U95" s="23" t="n">
        <f aca="false">Q95-R95-S95-T95</f>
        <v>1123.22499225449</v>
      </c>
      <c r="V95" s="23" t="n">
        <f aca="false">V94+U95</f>
        <v>11103.6065587389</v>
      </c>
      <c r="W95" s="7" t="n">
        <f aca="false">IF(U95&gt;0,1,0)</f>
        <v>1</v>
      </c>
      <c r="X95" s="7" t="n">
        <f aca="false">IF(V95&gt;=0,1,0)</f>
        <v>1</v>
      </c>
    </row>
    <row r="96" customFormat="false" ht="15" hidden="false" customHeight="false" outlineLevel="0" collapsed="false">
      <c r="A96" s="7" t="n">
        <v>21</v>
      </c>
      <c r="B96" s="7" t="s">
        <v>370</v>
      </c>
      <c r="C96" s="17" t="n">
        <f aca="false">IF($A96&gt;=Annahmen!$D$109,Annahmen!$D$110,0)</f>
        <v>10</v>
      </c>
      <c r="D96" s="17" t="n">
        <f aca="false">D95+C96</f>
        <v>190</v>
      </c>
      <c r="E96" s="17" t="n">
        <f aca="false">D96*Annahmen!$D$113</f>
        <v>152</v>
      </c>
      <c r="F96" s="18" t="n">
        <f aca="false">E96*Annahmen!$B$116/(1+Annahmen!$B$9)*Annahmen!$B$129</f>
        <v>222.992523364486</v>
      </c>
      <c r="G96" s="17" t="n">
        <f aca="false">IF($A96&gt;=Annahmen!$D$109,Annahmen!$D$111,0)</f>
        <v>6</v>
      </c>
      <c r="H96" s="17" t="n">
        <f aca="false">H95+G96</f>
        <v>114</v>
      </c>
      <c r="I96" s="17" t="n">
        <f aca="false">H96*Annahmen!$D$114</f>
        <v>68.4</v>
      </c>
      <c r="J96" s="18" t="n">
        <f aca="false">I96*Annahmen!$B$117/(1+Annahmen!$B$9)*Annahmen!$B$130</f>
        <v>280.919439252336</v>
      </c>
      <c r="K96" s="17" t="n">
        <f aca="false">IF($A96&gt;=Annahmen!$D$109,Annahmen!$D$112,0)</f>
        <v>6</v>
      </c>
      <c r="L96" s="17" t="n">
        <f aca="false">L95+K96</f>
        <v>114</v>
      </c>
      <c r="M96" s="17" t="n">
        <f aca="false">L96*Annahmen!$D$115</f>
        <v>91.2</v>
      </c>
      <c r="N96" s="18" t="n">
        <f aca="false">M96*Annahmen!$B$118/(1+Annahmen!$B$9)*Annahmen!$B$129</f>
        <v>223.290841121495</v>
      </c>
      <c r="O96" s="17" t="n">
        <f aca="false">IF($A96&gt;=Annahmen!$D$125,Annahmen!$D$126,0)</f>
        <v>2</v>
      </c>
      <c r="P96" s="23" t="n">
        <f aca="false">O96*Annahmen!$B$127</f>
        <v>780</v>
      </c>
      <c r="Q96" s="23" t="n">
        <f aca="false">F96+J96+N96+P96</f>
        <v>1507.20280373832</v>
      </c>
      <c r="R96" s="23" t="n">
        <f aca="false">O96*Annahmen!$B$47+(C96+G96+K96)*Annahmen!$B$128</f>
        <v>17.3434865427531</v>
      </c>
      <c r="S96" s="23" t="n">
        <f aca="false">SUMPRODUCT((((Annahmen!$C$145:$C$155="monatlich")*(Annahmen!$D$145:$D$155&lt;=$A96))+((Annahmen!$C$145:$C$155="einmalig")*(Annahmen!$D$145:$D$155=$A96)))*Annahmen!$B$145:$B$155*Annahmen!$G$145:$G$155)</f>
        <v>28.3604931653712</v>
      </c>
      <c r="T96" s="23" t="n">
        <f aca="false">IF($A96&gt;=Annahmen!$D$109,Annahmen!$D$136,0)</f>
        <v>300</v>
      </c>
      <c r="U96" s="23" t="n">
        <f aca="false">Q96-R96-S96-T96</f>
        <v>1161.49882403019</v>
      </c>
      <c r="V96" s="23" t="n">
        <f aca="false">V95+U96</f>
        <v>12265.1053827691</v>
      </c>
      <c r="W96" s="7" t="n">
        <f aca="false">IF(U96&gt;0,1,0)</f>
        <v>1</v>
      </c>
      <c r="X96" s="7" t="n">
        <f aca="false">IF(V96&gt;=0,1,0)</f>
        <v>1</v>
      </c>
    </row>
    <row r="97" customFormat="false" ht="15" hidden="false" customHeight="false" outlineLevel="0" collapsed="false">
      <c r="A97" s="7" t="n">
        <v>22</v>
      </c>
      <c r="B97" s="7" t="s">
        <v>371</v>
      </c>
      <c r="C97" s="17" t="n">
        <f aca="false">IF($A97&gt;=Annahmen!$D$109,Annahmen!$D$110,0)</f>
        <v>10</v>
      </c>
      <c r="D97" s="17" t="n">
        <f aca="false">D96+C97</f>
        <v>200</v>
      </c>
      <c r="E97" s="17" t="n">
        <f aca="false">D97*Annahmen!$D$113</f>
        <v>160</v>
      </c>
      <c r="F97" s="18" t="n">
        <f aca="false">E97*Annahmen!$B$116/(1+Annahmen!$B$9)*Annahmen!$B$129</f>
        <v>234.728971962617</v>
      </c>
      <c r="G97" s="17" t="n">
        <f aca="false">IF($A97&gt;=Annahmen!$D$109,Annahmen!$D$111,0)</f>
        <v>6</v>
      </c>
      <c r="H97" s="17" t="n">
        <f aca="false">H96+G97</f>
        <v>120</v>
      </c>
      <c r="I97" s="17" t="n">
        <f aca="false">H97*Annahmen!$D$114</f>
        <v>72</v>
      </c>
      <c r="J97" s="18" t="n">
        <f aca="false">I97*Annahmen!$B$117/(1+Annahmen!$B$9)*Annahmen!$B$130</f>
        <v>295.704672897196</v>
      </c>
      <c r="K97" s="17" t="n">
        <f aca="false">IF($A97&gt;=Annahmen!$D$109,Annahmen!$D$112,0)</f>
        <v>6</v>
      </c>
      <c r="L97" s="17" t="n">
        <f aca="false">L96+K97</f>
        <v>120</v>
      </c>
      <c r="M97" s="17" t="n">
        <f aca="false">L97*Annahmen!$D$115</f>
        <v>96</v>
      </c>
      <c r="N97" s="18" t="n">
        <f aca="false">M97*Annahmen!$B$118/(1+Annahmen!$B$9)*Annahmen!$B$129</f>
        <v>235.042990654206</v>
      </c>
      <c r="O97" s="17" t="n">
        <f aca="false">IF($A97&gt;=Annahmen!$D$125,Annahmen!$D$126,0)</f>
        <v>2</v>
      </c>
      <c r="P97" s="23" t="n">
        <f aca="false">O97*Annahmen!$B$127</f>
        <v>780</v>
      </c>
      <c r="Q97" s="23" t="n">
        <f aca="false">F97+J97+N97+P97</f>
        <v>1545.47663551402</v>
      </c>
      <c r="R97" s="23" t="n">
        <f aca="false">O97*Annahmen!$B$47+(C97+G97+K97)*Annahmen!$B$128</f>
        <v>17.3434865427531</v>
      </c>
      <c r="S97" s="23" t="n">
        <f aca="false">SUMPRODUCT((((Annahmen!$C$145:$C$155="monatlich")*(Annahmen!$D$145:$D$155&lt;=$A97))+((Annahmen!$C$145:$C$155="einmalig")*(Annahmen!$D$145:$D$155=$A97)))*Annahmen!$B$145:$B$155*Annahmen!$G$145:$G$155)</f>
        <v>28.3604931653712</v>
      </c>
      <c r="T97" s="23" t="n">
        <f aca="false">IF($A97&gt;=Annahmen!$D$109,Annahmen!$D$136,0)</f>
        <v>300</v>
      </c>
      <c r="U97" s="23" t="n">
        <f aca="false">Q97-R97-S97-T97</f>
        <v>1199.77265580589</v>
      </c>
      <c r="V97" s="23" t="n">
        <f aca="false">V96+U97</f>
        <v>13464.878038575</v>
      </c>
      <c r="W97" s="7" t="n">
        <f aca="false">IF(U97&gt;0,1,0)</f>
        <v>1</v>
      </c>
      <c r="X97" s="7" t="n">
        <f aca="false">IF(V97&gt;=0,1,0)</f>
        <v>1</v>
      </c>
    </row>
    <row r="98" customFormat="false" ht="15" hidden="false" customHeight="false" outlineLevel="0" collapsed="false">
      <c r="A98" s="7" t="n">
        <v>23</v>
      </c>
      <c r="B98" s="7" t="s">
        <v>372</v>
      </c>
      <c r="C98" s="17" t="n">
        <f aca="false">IF($A98&gt;=Annahmen!$D$109,Annahmen!$D$110,0)</f>
        <v>10</v>
      </c>
      <c r="D98" s="17" t="n">
        <f aca="false">D97+C98</f>
        <v>210</v>
      </c>
      <c r="E98" s="17" t="n">
        <f aca="false">D98*Annahmen!$D$113</f>
        <v>168</v>
      </c>
      <c r="F98" s="18" t="n">
        <f aca="false">E98*Annahmen!$B$116/(1+Annahmen!$B$9)*Annahmen!$B$129</f>
        <v>246.465420560748</v>
      </c>
      <c r="G98" s="17" t="n">
        <f aca="false">IF($A98&gt;=Annahmen!$D$109,Annahmen!$D$111,0)</f>
        <v>6</v>
      </c>
      <c r="H98" s="17" t="n">
        <f aca="false">H97+G98</f>
        <v>126</v>
      </c>
      <c r="I98" s="17" t="n">
        <f aca="false">H98*Annahmen!$D$114</f>
        <v>75.6</v>
      </c>
      <c r="J98" s="18" t="n">
        <f aca="false">I98*Annahmen!$B$117/(1+Annahmen!$B$9)*Annahmen!$B$130</f>
        <v>310.489906542056</v>
      </c>
      <c r="K98" s="17" t="n">
        <f aca="false">IF($A98&gt;=Annahmen!$D$109,Annahmen!$D$112,0)</f>
        <v>6</v>
      </c>
      <c r="L98" s="17" t="n">
        <f aca="false">L97+K98</f>
        <v>126</v>
      </c>
      <c r="M98" s="17" t="n">
        <f aca="false">L98*Annahmen!$D$115</f>
        <v>100.8</v>
      </c>
      <c r="N98" s="18" t="n">
        <f aca="false">M98*Annahmen!$B$118/(1+Annahmen!$B$9)*Annahmen!$B$129</f>
        <v>246.795140186916</v>
      </c>
      <c r="O98" s="17" t="n">
        <f aca="false">IF($A98&gt;=Annahmen!$D$125,Annahmen!$D$126,0)</f>
        <v>2</v>
      </c>
      <c r="P98" s="23" t="n">
        <f aca="false">O98*Annahmen!$B$127</f>
        <v>780</v>
      </c>
      <c r="Q98" s="23" t="n">
        <f aca="false">F98+J98+N98+P98</f>
        <v>1583.75046728972</v>
      </c>
      <c r="R98" s="23" t="n">
        <f aca="false">O98*Annahmen!$B$47+(C98+G98+K98)*Annahmen!$B$128</f>
        <v>17.3434865427531</v>
      </c>
      <c r="S98" s="23" t="n">
        <f aca="false">SUMPRODUCT((((Annahmen!$C$145:$C$155="monatlich")*(Annahmen!$D$145:$D$155&lt;=$A98))+((Annahmen!$C$145:$C$155="einmalig")*(Annahmen!$D$145:$D$155=$A98)))*Annahmen!$B$145:$B$155*Annahmen!$G$145:$G$155)</f>
        <v>28.3604931653712</v>
      </c>
      <c r="T98" s="23" t="n">
        <f aca="false">IF($A98&gt;=Annahmen!$D$109,Annahmen!$D$136,0)</f>
        <v>300</v>
      </c>
      <c r="U98" s="23" t="n">
        <f aca="false">Q98-R98-S98-T98</f>
        <v>1238.0464875816</v>
      </c>
      <c r="V98" s="23" t="n">
        <f aca="false">V97+U98</f>
        <v>14702.9245261566</v>
      </c>
      <c r="W98" s="7" t="n">
        <f aca="false">IF(U98&gt;0,1,0)</f>
        <v>1</v>
      </c>
      <c r="X98" s="7" t="n">
        <f aca="false">IF(V98&gt;=0,1,0)</f>
        <v>1</v>
      </c>
    </row>
    <row r="99" customFormat="false" ht="15" hidden="false" customHeight="false" outlineLevel="0" collapsed="false">
      <c r="A99" s="7" t="n">
        <v>24</v>
      </c>
      <c r="B99" s="7" t="s">
        <v>373</v>
      </c>
      <c r="C99" s="17" t="n">
        <f aca="false">IF($A99&gt;=Annahmen!$D$109,Annahmen!$D$110,0)</f>
        <v>10</v>
      </c>
      <c r="D99" s="17" t="n">
        <f aca="false">D98+C99</f>
        <v>220</v>
      </c>
      <c r="E99" s="17" t="n">
        <f aca="false">D99*Annahmen!$D$113</f>
        <v>176</v>
      </c>
      <c r="F99" s="18" t="n">
        <f aca="false">E99*Annahmen!$B$116/(1+Annahmen!$B$9)*Annahmen!$B$129</f>
        <v>258.201869158878</v>
      </c>
      <c r="G99" s="17" t="n">
        <f aca="false">IF($A99&gt;=Annahmen!$D$109,Annahmen!$D$111,0)</f>
        <v>6</v>
      </c>
      <c r="H99" s="17" t="n">
        <f aca="false">H98+G99</f>
        <v>132</v>
      </c>
      <c r="I99" s="17" t="n">
        <f aca="false">H99*Annahmen!$D$114</f>
        <v>79.2</v>
      </c>
      <c r="J99" s="18" t="n">
        <f aca="false">I99*Annahmen!$B$117/(1+Annahmen!$B$9)*Annahmen!$B$130</f>
        <v>325.275140186916</v>
      </c>
      <c r="K99" s="17" t="n">
        <f aca="false">IF($A99&gt;=Annahmen!$D$109,Annahmen!$D$112,0)</f>
        <v>6</v>
      </c>
      <c r="L99" s="17" t="n">
        <f aca="false">L98+K99</f>
        <v>132</v>
      </c>
      <c r="M99" s="17" t="n">
        <f aca="false">L99*Annahmen!$D$115</f>
        <v>105.6</v>
      </c>
      <c r="N99" s="18" t="n">
        <f aca="false">M99*Annahmen!$B$118/(1+Annahmen!$B$9)*Annahmen!$B$129</f>
        <v>258.547289719626</v>
      </c>
      <c r="O99" s="17" t="n">
        <f aca="false">IF($A99&gt;=Annahmen!$D$125,Annahmen!$D$126,0)</f>
        <v>2</v>
      </c>
      <c r="P99" s="23" t="n">
        <f aca="false">O99*Annahmen!$B$127</f>
        <v>780</v>
      </c>
      <c r="Q99" s="23" t="n">
        <f aca="false">F99+J99+N99+P99</f>
        <v>1622.02429906542</v>
      </c>
      <c r="R99" s="23" t="n">
        <f aca="false">O99*Annahmen!$B$47+(C99+G99+K99)*Annahmen!$B$128</f>
        <v>17.3434865427531</v>
      </c>
      <c r="S99" s="23" t="n">
        <f aca="false">SUMPRODUCT((((Annahmen!$C$145:$C$155="monatlich")*(Annahmen!$D$145:$D$155&lt;=$A99))+((Annahmen!$C$145:$C$155="einmalig")*(Annahmen!$D$145:$D$155=$A99)))*Annahmen!$B$145:$B$155*Annahmen!$G$145:$G$155)</f>
        <v>28.3604931653712</v>
      </c>
      <c r="T99" s="23" t="n">
        <f aca="false">IF($A99&gt;=Annahmen!$D$109,Annahmen!$D$136,0)</f>
        <v>300</v>
      </c>
      <c r="U99" s="23" t="n">
        <f aca="false">Q99-R99-S99-T99</f>
        <v>1276.3203193573</v>
      </c>
      <c r="V99" s="23" t="n">
        <f aca="false">V98+U99</f>
        <v>15979.2448455139</v>
      </c>
      <c r="W99" s="7" t="n">
        <f aca="false">IF(U99&gt;0,1,0)</f>
        <v>1</v>
      </c>
      <c r="X99" s="7" t="n">
        <f aca="false">IF(V99&gt;=0,1,0)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4"/>
  </cols>
  <sheetData>
    <row r="1" customFormat="false" ht="17.35" hidden="false" customHeight="false" outlineLevel="0" collapsed="false">
      <c r="A1" s="1" t="s">
        <v>426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9.55" hidden="false" customHeight="false" outlineLevel="0" collapsed="false">
      <c r="A3" s="4" t="s">
        <v>312</v>
      </c>
      <c r="B3" s="31" t="str">
        <f aca="false">"vorsichtig – "&amp;Annahmen!$B$133</f>
        <v>vorsichtig – teures Hobby</v>
      </c>
      <c r="C3" s="31" t="str">
        <f aca="false">"mittel – "&amp;Annahmen!$C$133</f>
        <v>mittel – profitabler Nebenerwerb</v>
      </c>
      <c r="D3" s="31" t="str">
        <f aca="false">"stark – "&amp;Annahmen!$D$133</f>
        <v>stark – skalierbares Business</v>
      </c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32" t="s">
        <v>313</v>
      </c>
      <c r="B4" s="32" t="str">
        <f aca="false">IFERROR("Monat "&amp;MATCH(1,L18:L41,0)&amp;" ("&amp;INDEX($B$18:$B$41,MATCH(1,L18:L41,0))&amp;")","nicht in 24 M")</f>
        <v>nicht in 24 M</v>
      </c>
      <c r="C4" s="32" t="str">
        <f aca="false">IFERROR("Monat "&amp;MATCH(1,L47:L70,0)&amp;" ("&amp;INDEX($B$47:$B$70,MATCH(1,L47:L70,0))&amp;")","nicht in 24 M")</f>
        <v>Monat 4 (04/2027)</v>
      </c>
      <c r="D4" s="32" t="str">
        <f aca="false">IFERROR("Monat "&amp;MATCH(1,L76:L99,0)&amp;" ("&amp;INDEX($B$76:$B$99,MATCH(1,L76:L99,0))&amp;")","nicht in 24 M")</f>
        <v>Monat 3 (03/2027)</v>
      </c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false" outlineLevel="0" collapsed="false">
      <c r="A5" s="32" t="s">
        <v>314</v>
      </c>
      <c r="B5" s="32" t="str">
        <f aca="false">IFERROR("Monat "&amp;MATCH(1,M18:M41,0)&amp;" ("&amp;INDEX($B$18:$B$41,MATCH(1,M18:M41,0))&amp;")","nicht in 24 M")</f>
        <v>nicht in 24 M</v>
      </c>
      <c r="C5" s="32" t="str">
        <f aca="false">IFERROR("Monat "&amp;MATCH(1,M47:M70,0)&amp;" ("&amp;INDEX($B$47:$B$70,MATCH(1,M47:M70,0))&amp;")","nicht in 24 M")</f>
        <v>Monat 8 (08/2027)</v>
      </c>
      <c r="D5" s="32" t="str">
        <f aca="false">IFERROR("Monat "&amp;MATCH(1,M76:M99,0)&amp;" ("&amp;INDEX($B$76:$B$99,MATCH(1,M76:M99,0))&amp;")","nicht in 24 M")</f>
        <v>Monat 4 (04/2027)</v>
      </c>
      <c r="E5" s="2"/>
      <c r="F5" s="2"/>
      <c r="G5" s="2"/>
      <c r="H5" s="2"/>
      <c r="I5" s="2"/>
      <c r="J5" s="2"/>
      <c r="K5" s="2"/>
      <c r="L5" s="2"/>
      <c r="M5" s="2"/>
    </row>
    <row r="6" customFormat="false" ht="15" hidden="false" customHeight="false" outlineLevel="0" collapsed="false">
      <c r="A6" s="32" t="s">
        <v>427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15" hidden="false" customHeight="false" outlineLevel="0" collapsed="false">
      <c r="A7" s="7" t="s">
        <v>401</v>
      </c>
      <c r="B7" s="36" t="n">
        <f aca="false">SUM(I18:I41)</f>
        <v>7979.56330077307</v>
      </c>
      <c r="C7" s="36" t="n">
        <f aca="false">SUM(I47:I70)</f>
        <v>70776.3838786113</v>
      </c>
      <c r="D7" s="36" t="n">
        <f aca="false">SUM(I76:I99)</f>
        <v>384512.739720778</v>
      </c>
      <c r="E7" s="2"/>
      <c r="F7" s="2"/>
      <c r="G7" s="2"/>
      <c r="H7" s="2"/>
      <c r="I7" s="2"/>
      <c r="J7" s="2"/>
      <c r="K7" s="2"/>
      <c r="L7" s="2"/>
      <c r="M7" s="2"/>
    </row>
    <row r="8" customFormat="false" ht="15" hidden="false" customHeight="false" outlineLevel="0" collapsed="false">
      <c r="A8" s="7" t="s">
        <v>428</v>
      </c>
      <c r="B8" s="36" t="n">
        <f aca="false">SUM(J18:J41)</f>
        <v>-6160.76012953104</v>
      </c>
      <c r="C8" s="36" t="n">
        <f aca="false">SUM(J47:J70)</f>
        <v>38031.4088811307</v>
      </c>
      <c r="D8" s="36" t="n">
        <f aca="false">SUM(J76:J99)</f>
        <v>212620.08631458</v>
      </c>
      <c r="E8" s="2"/>
      <c r="F8" s="2"/>
      <c r="G8" s="2"/>
      <c r="H8" s="2"/>
      <c r="I8" s="2"/>
      <c r="J8" s="2"/>
      <c r="K8" s="2"/>
      <c r="L8" s="2"/>
      <c r="M8" s="2"/>
    </row>
    <row r="9" customFormat="false" ht="15" hidden="false" customHeight="false" outlineLevel="0" collapsed="false">
      <c r="A9" s="7" t="s">
        <v>429</v>
      </c>
      <c r="B9" s="36" t="n">
        <f aca="false">MIN(K18:K41)</f>
        <v>-6160.76012953104</v>
      </c>
      <c r="C9" s="36" t="n">
        <f aca="false">MIN(K47:K70)</f>
        <v>-2770.00069054336</v>
      </c>
      <c r="D9" s="36" t="n">
        <f aca="false">MIN(K76:K99)</f>
        <v>-3966.42826668763</v>
      </c>
      <c r="E9" s="2"/>
      <c r="F9" s="2"/>
      <c r="G9" s="2"/>
      <c r="H9" s="2"/>
      <c r="I9" s="2"/>
      <c r="J9" s="2"/>
      <c r="K9" s="2"/>
      <c r="L9" s="2"/>
      <c r="M9" s="2"/>
    </row>
    <row r="10" customFormat="false" ht="15" hidden="false" customHeight="false" outlineLevel="0" collapsed="false">
      <c r="A10" s="7" t="s">
        <v>430</v>
      </c>
      <c r="B10" s="36" t="n">
        <f aca="false">J41</f>
        <v>-39.9337888047772</v>
      </c>
      <c r="C10" s="36" t="n">
        <f aca="false">J70</f>
        <v>3768.89139911183</v>
      </c>
      <c r="D10" s="36" t="n">
        <f aca="false">J99</f>
        <v>23969.501969951</v>
      </c>
      <c r="E10" s="2"/>
      <c r="F10" s="2"/>
      <c r="G10" s="2"/>
      <c r="H10" s="2"/>
      <c r="I10" s="2"/>
      <c r="J10" s="2"/>
      <c r="K10" s="2"/>
      <c r="L10" s="2"/>
      <c r="M10" s="2"/>
    </row>
    <row r="11" customFormat="false" ht="15" hidden="false" customHeight="false" outlineLevel="0" collapsed="false">
      <c r="A11" s="7" t="s">
        <v>431</v>
      </c>
      <c r="B11" s="32" t="str">
        <f aca="false">IF(ABS(SUM(TÆLLA!U18:U41)+SUM('Read Layer'!V18:V41)+SUM(SOMNIO!S18:S41)-SUMPRODUCT(((Annahmen!$C$145:$C$155="monatlich")*(25-Annahmen!$D$145:$D$155)+(Annahmen!$C$145:$C$155="einmalig")*(Annahmen!$D$145:$D$155&gt;=1)*(Annahmen!$D$145:$D$155&lt;=24))*Annahmen!$B$145:$B$155))&lt;0.01,"ok","Abweichung")</f>
        <v>ok</v>
      </c>
      <c r="C11" s="32" t="str">
        <f aca="false">IF(ABS(SUM(TÆLLA!U47:U70)+SUM('Read Layer'!V47:V70)+SUM(SOMNIO!S47:S70)-SUMPRODUCT(((Annahmen!$C$145:$C$155="monatlich")*(25-Annahmen!$D$145:$D$155)+(Annahmen!$C$145:$C$155="einmalig")*(Annahmen!$D$145:$D$155&gt;=1)*(Annahmen!$D$145:$D$155&lt;=24))*Annahmen!$B$145:$B$155))&lt;0.01,"ok","Abweichung")</f>
        <v>ok</v>
      </c>
      <c r="D11" s="32" t="str">
        <f aca="false">IF(ABS(SUM(TÆLLA!U76:U99)+SUM('Read Layer'!V76:V99)+SUM(SOMNIO!S76:S99)-SUMPRODUCT(((Annahmen!$C$145:$C$155="monatlich")*(25-Annahmen!$D$145:$D$155)+(Annahmen!$C$145:$C$155="einmalig")*(Annahmen!$D$145:$D$155&gt;=1)*(Annahmen!$D$145:$D$155&lt;=24))*Annahmen!$B$145:$B$155))&lt;0.01,"ok","Abweichung")</f>
        <v>ok</v>
      </c>
      <c r="E11" s="2"/>
      <c r="F11" s="2"/>
      <c r="G11" s="2"/>
      <c r="H11" s="2"/>
      <c r="I11" s="2"/>
      <c r="J11" s="2"/>
      <c r="K11" s="2"/>
      <c r="L11" s="2"/>
      <c r="M11" s="2"/>
    </row>
    <row r="12" customFormat="false" ht="15" hidden="false" customHeight="false" outlineLevel="0" collapsed="false">
      <c r="A12" s="7" t="s">
        <v>432</v>
      </c>
      <c r="B12" s="37" t="n">
        <f aca="false">SUMPRODUCT(((Annahmen!$C$145:$C$155="monatlich")*(25-Annahmen!$D$145:$D$155)+(Annahmen!$C$145:$C$155="einmalig")*(Annahmen!$D$145:$D$155&gt;=1)*(Annahmen!$D$145:$D$155&lt;=24))*Annahmen!$B$145:$B$155)</f>
        <v>5158.49084249084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customFormat="false" ht="15" hidden="false" customHeight="false" outlineLevel="0" collapsed="false">
      <c r="A16" s="32" t="str">
        <f aca="false">"Szenario vorsichtig – "&amp;Annahmen!$B$133</f>
        <v>Szenario vorsichtig – teures Hobby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customFormat="false" ht="42" hidden="false" customHeight="true" outlineLevel="0" collapsed="false">
      <c r="A17" s="31" t="s">
        <v>96</v>
      </c>
      <c r="B17" s="31" t="s">
        <v>323</v>
      </c>
      <c r="C17" s="31" t="s">
        <v>433</v>
      </c>
      <c r="D17" s="31" t="s">
        <v>434</v>
      </c>
      <c r="E17" s="31" t="s">
        <v>435</v>
      </c>
      <c r="F17" s="31" t="s">
        <v>436</v>
      </c>
      <c r="G17" s="31" t="s">
        <v>437</v>
      </c>
      <c r="H17" s="31" t="s">
        <v>438</v>
      </c>
      <c r="I17" s="31" t="s">
        <v>401</v>
      </c>
      <c r="J17" s="31" t="s">
        <v>428</v>
      </c>
      <c r="K17" s="31" t="s">
        <v>347</v>
      </c>
      <c r="L17" s="31" t="s">
        <v>348</v>
      </c>
      <c r="M17" s="31" t="s">
        <v>349</v>
      </c>
    </row>
    <row r="18" customFormat="false" ht="15" hidden="false" customHeight="false" outlineLevel="0" collapsed="false">
      <c r="A18" s="2" t="n">
        <v>1</v>
      </c>
      <c r="B18" s="2" t="s">
        <v>350</v>
      </c>
      <c r="C18" s="38" t="n">
        <f aca="false">TÆLLA!O18</f>
        <v>0</v>
      </c>
      <c r="D18" s="38" t="n">
        <f aca="false">'Read Layer'!T18</f>
        <v>0</v>
      </c>
      <c r="E18" s="38" t="n">
        <f aca="false">SOMNIO!Q18</f>
        <v>0</v>
      </c>
      <c r="F18" s="38" t="n">
        <f aca="false">TÆLLA!Y18</f>
        <v>-347.868930856434</v>
      </c>
      <c r="G18" s="38" t="n">
        <f aca="false">'Read Layer'!AA18</f>
        <v>-263.227570803181</v>
      </c>
      <c r="H18" s="38" t="n">
        <f aca="false">SOMNIO!U18</f>
        <v>-109.560493165371</v>
      </c>
      <c r="I18" s="37" t="n">
        <f aca="false">C18+D18+E18</f>
        <v>0</v>
      </c>
      <c r="J18" s="37" t="n">
        <f aca="false">F18+G18+H18</f>
        <v>-720.656994824986</v>
      </c>
      <c r="K18" s="37" t="n">
        <f aca="false">J18</f>
        <v>-720.656994824986</v>
      </c>
      <c r="L18" s="2" t="n">
        <f aca="false">IF(J18&gt;0,1,0)</f>
        <v>0</v>
      </c>
      <c r="M18" s="2" t="n">
        <f aca="false">IF(K18&gt;=0,1,0)</f>
        <v>0</v>
      </c>
    </row>
    <row r="19" customFormat="false" ht="15" hidden="false" customHeight="false" outlineLevel="0" collapsed="false">
      <c r="A19" s="2" t="n">
        <v>2</v>
      </c>
      <c r="B19" s="2" t="s">
        <v>351</v>
      </c>
      <c r="C19" s="38" t="n">
        <f aca="false">TÆLLA!O19</f>
        <v>0</v>
      </c>
      <c r="D19" s="38" t="n">
        <f aca="false">'Read Layer'!T19</f>
        <v>0</v>
      </c>
      <c r="E19" s="38" t="n">
        <f aca="false">SOMNIO!Q19</f>
        <v>0</v>
      </c>
      <c r="F19" s="38" t="n">
        <f aca="false">TÆLLA!Y19</f>
        <v>-207.804319045481</v>
      </c>
      <c r="G19" s="38" t="n">
        <f aca="false">'Read Layer'!AA19</f>
        <v>-100.827570803181</v>
      </c>
      <c r="H19" s="38" t="n">
        <f aca="false">SOMNIO!U19</f>
        <v>-28.3604931653712</v>
      </c>
      <c r="I19" s="37" t="n">
        <f aca="false">C19+D19+E19</f>
        <v>0</v>
      </c>
      <c r="J19" s="37" t="n">
        <f aca="false">F19+G19+H19</f>
        <v>-336.992383014032</v>
      </c>
      <c r="K19" s="37" t="n">
        <f aca="false">K18+J19</f>
        <v>-1057.64937783902</v>
      </c>
      <c r="L19" s="2" t="n">
        <f aca="false">IF(J19&gt;0,1,0)</f>
        <v>0</v>
      </c>
      <c r="M19" s="2" t="n">
        <f aca="false">IF(K19&gt;=0,1,0)</f>
        <v>0</v>
      </c>
    </row>
    <row r="20" customFormat="false" ht="15" hidden="false" customHeight="false" outlineLevel="0" collapsed="false">
      <c r="A20" s="2" t="n">
        <v>3</v>
      </c>
      <c r="B20" s="2" t="s">
        <v>352</v>
      </c>
      <c r="C20" s="38" t="n">
        <f aca="false">TÆLLA!O20</f>
        <v>0</v>
      </c>
      <c r="D20" s="38" t="n">
        <f aca="false">'Read Layer'!T20</f>
        <v>0</v>
      </c>
      <c r="E20" s="38" t="n">
        <f aca="false">SOMNIO!Q20</f>
        <v>0</v>
      </c>
      <c r="F20" s="38" t="n">
        <f aca="false">TÆLLA!Y20</f>
        <v>-185.468930856434</v>
      </c>
      <c r="G20" s="38" t="n">
        <f aca="false">'Read Layer'!AA20</f>
        <v>-380.827570803181</v>
      </c>
      <c r="H20" s="38" t="n">
        <f aca="false">SOMNIO!U20</f>
        <v>-98.3604931653712</v>
      </c>
      <c r="I20" s="37" t="n">
        <f aca="false">C20+D20+E20</f>
        <v>0</v>
      </c>
      <c r="J20" s="37" t="n">
        <f aca="false">F20+G20+H20</f>
        <v>-664.656994824986</v>
      </c>
      <c r="K20" s="37" t="n">
        <f aca="false">K19+J20</f>
        <v>-1722.306372664</v>
      </c>
      <c r="L20" s="2" t="n">
        <f aca="false">IF(J20&gt;0,1,0)</f>
        <v>0</v>
      </c>
      <c r="M20" s="2" t="n">
        <f aca="false">IF(K20&gt;=0,1,0)</f>
        <v>0</v>
      </c>
    </row>
    <row r="21" customFormat="false" ht="15" hidden="false" customHeight="false" outlineLevel="0" collapsed="false">
      <c r="A21" s="2" t="n">
        <v>4</v>
      </c>
      <c r="B21" s="2" t="s">
        <v>353</v>
      </c>
      <c r="C21" s="38" t="n">
        <f aca="false">TÆLLA!O21</f>
        <v>32.3594537815126</v>
      </c>
      <c r="D21" s="38" t="n">
        <f aca="false">'Read Layer'!T21</f>
        <v>0</v>
      </c>
      <c r="E21" s="38" t="n">
        <f aca="false">SOMNIO!Q21</f>
        <v>0</v>
      </c>
      <c r="F21" s="38" t="n">
        <f aca="false">TÆLLA!Y21</f>
        <v>-374.023022481738</v>
      </c>
      <c r="G21" s="38" t="n">
        <f aca="false">'Read Layer'!AA21</f>
        <v>-100.827570803181</v>
      </c>
      <c r="H21" s="38" t="n">
        <f aca="false">SOMNIO!U21</f>
        <v>-28.3604931653712</v>
      </c>
      <c r="I21" s="37" t="n">
        <f aca="false">C21+D21+E21</f>
        <v>32.3594537815126</v>
      </c>
      <c r="J21" s="37" t="n">
        <f aca="false">F21+G21+H21</f>
        <v>-503.21108645029</v>
      </c>
      <c r="K21" s="37" t="n">
        <f aca="false">K20+J21</f>
        <v>-2225.51745911429</v>
      </c>
      <c r="L21" s="2" t="n">
        <f aca="false">IF(J21&gt;0,1,0)</f>
        <v>0</v>
      </c>
      <c r="M21" s="2" t="n">
        <f aca="false">IF(K21&gt;=0,1,0)</f>
        <v>0</v>
      </c>
    </row>
    <row r="22" customFormat="false" ht="15" hidden="false" customHeight="false" outlineLevel="0" collapsed="false">
      <c r="A22" s="2" t="n">
        <v>5</v>
      </c>
      <c r="B22" s="2" t="s">
        <v>354</v>
      </c>
      <c r="C22" s="38" t="n">
        <f aca="false">TÆLLA!O22</f>
        <v>37.6205848067227</v>
      </c>
      <c r="D22" s="38" t="n">
        <f aca="false">'Read Layer'!T22</f>
        <v>102.9</v>
      </c>
      <c r="E22" s="38" t="n">
        <f aca="false">SOMNIO!Q22</f>
        <v>0</v>
      </c>
      <c r="F22" s="38" t="n">
        <f aca="false">TÆLLA!Y22</f>
        <v>-609.498796834948</v>
      </c>
      <c r="G22" s="38" t="n">
        <f aca="false">'Read Layer'!AA22</f>
        <v>-562.785679254534</v>
      </c>
      <c r="H22" s="38" t="n">
        <f aca="false">SOMNIO!U22</f>
        <v>-28.3604931653712</v>
      </c>
      <c r="I22" s="37" t="n">
        <f aca="false">C22+D22+E22</f>
        <v>140.520584806723</v>
      </c>
      <c r="J22" s="37" t="n">
        <f aca="false">F22+G22+H22</f>
        <v>-1200.64496925485</v>
      </c>
      <c r="K22" s="37" t="n">
        <f aca="false">K21+J22</f>
        <v>-3426.16242836915</v>
      </c>
      <c r="L22" s="2" t="n">
        <f aca="false">IF(J22&gt;0,1,0)</f>
        <v>0</v>
      </c>
      <c r="M22" s="2" t="n">
        <f aca="false">IF(K22&gt;=0,1,0)</f>
        <v>0</v>
      </c>
    </row>
    <row r="23" customFormat="false" ht="15" hidden="false" customHeight="false" outlineLevel="0" collapsed="false">
      <c r="A23" s="2" t="n">
        <v>6</v>
      </c>
      <c r="B23" s="2" t="s">
        <v>355</v>
      </c>
      <c r="C23" s="38" t="n">
        <f aca="false">TÆLLA!O23</f>
        <v>42.9134346773974</v>
      </c>
      <c r="D23" s="38" t="n">
        <f aca="false">'Read Layer'!T23</f>
        <v>102.9</v>
      </c>
      <c r="E23" s="38" t="n">
        <f aca="false">SOMNIO!Q23</f>
        <v>1.48719626168224</v>
      </c>
      <c r="F23" s="38" t="n">
        <f aca="false">TÆLLA!Y23</f>
        <v>-364.958977053714</v>
      </c>
      <c r="G23" s="38" t="n">
        <f aca="false">'Read Layer'!AA23</f>
        <v>-2.78567925453444</v>
      </c>
      <c r="H23" s="38" t="n">
        <f aca="false">SOMNIO!U23</f>
        <v>-26.873296903689</v>
      </c>
      <c r="I23" s="37" t="n">
        <f aca="false">C23+D23+E23</f>
        <v>147.30063093908</v>
      </c>
      <c r="J23" s="37" t="n">
        <f aca="false">F23+G23+H23</f>
        <v>-394.617953211938</v>
      </c>
      <c r="K23" s="37" t="n">
        <f aca="false">K22+J23</f>
        <v>-3820.78038158109</v>
      </c>
      <c r="L23" s="2" t="n">
        <f aca="false">IF(J23&gt;0,1,0)</f>
        <v>0</v>
      </c>
      <c r="M23" s="2" t="n">
        <f aca="false">IF(K23&gt;=0,1,0)</f>
        <v>0</v>
      </c>
    </row>
    <row r="24" customFormat="false" ht="15" hidden="false" customHeight="false" outlineLevel="0" collapsed="false">
      <c r="A24" s="2" t="n">
        <v>7</v>
      </c>
      <c r="B24" s="2" t="s">
        <v>356</v>
      </c>
      <c r="C24" s="38" t="n">
        <f aca="false">TÆLLA!O24</f>
        <v>48.2713494252177</v>
      </c>
      <c r="D24" s="38" t="n">
        <f aca="false">'Read Layer'!T24</f>
        <v>102.9</v>
      </c>
      <c r="E24" s="38" t="n">
        <f aca="false">SOMNIO!Q24</f>
        <v>2.97439252336449</v>
      </c>
      <c r="F24" s="38" t="n">
        <f aca="false">TÆLLA!Y24</f>
        <v>-360.374871583639</v>
      </c>
      <c r="G24" s="38" t="n">
        <f aca="false">'Read Layer'!AA24</f>
        <v>-2.78567925453444</v>
      </c>
      <c r="H24" s="38" t="n">
        <f aca="false">SOMNIO!U24</f>
        <v>-25.3861006420067</v>
      </c>
      <c r="I24" s="37" t="n">
        <f aca="false">C24+D24+E24</f>
        <v>154.145741948582</v>
      </c>
      <c r="J24" s="37" t="n">
        <f aca="false">F24+G24+H24</f>
        <v>-388.54665148018</v>
      </c>
      <c r="K24" s="37" t="n">
        <f aca="false">K23+J24</f>
        <v>-4209.32703306127</v>
      </c>
      <c r="L24" s="2" t="n">
        <f aca="false">IF(J24&gt;0,1,0)</f>
        <v>0</v>
      </c>
      <c r="M24" s="2" t="n">
        <f aca="false">IF(K24&gt;=0,1,0)</f>
        <v>0</v>
      </c>
    </row>
    <row r="25" customFormat="false" ht="15" hidden="false" customHeight="false" outlineLevel="0" collapsed="false">
      <c r="A25" s="2" t="n">
        <v>8</v>
      </c>
      <c r="B25" s="2" t="s">
        <v>357</v>
      </c>
      <c r="C25" s="38" t="n">
        <f aca="false">TÆLLA!O25</f>
        <v>53.727824346691</v>
      </c>
      <c r="D25" s="38" t="n">
        <f aca="false">'Read Layer'!T25</f>
        <v>314.58</v>
      </c>
      <c r="E25" s="38" t="n">
        <f aca="false">SOMNIO!Q25</f>
        <v>4.46158878504673</v>
      </c>
      <c r="F25" s="38" t="n">
        <f aca="false">TÆLLA!Y25</f>
        <v>-355.717732614154</v>
      </c>
      <c r="G25" s="38" t="n">
        <f aca="false">'Read Layer'!AA25</f>
        <v>204.992036273346</v>
      </c>
      <c r="H25" s="38" t="n">
        <f aca="false">SOMNIO!U25</f>
        <v>-23.8989043803245</v>
      </c>
      <c r="I25" s="37" t="n">
        <f aca="false">C25+D25+E25</f>
        <v>372.769413131738</v>
      </c>
      <c r="J25" s="37" t="n">
        <f aca="false">F25+G25+H25</f>
        <v>-174.624600721132</v>
      </c>
      <c r="K25" s="37" t="n">
        <f aca="false">K24+J25</f>
        <v>-4383.9516337824</v>
      </c>
      <c r="L25" s="2" t="n">
        <f aca="false">IF(J25&gt;0,1,0)</f>
        <v>0</v>
      </c>
      <c r="M25" s="2" t="n">
        <f aca="false">IF(K25&gt;=0,1,0)</f>
        <v>0</v>
      </c>
    </row>
    <row r="26" customFormat="false" ht="15" hidden="false" customHeight="false" outlineLevel="0" collapsed="false">
      <c r="A26" s="2" t="n">
        <v>9</v>
      </c>
      <c r="B26" s="2" t="s">
        <v>358</v>
      </c>
      <c r="C26" s="38" t="n">
        <f aca="false">TÆLLA!O26</f>
        <v>59.3167085738134</v>
      </c>
      <c r="D26" s="38" t="n">
        <f aca="false">'Read Layer'!T26</f>
        <v>314.58</v>
      </c>
      <c r="E26" s="38" t="n">
        <f aca="false">SOMNIO!Q26</f>
        <v>5.94878504672897</v>
      </c>
      <c r="F26" s="38" t="n">
        <f aca="false">TÆLLA!Y26</f>
        <v>-350.958579621674</v>
      </c>
      <c r="G26" s="38" t="n">
        <f aca="false">'Read Layer'!AA26</f>
        <v>204.992036273346</v>
      </c>
      <c r="H26" s="38" t="n">
        <f aca="false">SOMNIO!U26</f>
        <v>-22.4117081186422</v>
      </c>
      <c r="I26" s="37" t="n">
        <f aca="false">C26+D26+E26</f>
        <v>379.845493620542</v>
      </c>
      <c r="J26" s="37" t="n">
        <f aca="false">F26+G26+H26</f>
        <v>-168.37825146697</v>
      </c>
      <c r="K26" s="37" t="n">
        <f aca="false">K25+J26</f>
        <v>-4552.32988524937</v>
      </c>
      <c r="L26" s="2" t="n">
        <f aca="false">IF(J26&gt;0,1,0)</f>
        <v>0</v>
      </c>
      <c r="M26" s="2" t="n">
        <f aca="false">IF(K26&gt;=0,1,0)</f>
        <v>0</v>
      </c>
    </row>
    <row r="27" customFormat="false" ht="15" hidden="false" customHeight="false" outlineLevel="0" collapsed="false">
      <c r="A27" s="2" t="n">
        <v>10</v>
      </c>
      <c r="B27" s="2" t="s">
        <v>359</v>
      </c>
      <c r="C27" s="38" t="n">
        <f aca="false">TÆLLA!O27</f>
        <v>65.0724091535369</v>
      </c>
      <c r="D27" s="38" t="n">
        <f aca="false">'Read Layer'!T27</f>
        <v>314.58</v>
      </c>
      <c r="E27" s="38" t="n">
        <f aca="false">SOMNIO!Q27</f>
        <v>7.43598130841122</v>
      </c>
      <c r="F27" s="38" t="n">
        <f aca="false">TÆLLA!Y27</f>
        <v>-346.068023725818</v>
      </c>
      <c r="G27" s="38" t="n">
        <f aca="false">'Read Layer'!AA27</f>
        <v>204.992036273346</v>
      </c>
      <c r="H27" s="38" t="n">
        <f aca="false">SOMNIO!U27</f>
        <v>-20.92451185696</v>
      </c>
      <c r="I27" s="37" t="n">
        <f aca="false">C27+D27+E27</f>
        <v>387.088390461948</v>
      </c>
      <c r="J27" s="37" t="n">
        <f aca="false">F27+G27+H27</f>
        <v>-162.000499309432</v>
      </c>
      <c r="K27" s="37" t="n">
        <f aca="false">K26+J27</f>
        <v>-4714.3303845588</v>
      </c>
      <c r="L27" s="2" t="n">
        <f aca="false">IF(J27&gt;0,1,0)</f>
        <v>0</v>
      </c>
      <c r="M27" s="2" t="n">
        <f aca="false">IF(K27&gt;=0,1,0)</f>
        <v>0</v>
      </c>
    </row>
    <row r="28" customFormat="false" ht="15" hidden="false" customHeight="false" outlineLevel="0" collapsed="false">
      <c r="A28" s="2" t="n">
        <v>11</v>
      </c>
      <c r="B28" s="2" t="s">
        <v>360</v>
      </c>
      <c r="C28" s="38" t="n">
        <f aca="false">TÆLLA!O28</f>
        <v>71.030095711045</v>
      </c>
      <c r="D28" s="38" t="n">
        <f aca="false">'Read Layer'!T28</f>
        <v>314.58</v>
      </c>
      <c r="E28" s="38" t="n">
        <f aca="false">SOMNIO!Q28</f>
        <v>8.92317757009346</v>
      </c>
      <c r="F28" s="38" t="n">
        <f aca="false">TÆLLA!Y28</f>
        <v>-341.016091919515</v>
      </c>
      <c r="G28" s="38" t="n">
        <f aca="false">'Read Layer'!AA28</f>
        <v>204.992036273346</v>
      </c>
      <c r="H28" s="38" t="n">
        <f aca="false">SOMNIO!U28</f>
        <v>-19.4373155952778</v>
      </c>
      <c r="I28" s="37" t="n">
        <f aca="false">C28+D28+E28</f>
        <v>394.533273281138</v>
      </c>
      <c r="J28" s="37" t="n">
        <f aca="false">F28+G28+H28</f>
        <v>-155.461371241446</v>
      </c>
      <c r="K28" s="37" t="n">
        <f aca="false">K27+J28</f>
        <v>-4869.79175580025</v>
      </c>
      <c r="L28" s="2" t="n">
        <f aca="false">IF(J28&gt;0,1,0)</f>
        <v>0</v>
      </c>
      <c r="M28" s="2" t="n">
        <f aca="false">IF(K28&gt;=0,1,0)</f>
        <v>0</v>
      </c>
    </row>
    <row r="29" customFormat="false" ht="15" hidden="false" customHeight="false" outlineLevel="0" collapsed="false">
      <c r="A29" s="2" t="n">
        <v>12</v>
      </c>
      <c r="B29" s="2" t="s">
        <v>361</v>
      </c>
      <c r="C29" s="38" t="n">
        <f aca="false">TÆLLA!O29</f>
        <v>77.2259067313638</v>
      </c>
      <c r="D29" s="38" t="n">
        <f aca="false">'Read Layer'!T29</f>
        <v>314.58</v>
      </c>
      <c r="E29" s="38" t="n">
        <f aca="false">SOMNIO!Q29</f>
        <v>10.4103738317757</v>
      </c>
      <c r="F29" s="38" t="n">
        <f aca="false">TÆLLA!Y29</f>
        <v>-335.772050269313</v>
      </c>
      <c r="G29" s="38" t="n">
        <f aca="false">'Read Layer'!AA29</f>
        <v>204.992036273346</v>
      </c>
      <c r="H29" s="38" t="n">
        <f aca="false">SOMNIO!U29</f>
        <v>-17.9501193335955</v>
      </c>
      <c r="I29" s="37" t="n">
        <f aca="false">C29+D29+E29</f>
        <v>402.216280563139</v>
      </c>
      <c r="J29" s="37" t="n">
        <f aca="false">F29+G29+H29</f>
        <v>-148.730133329562</v>
      </c>
      <c r="K29" s="37" t="n">
        <f aca="false">K28+J29</f>
        <v>-5018.52188912981</v>
      </c>
      <c r="L29" s="2" t="n">
        <f aca="false">IF(J29&gt;0,1,0)</f>
        <v>0</v>
      </c>
      <c r="M29" s="2" t="n">
        <f aca="false">IF(K29&gt;=0,1,0)</f>
        <v>0</v>
      </c>
    </row>
    <row r="30" customFormat="false" ht="15" hidden="false" customHeight="false" outlineLevel="0" collapsed="false">
      <c r="A30" s="2" t="n">
        <v>13</v>
      </c>
      <c r="B30" s="2" t="s">
        <v>362</v>
      </c>
      <c r="C30" s="38" t="n">
        <f aca="false">TÆLLA!O30</f>
        <v>83.6971584544398</v>
      </c>
      <c r="D30" s="38" t="n">
        <f aca="false">'Read Layer'!T30</f>
        <v>314.58</v>
      </c>
      <c r="E30" s="38" t="n">
        <f aca="false">SOMNIO!Q30</f>
        <v>11.8975700934579</v>
      </c>
      <c r="F30" s="38" t="n">
        <f aca="false">TÆLLA!Y30</f>
        <v>-330.3042252165</v>
      </c>
      <c r="G30" s="38" t="n">
        <f aca="false">'Read Layer'!AA30</f>
        <v>204.992036273346</v>
      </c>
      <c r="H30" s="38" t="n">
        <f aca="false">SOMNIO!U30</f>
        <v>-16.4629230719133</v>
      </c>
      <c r="I30" s="37" t="n">
        <f aca="false">C30+D30+E30</f>
        <v>410.174728547898</v>
      </c>
      <c r="J30" s="37" t="n">
        <f aca="false">F30+G30+H30</f>
        <v>-141.775112015067</v>
      </c>
      <c r="K30" s="37" t="n">
        <f aca="false">K29+J30</f>
        <v>-5160.29700114487</v>
      </c>
      <c r="L30" s="2" t="n">
        <f aca="false">IF(J30&gt;0,1,0)</f>
        <v>0</v>
      </c>
      <c r="M30" s="2" t="n">
        <f aca="false">IF(K30&gt;=0,1,0)</f>
        <v>0</v>
      </c>
    </row>
    <row r="31" customFormat="false" ht="15" hidden="false" customHeight="false" outlineLevel="0" collapsed="false">
      <c r="A31" s="2" t="n">
        <v>14</v>
      </c>
      <c r="B31" s="2" t="s">
        <v>363</v>
      </c>
      <c r="C31" s="38" t="n">
        <f aca="false">TÆLLA!O31</f>
        <v>90.4825573393915</v>
      </c>
      <c r="D31" s="38" t="n">
        <f aca="false">'Read Layer'!T31</f>
        <v>314.58</v>
      </c>
      <c r="E31" s="38" t="n">
        <f aca="false">SOMNIO!Q31</f>
        <v>13.3847663551402</v>
      </c>
      <c r="F31" s="38" t="n">
        <f aca="false">TÆLLA!Y31</f>
        <v>-324.579822143507</v>
      </c>
      <c r="G31" s="38" t="n">
        <f aca="false">'Read Layer'!AA31</f>
        <v>204.992036273346</v>
      </c>
      <c r="H31" s="38" t="n">
        <f aca="false">SOMNIO!U31</f>
        <v>-14.975726810231</v>
      </c>
      <c r="I31" s="37" t="n">
        <f aca="false">C31+D31+E31</f>
        <v>418.447323694532</v>
      </c>
      <c r="J31" s="37" t="n">
        <f aca="false">F31+G31+H31</f>
        <v>-134.563512680392</v>
      </c>
      <c r="K31" s="37" t="n">
        <f aca="false">K30+J31</f>
        <v>-5294.86051382527</v>
      </c>
      <c r="L31" s="2" t="n">
        <f aca="false">IF(J31&gt;0,1,0)</f>
        <v>0</v>
      </c>
      <c r="M31" s="2" t="n">
        <f aca="false">IF(K31&gt;=0,1,0)</f>
        <v>0</v>
      </c>
    </row>
    <row r="32" customFormat="false" ht="15" hidden="false" customHeight="false" outlineLevel="0" collapsed="false">
      <c r="A32" s="2" t="n">
        <v>15</v>
      </c>
      <c r="B32" s="2" t="s">
        <v>364</v>
      </c>
      <c r="C32" s="38" t="n">
        <f aca="false">TÆLLA!O32</f>
        <v>97.6224170129478</v>
      </c>
      <c r="D32" s="38" t="n">
        <f aca="false">'Read Layer'!T32</f>
        <v>314.58</v>
      </c>
      <c r="E32" s="38" t="n">
        <f aca="false">SOMNIO!Q32</f>
        <v>14.8719626168224</v>
      </c>
      <c r="F32" s="38" t="n">
        <f aca="false">TÆLLA!Y32</f>
        <v>-318.564740404609</v>
      </c>
      <c r="G32" s="38" t="n">
        <f aca="false">'Read Layer'!AA32</f>
        <v>204.992036273346</v>
      </c>
      <c r="H32" s="38" t="n">
        <f aca="false">SOMNIO!U32</f>
        <v>-13.4885305485488</v>
      </c>
      <c r="I32" s="37" t="n">
        <f aca="false">C32+D32+E32</f>
        <v>427.07437962977</v>
      </c>
      <c r="J32" s="37" t="n">
        <f aca="false">F32+G32+H32</f>
        <v>-127.061234679812</v>
      </c>
      <c r="K32" s="37" t="n">
        <f aca="false">K31+J32</f>
        <v>-5421.92174850508</v>
      </c>
      <c r="L32" s="2" t="n">
        <f aca="false">IF(J32&gt;0,1,0)</f>
        <v>0</v>
      </c>
      <c r="M32" s="2" t="n">
        <f aca="false">IF(K32&gt;=0,1,0)</f>
        <v>0</v>
      </c>
    </row>
    <row r="33" customFormat="false" ht="15" hidden="false" customHeight="false" outlineLevel="0" collapsed="false">
      <c r="A33" s="2" t="n">
        <v>16</v>
      </c>
      <c r="B33" s="2" t="s">
        <v>365</v>
      </c>
      <c r="C33" s="38" t="n">
        <f aca="false">TÆLLA!O33</f>
        <v>105.158880573775</v>
      </c>
      <c r="D33" s="38" t="n">
        <f aca="false">'Read Layer'!T33</f>
        <v>314.58</v>
      </c>
      <c r="E33" s="38" t="n">
        <f aca="false">SOMNIO!Q33</f>
        <v>16.3591588785047</v>
      </c>
      <c r="F33" s="38" t="n">
        <f aca="false">TÆLLA!Y33</f>
        <v>-312.223384056293</v>
      </c>
      <c r="G33" s="38" t="n">
        <f aca="false">'Read Layer'!AA33</f>
        <v>204.992036273346</v>
      </c>
      <c r="H33" s="38" t="n">
        <f aca="false">SOMNIO!U33</f>
        <v>-12.0013342868665</v>
      </c>
      <c r="I33" s="37" t="n">
        <f aca="false">C33+D33+E33</f>
        <v>436.09803945228</v>
      </c>
      <c r="J33" s="37" t="n">
        <f aca="false">F33+G33+H33</f>
        <v>-119.232682069814</v>
      </c>
      <c r="K33" s="37" t="n">
        <f aca="false">K32+J33</f>
        <v>-5541.15443057489</v>
      </c>
      <c r="L33" s="2" t="n">
        <f aca="false">IF(J33&gt;0,1,0)</f>
        <v>0</v>
      </c>
      <c r="M33" s="2" t="n">
        <f aca="false">IF(K33&gt;=0,1,0)</f>
        <v>0</v>
      </c>
    </row>
    <row r="34" customFormat="false" ht="15" hidden="false" customHeight="false" outlineLevel="0" collapsed="false">
      <c r="A34" s="2" t="n">
        <v>17</v>
      </c>
      <c r="B34" s="2" t="s">
        <v>366</v>
      </c>
      <c r="C34" s="38" t="n">
        <f aca="false">TÆLLA!O34</f>
        <v>113.13614907694</v>
      </c>
      <c r="D34" s="38" t="n">
        <f aca="false">'Read Layer'!T34</f>
        <v>314.58</v>
      </c>
      <c r="E34" s="38" t="n">
        <f aca="false">SOMNIO!Q34</f>
        <v>17.8463551401869</v>
      </c>
      <c r="F34" s="38" t="n">
        <f aca="false">TÆLLA!Y34</f>
        <v>-305.518467561975</v>
      </c>
      <c r="G34" s="38" t="n">
        <f aca="false">'Read Layer'!AA34</f>
        <v>204.992036273346</v>
      </c>
      <c r="H34" s="38" t="n">
        <f aca="false">SOMNIO!U34</f>
        <v>-10.5141380251843</v>
      </c>
      <c r="I34" s="37" t="n">
        <f aca="false">C34+D34+E34</f>
        <v>445.562504217127</v>
      </c>
      <c r="J34" s="37" t="n">
        <f aca="false">F34+G34+H34</f>
        <v>-111.040569313813</v>
      </c>
      <c r="K34" s="37" t="n">
        <f aca="false">K33+J34</f>
        <v>-5652.19499988871</v>
      </c>
      <c r="L34" s="2" t="n">
        <f aca="false">IF(J34&gt;0,1,0)</f>
        <v>0</v>
      </c>
      <c r="M34" s="2" t="n">
        <f aca="false">IF(K34&gt;=0,1,0)</f>
        <v>0</v>
      </c>
    </row>
    <row r="35" customFormat="false" ht="15" hidden="false" customHeight="false" outlineLevel="0" collapsed="false">
      <c r="A35" s="2" t="n">
        <v>18</v>
      </c>
      <c r="B35" s="2" t="s">
        <v>367</v>
      </c>
      <c r="C35" s="38" t="n">
        <f aca="false">TÆLLA!O35</f>
        <v>121.600716969486</v>
      </c>
      <c r="D35" s="38" t="n">
        <f aca="false">'Read Layer'!T35</f>
        <v>314.58</v>
      </c>
      <c r="E35" s="38" t="n">
        <f aca="false">SOMNIO!Q35</f>
        <v>19.3335514018692</v>
      </c>
      <c r="F35" s="38" t="n">
        <f aca="false">TÆLLA!Y35</f>
        <v>-298.41081578955</v>
      </c>
      <c r="G35" s="38" t="n">
        <f aca="false">'Read Layer'!AA35</f>
        <v>204.992036273346</v>
      </c>
      <c r="H35" s="38" t="n">
        <f aca="false">SOMNIO!U35</f>
        <v>-9.02694176350206</v>
      </c>
      <c r="I35" s="37" t="n">
        <f aca="false">C35+D35+E35</f>
        <v>455.514268371356</v>
      </c>
      <c r="J35" s="37" t="n">
        <f aca="false">F35+G35+H35</f>
        <v>-102.445721279705</v>
      </c>
      <c r="K35" s="37" t="n">
        <f aca="false">K34+J35</f>
        <v>-5754.64072116841</v>
      </c>
      <c r="L35" s="2" t="n">
        <f aca="false">IF(J35&gt;0,1,0)</f>
        <v>0</v>
      </c>
      <c r="M35" s="2" t="n">
        <f aca="false">IF(K35&gt;=0,1,0)</f>
        <v>0</v>
      </c>
    </row>
    <row r="36" customFormat="false" ht="15" hidden="false" customHeight="false" outlineLevel="0" collapsed="false">
      <c r="A36" s="2" t="n">
        <v>19</v>
      </c>
      <c r="B36" s="2" t="s">
        <v>368</v>
      </c>
      <c r="C36" s="38" t="n">
        <f aca="false">TÆLLA!O36</f>
        <v>130.601615187115</v>
      </c>
      <c r="D36" s="38" t="n">
        <f aca="false">'Read Layer'!T36</f>
        <v>314.58</v>
      </c>
      <c r="E36" s="38" t="n">
        <f aca="false">SOMNIO!Q36</f>
        <v>20.8207476635514</v>
      </c>
      <c r="F36" s="38" t="n">
        <f aca="false">TÆLLA!Y36</f>
        <v>-290.859157669986</v>
      </c>
      <c r="G36" s="38" t="n">
        <f aca="false">'Read Layer'!AA36</f>
        <v>204.992036273346</v>
      </c>
      <c r="H36" s="38" t="n">
        <f aca="false">SOMNIO!U36</f>
        <v>-7.53974550181981</v>
      </c>
      <c r="I36" s="37" t="n">
        <f aca="false">C36+D36+E36</f>
        <v>466.002362850666</v>
      </c>
      <c r="J36" s="37" t="n">
        <f aca="false">F36+G36+H36</f>
        <v>-93.4068668984599</v>
      </c>
      <c r="K36" s="37" t="n">
        <f aca="false">K35+J36</f>
        <v>-5848.04758806687</v>
      </c>
      <c r="L36" s="2" t="n">
        <f aca="false">IF(J36&gt;0,1,0)</f>
        <v>0</v>
      </c>
      <c r="M36" s="2" t="n">
        <f aca="false">IF(K36&gt;=0,1,0)</f>
        <v>0</v>
      </c>
    </row>
    <row r="37" customFormat="false" ht="15" hidden="false" customHeight="false" outlineLevel="0" collapsed="false">
      <c r="A37" s="2" t="n">
        <v>20</v>
      </c>
      <c r="B37" s="2" t="s">
        <v>369</v>
      </c>
      <c r="C37" s="38" t="n">
        <f aca="false">TÆLLA!O37</f>
        <v>140.190662551142</v>
      </c>
      <c r="D37" s="38" t="n">
        <f aca="false">'Read Layer'!T37</f>
        <v>314.58</v>
      </c>
      <c r="E37" s="38" t="n">
        <f aca="false">SOMNIO!Q37</f>
        <v>22.3079439252336</v>
      </c>
      <c r="F37" s="38" t="n">
        <f aca="false">TÆLLA!Y37</f>
        <v>-282.819912942626</v>
      </c>
      <c r="G37" s="38" t="n">
        <f aca="false">'Read Layer'!AA37</f>
        <v>204.992036273346</v>
      </c>
      <c r="H37" s="38" t="n">
        <f aca="false">SOMNIO!U37</f>
        <v>-6.05254924013757</v>
      </c>
      <c r="I37" s="37" t="n">
        <f aca="false">C37+D37+E37</f>
        <v>477.078606476375</v>
      </c>
      <c r="J37" s="37" t="n">
        <f aca="false">F37+G37+H37</f>
        <v>-83.8804259094177</v>
      </c>
      <c r="K37" s="37" t="n">
        <f aca="false">K36+J37</f>
        <v>-5931.92801397629</v>
      </c>
      <c r="L37" s="2" t="n">
        <f aca="false">IF(J37&gt;0,1,0)</f>
        <v>0</v>
      </c>
      <c r="M37" s="2" t="n">
        <f aca="false">IF(K37&gt;=0,1,0)</f>
        <v>0</v>
      </c>
    </row>
    <row r="38" customFormat="false" ht="15" hidden="false" customHeight="false" outlineLevel="0" collapsed="false">
      <c r="A38" s="2" t="n">
        <v>21</v>
      </c>
      <c r="B38" s="2" t="s">
        <v>370</v>
      </c>
      <c r="C38" s="38" t="n">
        <f aca="false">TÆLLA!O38</f>
        <v>150.422726021915</v>
      </c>
      <c r="D38" s="38" t="n">
        <f aca="false">'Read Layer'!T38</f>
        <v>314.58</v>
      </c>
      <c r="E38" s="38" t="n">
        <f aca="false">SOMNIO!Q38</f>
        <v>23.7951401869159</v>
      </c>
      <c r="F38" s="38" t="n">
        <f aca="false">TÆLLA!Y38</f>
        <v>-274.246971479958</v>
      </c>
      <c r="G38" s="38" t="n">
        <f aca="false">'Read Layer'!AA38</f>
        <v>204.992036273346</v>
      </c>
      <c r="H38" s="38" t="n">
        <f aca="false">SOMNIO!U38</f>
        <v>-4.56535297845533</v>
      </c>
      <c r="I38" s="37" t="n">
        <f aca="false">C38+D38+E38</f>
        <v>488.797866208831</v>
      </c>
      <c r="J38" s="37" t="n">
        <f aca="false">F38+G38+H38</f>
        <v>-73.8202881850674</v>
      </c>
      <c r="K38" s="37" t="n">
        <f aca="false">K37+J38</f>
        <v>-6005.74830216136</v>
      </c>
      <c r="L38" s="2" t="n">
        <f aca="false">IF(J38&gt;0,1,0)</f>
        <v>0</v>
      </c>
      <c r="M38" s="2" t="n">
        <f aca="false">IF(K38&gt;=0,1,0)</f>
        <v>0</v>
      </c>
    </row>
    <row r="39" customFormat="false" ht="15" hidden="false" customHeight="false" outlineLevel="0" collapsed="false">
      <c r="A39" s="2" t="n">
        <v>22</v>
      </c>
      <c r="B39" s="2" t="s">
        <v>371</v>
      </c>
      <c r="C39" s="38" t="n">
        <f aca="false">TÆLLA!O39</f>
        <v>161.355990267027</v>
      </c>
      <c r="D39" s="38" t="n">
        <f aca="false">'Read Layer'!T39</f>
        <v>314.58</v>
      </c>
      <c r="E39" s="38" t="n">
        <f aca="false">SOMNIO!Q39</f>
        <v>25.2823364485981</v>
      </c>
      <c r="F39" s="38" t="n">
        <f aca="false">TÆLLA!Y39</f>
        <v>-265.091464763569</v>
      </c>
      <c r="G39" s="38" t="n">
        <f aca="false">'Read Layer'!AA39</f>
        <v>204.992036273346</v>
      </c>
      <c r="H39" s="38" t="n">
        <f aca="false">SOMNIO!U39</f>
        <v>-3.07815671677308</v>
      </c>
      <c r="I39" s="37" t="n">
        <f aca="false">C39+D39+E39</f>
        <v>501.218326715625</v>
      </c>
      <c r="J39" s="37" t="n">
        <f aca="false">F39+G39+H39</f>
        <v>-63.1775852069964</v>
      </c>
      <c r="K39" s="37" t="n">
        <f aca="false">K38+J39</f>
        <v>-6068.92588736835</v>
      </c>
      <c r="L39" s="2" t="n">
        <f aca="false">IF(J39&gt;0,1,0)</f>
        <v>0</v>
      </c>
      <c r="M39" s="2" t="n">
        <f aca="false">IF(K39&gt;=0,1,0)</f>
        <v>0</v>
      </c>
    </row>
    <row r="40" customFormat="false" ht="15" hidden="false" customHeight="false" outlineLevel="0" collapsed="false">
      <c r="A40" s="2" t="n">
        <v>23</v>
      </c>
      <c r="B40" s="2" t="s">
        <v>372</v>
      </c>
      <c r="C40" s="38" t="n">
        <f aca="false">TÆLLA!O40</f>
        <v>173.052236887055</v>
      </c>
      <c r="D40" s="38" t="n">
        <f aca="false">'Read Layer'!T40</f>
        <v>314.58</v>
      </c>
      <c r="E40" s="38" t="n">
        <f aca="false">SOMNIO!Q40</f>
        <v>26.7695327102804</v>
      </c>
      <c r="F40" s="38" t="n">
        <f aca="false">TÆLLA!Y40</f>
        <v>-255.30152917617</v>
      </c>
      <c r="G40" s="38" t="n">
        <f aca="false">'Read Layer'!AA40</f>
        <v>204.992036273346</v>
      </c>
      <c r="H40" s="38" t="n">
        <f aca="false">SOMNIO!U40</f>
        <v>-1.59096045509084</v>
      </c>
      <c r="I40" s="37" t="n">
        <f aca="false">C40+D40+E40</f>
        <v>514.401769597335</v>
      </c>
      <c r="J40" s="37" t="n">
        <f aca="false">F40+G40+H40</f>
        <v>-51.9004533579143</v>
      </c>
      <c r="K40" s="37" t="n">
        <f aca="false">K39+J40</f>
        <v>-6120.82634072627</v>
      </c>
      <c r="L40" s="2" t="n">
        <f aca="false">IF(J40&gt;0,1,0)</f>
        <v>0</v>
      </c>
      <c r="M40" s="2" t="n">
        <f aca="false">IF(K40&gt;=0,1,0)</f>
        <v>0</v>
      </c>
    </row>
    <row r="41" customFormat="false" ht="15" hidden="false" customHeight="false" outlineLevel="0" collapsed="false">
      <c r="A41" s="2" t="n">
        <v>24</v>
      </c>
      <c r="B41" s="2" t="s">
        <v>373</v>
      </c>
      <c r="C41" s="38" t="n">
        <f aca="false">TÆLLA!O41</f>
        <v>185.577133504909</v>
      </c>
      <c r="D41" s="38" t="n">
        <f aca="false">'Read Layer'!T41</f>
        <v>314.58</v>
      </c>
      <c r="E41" s="38" t="n">
        <f aca="false">SOMNIO!Q41</f>
        <v>28.2567289719626</v>
      </c>
      <c r="F41" s="38" t="n">
        <f aca="false">TÆLLA!Y41</f>
        <v>-244.822060884715</v>
      </c>
      <c r="G41" s="38" t="n">
        <f aca="false">'Read Layer'!AA41</f>
        <v>204.992036273346</v>
      </c>
      <c r="H41" s="38" t="n">
        <f aca="false">SOMNIO!U41</f>
        <v>-0.103764193408598</v>
      </c>
      <c r="I41" s="37" t="n">
        <f aca="false">C41+D41+E41</f>
        <v>528.413862476872</v>
      </c>
      <c r="J41" s="37" t="n">
        <f aca="false">F41+G41+H41</f>
        <v>-39.9337888047772</v>
      </c>
      <c r="K41" s="37" t="n">
        <f aca="false">K40+J41</f>
        <v>-6160.76012953104</v>
      </c>
      <c r="L41" s="2" t="n">
        <f aca="false">IF(J41&gt;0,1,0)</f>
        <v>0</v>
      </c>
      <c r="M41" s="2" t="n">
        <f aca="false">IF(K41&gt;=0,1,0)</f>
        <v>0</v>
      </c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customFormat="false" ht="15" hidden="false" customHeight="false" outlineLevel="0" collapsed="false">
      <c r="A45" s="32" t="str">
        <f aca="false">"Szenario mittel – "&amp;Annahmen!$C$133</f>
        <v>Szenario mittel – profitabler Nebenerwerb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customFormat="false" ht="42" hidden="false" customHeight="true" outlineLevel="0" collapsed="false">
      <c r="A46" s="31" t="s">
        <v>96</v>
      </c>
      <c r="B46" s="31" t="s">
        <v>323</v>
      </c>
      <c r="C46" s="31" t="s">
        <v>433</v>
      </c>
      <c r="D46" s="31" t="s">
        <v>434</v>
      </c>
      <c r="E46" s="31" t="s">
        <v>435</v>
      </c>
      <c r="F46" s="31" t="s">
        <v>436</v>
      </c>
      <c r="G46" s="31" t="s">
        <v>437</v>
      </c>
      <c r="H46" s="31" t="s">
        <v>438</v>
      </c>
      <c r="I46" s="31" t="s">
        <v>401</v>
      </c>
      <c r="J46" s="31" t="s">
        <v>428</v>
      </c>
      <c r="K46" s="31" t="s">
        <v>347</v>
      </c>
      <c r="L46" s="31" t="s">
        <v>348</v>
      </c>
      <c r="M46" s="31" t="s">
        <v>349</v>
      </c>
    </row>
    <row r="47" customFormat="false" ht="15" hidden="false" customHeight="false" outlineLevel="0" collapsed="false">
      <c r="A47" s="2" t="n">
        <v>1</v>
      </c>
      <c r="B47" s="2" t="s">
        <v>350</v>
      </c>
      <c r="C47" s="38" t="n">
        <f aca="false">TÆLLA!O47</f>
        <v>0</v>
      </c>
      <c r="D47" s="38" t="n">
        <f aca="false">'Read Layer'!T47</f>
        <v>0</v>
      </c>
      <c r="E47" s="38" t="n">
        <f aca="false">SOMNIO!Q47</f>
        <v>0</v>
      </c>
      <c r="F47" s="38" t="n">
        <f aca="false">TÆLLA!Y47</f>
        <v>-463.352781752178</v>
      </c>
      <c r="G47" s="38" t="n">
        <f aca="false">'Read Layer'!AA47</f>
        <v>-363.227570803181</v>
      </c>
      <c r="H47" s="38" t="n">
        <f aca="false">SOMNIO!U47</f>
        <v>-109.560493165371</v>
      </c>
      <c r="I47" s="37" t="n">
        <f aca="false">C47+D47+E47</f>
        <v>0</v>
      </c>
      <c r="J47" s="37" t="n">
        <f aca="false">F47+G47+H47</f>
        <v>-936.14084572073</v>
      </c>
      <c r="K47" s="37" t="n">
        <f aca="false">J47</f>
        <v>-936.14084572073</v>
      </c>
      <c r="L47" s="2" t="n">
        <f aca="false">IF(J47&gt;0,1,0)</f>
        <v>0</v>
      </c>
      <c r="M47" s="2" t="n">
        <f aca="false">IF(K47&gt;=0,1,0)</f>
        <v>0</v>
      </c>
    </row>
    <row r="48" customFormat="false" ht="15" hidden="false" customHeight="false" outlineLevel="0" collapsed="false">
      <c r="A48" s="2" t="n">
        <v>2</v>
      </c>
      <c r="B48" s="2" t="s">
        <v>351</v>
      </c>
      <c r="C48" s="38" t="n">
        <f aca="false">TÆLLA!O48</f>
        <v>0</v>
      </c>
      <c r="D48" s="38" t="n">
        <f aca="false">'Read Layer'!T48</f>
        <v>0</v>
      </c>
      <c r="E48" s="38" t="n">
        <f aca="false">SOMNIO!Q48</f>
        <v>0</v>
      </c>
      <c r="F48" s="38" t="n">
        <f aca="false">TÆLLA!Y48</f>
        <v>-323.288169941225</v>
      </c>
      <c r="G48" s="38" t="n">
        <f aca="false">'Read Layer'!AA48</f>
        <v>-200.827570803181</v>
      </c>
      <c r="H48" s="38" t="n">
        <f aca="false">SOMNIO!U48</f>
        <v>-28.3604931653712</v>
      </c>
      <c r="I48" s="37" t="n">
        <f aca="false">C48+D48+E48</f>
        <v>0</v>
      </c>
      <c r="J48" s="37" t="n">
        <f aca="false">F48+G48+H48</f>
        <v>-552.476233909776</v>
      </c>
      <c r="K48" s="37" t="n">
        <f aca="false">K47+J48</f>
        <v>-1488.61707963051</v>
      </c>
      <c r="L48" s="2" t="n">
        <f aca="false">IF(J48&gt;0,1,0)</f>
        <v>0</v>
      </c>
      <c r="M48" s="2" t="n">
        <f aca="false">IF(K48&gt;=0,1,0)</f>
        <v>0</v>
      </c>
    </row>
    <row r="49" customFormat="false" ht="15" hidden="false" customHeight="false" outlineLevel="0" collapsed="false">
      <c r="A49" s="2" t="n">
        <v>3</v>
      </c>
      <c r="B49" s="2" t="s">
        <v>352</v>
      </c>
      <c r="C49" s="38" t="n">
        <f aca="false">TÆLLA!O49</f>
        <v>200.152661064426</v>
      </c>
      <c r="D49" s="38" t="n">
        <f aca="false">'Read Layer'!T49</f>
        <v>0</v>
      </c>
      <c r="E49" s="38" t="n">
        <f aca="false">SOMNIO!Q49</f>
        <v>0</v>
      </c>
      <c r="F49" s="38" t="n">
        <f aca="false">TÆLLA!Y49</f>
        <v>-702.195546944303</v>
      </c>
      <c r="G49" s="38" t="n">
        <f aca="false">'Read Layer'!AA49</f>
        <v>-480.827570803181</v>
      </c>
      <c r="H49" s="38" t="n">
        <f aca="false">SOMNIO!U49</f>
        <v>-98.3604931653712</v>
      </c>
      <c r="I49" s="37" t="n">
        <f aca="false">C49+D49+E49</f>
        <v>200.152661064426</v>
      </c>
      <c r="J49" s="37" t="n">
        <f aca="false">F49+G49+H49</f>
        <v>-1281.38361091285</v>
      </c>
      <c r="K49" s="37" t="n">
        <f aca="false">K48+J49</f>
        <v>-2770.00069054336</v>
      </c>
      <c r="L49" s="2" t="n">
        <f aca="false">IF(J49&gt;0,1,0)</f>
        <v>0</v>
      </c>
      <c r="M49" s="2" t="n">
        <f aca="false">IF(K49&gt;=0,1,0)</f>
        <v>0</v>
      </c>
    </row>
    <row r="50" customFormat="false" ht="15" hidden="false" customHeight="false" outlineLevel="0" collapsed="false">
      <c r="A50" s="2" t="n">
        <v>4</v>
      </c>
      <c r="B50" s="2" t="s">
        <v>353</v>
      </c>
      <c r="C50" s="38" t="n">
        <f aca="false">TÆLLA!O50</f>
        <v>229.180332107843</v>
      </c>
      <c r="D50" s="38" t="n">
        <f aca="false">'Read Layer'!T50</f>
        <v>1505.35806451613</v>
      </c>
      <c r="E50" s="38" t="n">
        <f aca="false">SOMNIO!Q50</f>
        <v>9.56845794392523</v>
      </c>
      <c r="F50" s="38" t="n">
        <f aca="false">TÆLLA!Y50</f>
        <v>-676.742093657801</v>
      </c>
      <c r="G50" s="38" t="n">
        <f aca="false">'Read Layer'!AA50</f>
        <v>1279.07464883754</v>
      </c>
      <c r="H50" s="38" t="n">
        <f aca="false">SOMNIO!U50</f>
        <v>-118.792035221446</v>
      </c>
      <c r="I50" s="37" t="n">
        <f aca="false">C50+D50+E50</f>
        <v>1744.1068545679</v>
      </c>
      <c r="J50" s="37" t="n">
        <f aca="false">F50+G50+H50</f>
        <v>483.540519958297</v>
      </c>
      <c r="K50" s="37" t="n">
        <f aca="false">K49+J50</f>
        <v>-2286.46017058506</v>
      </c>
      <c r="L50" s="2" t="n">
        <f aca="false">IF(J50&gt;0,1,0)</f>
        <v>1</v>
      </c>
      <c r="M50" s="2" t="n">
        <f aca="false">IF(K50&gt;=0,1,0)</f>
        <v>0</v>
      </c>
    </row>
    <row r="51" customFormat="false" ht="15" hidden="false" customHeight="false" outlineLevel="0" collapsed="false">
      <c r="A51" s="2" t="n">
        <v>5</v>
      </c>
      <c r="B51" s="2" t="s">
        <v>354</v>
      </c>
      <c r="C51" s="38" t="n">
        <f aca="false">TÆLLA!O51</f>
        <v>261.047050861574</v>
      </c>
      <c r="D51" s="38" t="n">
        <f aca="false">'Read Layer'!T51</f>
        <v>1505.35806451613</v>
      </c>
      <c r="E51" s="38" t="n">
        <f aca="false">SOMNIO!Q51</f>
        <v>19.1369158878505</v>
      </c>
      <c r="F51" s="38" t="n">
        <f aca="false">TÆLLA!Y51</f>
        <v>-888.837613986547</v>
      </c>
      <c r="G51" s="38" t="n">
        <f aca="false">'Read Layer'!AA51</f>
        <v>719.074648837544</v>
      </c>
      <c r="H51" s="38" t="n">
        <f aca="false">SOMNIO!U51</f>
        <v>-109.223577277521</v>
      </c>
      <c r="I51" s="37" t="n">
        <f aca="false">C51+D51+E51</f>
        <v>1785.54203126555</v>
      </c>
      <c r="J51" s="37" t="n">
        <f aca="false">F51+G51+H51</f>
        <v>-278.986542426524</v>
      </c>
      <c r="K51" s="37" t="n">
        <f aca="false">K50+J51</f>
        <v>-2565.44671301159</v>
      </c>
      <c r="L51" s="2" t="n">
        <f aca="false">IF(J51&gt;0,1,0)</f>
        <v>0</v>
      </c>
      <c r="M51" s="2" t="n">
        <f aca="false">IF(K51&gt;=0,1,0)</f>
        <v>0</v>
      </c>
    </row>
    <row r="52" customFormat="false" ht="15" hidden="false" customHeight="false" outlineLevel="0" collapsed="false">
      <c r="A52" s="2" t="n">
        <v>6</v>
      </c>
      <c r="B52" s="2" t="s">
        <v>355</v>
      </c>
      <c r="C52" s="38" t="n">
        <f aca="false">TÆLLA!O52</f>
        <v>296.265335720062</v>
      </c>
      <c r="D52" s="38" t="n">
        <f aca="false">'Read Layer'!T52</f>
        <v>1505.35806451613</v>
      </c>
      <c r="E52" s="38" t="n">
        <f aca="false">SOMNIO!Q52</f>
        <v>28.7053738317757</v>
      </c>
      <c r="F52" s="38" t="n">
        <f aca="false">TÆLLA!Y52</f>
        <v>-618.036036299257</v>
      </c>
      <c r="G52" s="38" t="n">
        <f aca="false">'Read Layer'!AA52</f>
        <v>1279.07464883754</v>
      </c>
      <c r="H52" s="38" t="n">
        <f aca="false">SOMNIO!U52</f>
        <v>-99.6551193335955</v>
      </c>
      <c r="I52" s="37" t="n">
        <f aca="false">C52+D52+E52</f>
        <v>1830.32877406797</v>
      </c>
      <c r="J52" s="37" t="n">
        <f aca="false">F52+G52+H52</f>
        <v>561.383493204691</v>
      </c>
      <c r="K52" s="37" t="n">
        <f aca="false">K51+J52</f>
        <v>-2004.0632198069</v>
      </c>
      <c r="L52" s="2" t="n">
        <f aca="false">IF(J52&gt;0,1,0)</f>
        <v>1</v>
      </c>
      <c r="M52" s="2" t="n">
        <f aca="false">IF(K52&gt;=0,1,0)</f>
        <v>0</v>
      </c>
    </row>
    <row r="53" customFormat="false" ht="15" hidden="false" customHeight="false" outlineLevel="0" collapsed="false">
      <c r="A53" s="2" t="n">
        <v>7</v>
      </c>
      <c r="B53" s="2" t="s">
        <v>356</v>
      </c>
      <c r="C53" s="38" t="n">
        <f aca="false">TÆLLA!O53</f>
        <v>335.418020964748</v>
      </c>
      <c r="D53" s="38" t="n">
        <f aca="false">'Read Layer'!T53</f>
        <v>2163.91806451613</v>
      </c>
      <c r="E53" s="38" t="n">
        <f aca="false">SOMNIO!Q53</f>
        <v>38.2738317757009</v>
      </c>
      <c r="F53" s="38" t="n">
        <f aca="false">TÆLLA!Y53</f>
        <v>-583.830239220858</v>
      </c>
      <c r="G53" s="38" t="n">
        <f aca="false">'Read Layer'!AA53</f>
        <v>1925.49420825762</v>
      </c>
      <c r="H53" s="38" t="n">
        <f aca="false">SOMNIO!U53</f>
        <v>-90.0866613896703</v>
      </c>
      <c r="I53" s="37" t="n">
        <f aca="false">C53+D53+E53</f>
        <v>2537.60991725658</v>
      </c>
      <c r="J53" s="37" t="n">
        <f aca="false">F53+G53+H53</f>
        <v>1251.57730764709</v>
      </c>
      <c r="K53" s="37" t="n">
        <f aca="false">K52+J53</f>
        <v>-752.485912159809</v>
      </c>
      <c r="L53" s="2" t="n">
        <f aca="false">IF(J53&gt;0,1,0)</f>
        <v>1</v>
      </c>
      <c r="M53" s="2" t="n">
        <f aca="false">IF(K53&gt;=0,1,0)</f>
        <v>0</v>
      </c>
    </row>
    <row r="54" customFormat="false" ht="15" hidden="false" customHeight="false" outlineLevel="0" collapsed="false">
      <c r="A54" s="2" t="n">
        <v>8</v>
      </c>
      <c r="B54" s="2" t="s">
        <v>357</v>
      </c>
      <c r="C54" s="38" t="n">
        <f aca="false">TÆLLA!O54</f>
        <v>379.168762072802</v>
      </c>
      <c r="D54" s="38" t="n">
        <f aca="false">'Read Layer'!T54</f>
        <v>2163.91806451613</v>
      </c>
      <c r="E54" s="38" t="n">
        <f aca="false">SOMNIO!Q54</f>
        <v>47.8422897196262</v>
      </c>
      <c r="F54" s="38" t="n">
        <f aca="false">TÆLLA!Y54</f>
        <v>-545.642912374049</v>
      </c>
      <c r="G54" s="38" t="n">
        <f aca="false">'Read Layer'!AA54</f>
        <v>1925.49420825762</v>
      </c>
      <c r="H54" s="38" t="n">
        <f aca="false">SOMNIO!U54</f>
        <v>-80.518203445745</v>
      </c>
      <c r="I54" s="37" t="n">
        <f aca="false">C54+D54+E54</f>
        <v>2590.92911630856</v>
      </c>
      <c r="J54" s="37" t="n">
        <f aca="false">F54+G54+H54</f>
        <v>1299.33309243782</v>
      </c>
      <c r="K54" s="37" t="n">
        <f aca="false">K53+J54</f>
        <v>546.847180278014</v>
      </c>
      <c r="L54" s="2" t="n">
        <f aca="false">IF(J54&gt;0,1,0)</f>
        <v>1</v>
      </c>
      <c r="M54" s="2" t="n">
        <f aca="false">IF(K54&gt;=0,1,0)</f>
        <v>1</v>
      </c>
    </row>
    <row r="55" customFormat="false" ht="15" hidden="false" customHeight="false" outlineLevel="0" collapsed="false">
      <c r="A55" s="2" t="n">
        <v>9</v>
      </c>
      <c r="B55" s="2" t="s">
        <v>358</v>
      </c>
      <c r="C55" s="38" t="n">
        <f aca="false">TÆLLA!O55</f>
        <v>428.273980627295</v>
      </c>
      <c r="D55" s="38" t="n">
        <f aca="false">'Read Layer'!T55</f>
        <v>2163.91806451613</v>
      </c>
      <c r="E55" s="38" t="n">
        <f aca="false">SOMNIO!Q55</f>
        <v>57.4107476635514</v>
      </c>
      <c r="F55" s="38" t="n">
        <f aca="false">TÆLLA!Y55</f>
        <v>-502.816162906271</v>
      </c>
      <c r="G55" s="38" t="n">
        <f aca="false">'Read Layer'!AA55</f>
        <v>1925.49420825762</v>
      </c>
      <c r="H55" s="38" t="n">
        <f aca="false">SOMNIO!U55</f>
        <v>-70.9497455018198</v>
      </c>
      <c r="I55" s="37" t="n">
        <f aca="false">C55+D55+E55</f>
        <v>2649.60279280698</v>
      </c>
      <c r="J55" s="37" t="n">
        <f aca="false">F55+G55+H55</f>
        <v>1351.72829984953</v>
      </c>
      <c r="K55" s="37" t="n">
        <f aca="false">K54+J55</f>
        <v>1898.57548012754</v>
      </c>
      <c r="L55" s="2" t="n">
        <f aca="false">IF(J55&gt;0,1,0)</f>
        <v>1</v>
      </c>
      <c r="M55" s="2" t="n">
        <f aca="false">IF(K55&gt;=0,1,0)</f>
        <v>1</v>
      </c>
    </row>
    <row r="56" customFormat="false" ht="15" hidden="false" customHeight="false" outlineLevel="0" collapsed="false">
      <c r="A56" s="2" t="n">
        <v>10</v>
      </c>
      <c r="B56" s="2" t="s">
        <v>359</v>
      </c>
      <c r="C56" s="38" t="n">
        <f aca="false">TÆLLA!O56</f>
        <v>483.596429143177</v>
      </c>
      <c r="D56" s="38" t="n">
        <f aca="false">'Read Layer'!T56</f>
        <v>2163.91806451613</v>
      </c>
      <c r="E56" s="38" t="n">
        <f aca="false">SOMNIO!Q56</f>
        <v>261.979205607477</v>
      </c>
      <c r="F56" s="38" t="n">
        <f aca="false">TÆLLA!Y56</f>
        <v>-454.599709867968</v>
      </c>
      <c r="G56" s="38" t="n">
        <f aca="false">'Read Layer'!AA56</f>
        <v>1925.49420825762</v>
      </c>
      <c r="H56" s="38" t="n">
        <f aca="false">SOMNIO!U56</f>
        <v>129.282840806417</v>
      </c>
      <c r="I56" s="37" t="n">
        <f aca="false">C56+D56+E56</f>
        <v>2909.49369926678</v>
      </c>
      <c r="J56" s="37" t="n">
        <f aca="false">F56+G56+H56</f>
        <v>1600.17733919607</v>
      </c>
      <c r="K56" s="37" t="n">
        <f aca="false">K55+J56</f>
        <v>3498.75281932361</v>
      </c>
      <c r="L56" s="2" t="n">
        <f aca="false">IF(J56&gt;0,1,0)</f>
        <v>1</v>
      </c>
      <c r="M56" s="2" t="n">
        <f aca="false">IF(K56&gt;=0,1,0)</f>
        <v>1</v>
      </c>
    </row>
    <row r="57" customFormat="false" ht="15" hidden="false" customHeight="false" outlineLevel="0" collapsed="false">
      <c r="A57" s="2" t="n">
        <v>11</v>
      </c>
      <c r="B57" s="2" t="s">
        <v>360</v>
      </c>
      <c r="C57" s="38" t="n">
        <f aca="false">TÆLLA!O57</f>
        <v>546.120571665803</v>
      </c>
      <c r="D57" s="38" t="n">
        <f aca="false">'Read Layer'!T57</f>
        <v>2163.91806451613</v>
      </c>
      <c r="E57" s="38" t="n">
        <f aca="false">SOMNIO!Q57</f>
        <v>271.547663551402</v>
      </c>
      <c r="F57" s="38" t="n">
        <f aca="false">TÆLLA!Y57</f>
        <v>-400.137494601415</v>
      </c>
      <c r="G57" s="38" t="n">
        <f aca="false">'Read Layer'!AA57</f>
        <v>1925.49420825762</v>
      </c>
      <c r="H57" s="38" t="n">
        <f aca="false">SOMNIO!U57</f>
        <v>138.851298750342</v>
      </c>
      <c r="I57" s="37" t="n">
        <f aca="false">C57+D57+E57</f>
        <v>2981.58629973333</v>
      </c>
      <c r="J57" s="37" t="n">
        <f aca="false">F57+G57+H57</f>
        <v>1664.20801240654</v>
      </c>
      <c r="K57" s="37" t="n">
        <f aca="false">K56+J57</f>
        <v>5162.96083173015</v>
      </c>
      <c r="L57" s="2" t="n">
        <f aca="false">IF(J57&gt;0,1,0)</f>
        <v>1</v>
      </c>
      <c r="M57" s="2" t="n">
        <f aca="false">IF(K57&gt;=0,1,0)</f>
        <v>1</v>
      </c>
    </row>
    <row r="58" customFormat="false" ht="15" hidden="false" customHeight="false" outlineLevel="0" collapsed="false">
      <c r="A58" s="2" t="n">
        <v>12</v>
      </c>
      <c r="B58" s="2" t="s">
        <v>361</v>
      </c>
      <c r="C58" s="38" t="n">
        <f aca="false">TÆLLA!O58</f>
        <v>616.969990408968</v>
      </c>
      <c r="D58" s="38" t="n">
        <f aca="false">'Read Layer'!T58</f>
        <v>2163.91806451613</v>
      </c>
      <c r="E58" s="38" t="n">
        <f aca="false">SOMNIO!Q58</f>
        <v>281.116121495327</v>
      </c>
      <c r="F58" s="38" t="n">
        <f aca="false">TÆLLA!Y58</f>
        <v>-338.452522254646</v>
      </c>
      <c r="G58" s="38" t="n">
        <f aca="false">'Read Layer'!AA58</f>
        <v>1925.49420825762</v>
      </c>
      <c r="H58" s="38" t="n">
        <f aca="false">SOMNIO!U58</f>
        <v>148.419756694268</v>
      </c>
      <c r="I58" s="37" t="n">
        <f aca="false">C58+D58+E58</f>
        <v>3062.00417642042</v>
      </c>
      <c r="J58" s="37" t="n">
        <f aca="false">F58+G58+H58</f>
        <v>1735.46144269724</v>
      </c>
      <c r="K58" s="37" t="n">
        <f aca="false">K57+J58</f>
        <v>6898.42227442739</v>
      </c>
      <c r="L58" s="2" t="n">
        <f aca="false">IF(J58&gt;0,1,0)</f>
        <v>1</v>
      </c>
      <c r="M58" s="2" t="n">
        <f aca="false">IF(K58&gt;=0,1,0)</f>
        <v>1</v>
      </c>
    </row>
    <row r="59" customFormat="false" ht="15" hidden="false" customHeight="false" outlineLevel="0" collapsed="false">
      <c r="A59" s="2" t="n">
        <v>13</v>
      </c>
      <c r="B59" s="2" t="s">
        <v>362</v>
      </c>
      <c r="C59" s="38" t="n">
        <f aca="false">TÆLLA!O59</f>
        <v>697.42704080048</v>
      </c>
      <c r="D59" s="38" t="n">
        <f aca="false">'Read Layer'!T59</f>
        <v>2163.91806451613</v>
      </c>
      <c r="E59" s="38" t="n">
        <f aca="false">SOMNIO!Q59</f>
        <v>290.684579439252</v>
      </c>
      <c r="F59" s="38" t="n">
        <f aca="false">TÆLLA!Y59</f>
        <v>-268.429738340963</v>
      </c>
      <c r="G59" s="38" t="n">
        <f aca="false">'Read Layer'!AA59</f>
        <v>1925.49420825762</v>
      </c>
      <c r="H59" s="38" t="n">
        <f aca="false">SOMNIO!U59</f>
        <v>157.988214638193</v>
      </c>
      <c r="I59" s="37" t="n">
        <f aca="false">C59+D59+E59</f>
        <v>3152.02968475586</v>
      </c>
      <c r="J59" s="37" t="n">
        <f aca="false">F59+G59+H59</f>
        <v>1815.05268455485</v>
      </c>
      <c r="K59" s="37" t="n">
        <f aca="false">K58+J59</f>
        <v>8713.47495898223</v>
      </c>
      <c r="L59" s="2" t="n">
        <f aca="false">IF(J59&gt;0,1,0)</f>
        <v>1</v>
      </c>
      <c r="M59" s="2" t="n">
        <f aca="false">IF(K59&gt;=0,1,0)</f>
        <v>1</v>
      </c>
    </row>
    <row r="60" customFormat="false" ht="15" hidden="false" customHeight="false" outlineLevel="0" collapsed="false">
      <c r="A60" s="2" t="n">
        <v>14</v>
      </c>
      <c r="B60" s="2" t="s">
        <v>363</v>
      </c>
      <c r="C60" s="38" t="n">
        <f aca="false">TÆLLA!O60</f>
        <v>788.954985471632</v>
      </c>
      <c r="D60" s="38" t="n">
        <f aca="false">'Read Layer'!T60</f>
        <v>2163.91806451613</v>
      </c>
      <c r="E60" s="38" t="n">
        <f aca="false">SOMNIO!Q60</f>
        <v>300.253037383178</v>
      </c>
      <c r="F60" s="38" t="n">
        <f aca="false">TÆLLA!Y60</f>
        <v>-188.796736289601</v>
      </c>
      <c r="G60" s="38" t="n">
        <f aca="false">'Read Layer'!AA60</f>
        <v>1925.49420825762</v>
      </c>
      <c r="H60" s="38" t="n">
        <f aca="false">SOMNIO!U60</f>
        <v>167.556672582118</v>
      </c>
      <c r="I60" s="37" t="n">
        <f aca="false">C60+D60+E60</f>
        <v>3253.12608737094</v>
      </c>
      <c r="J60" s="37" t="n">
        <f aca="false">F60+G60+H60</f>
        <v>1904.25414455013</v>
      </c>
      <c r="K60" s="37" t="n">
        <f aca="false">K59+J60</f>
        <v>10617.7291035324</v>
      </c>
      <c r="L60" s="2" t="n">
        <f aca="false">IF(J60&gt;0,1,0)</f>
        <v>1</v>
      </c>
      <c r="M60" s="2" t="n">
        <f aca="false">IF(K60&gt;=0,1,0)</f>
        <v>1</v>
      </c>
    </row>
    <row r="61" customFormat="false" ht="15" hidden="false" customHeight="false" outlineLevel="0" collapsed="false">
      <c r="A61" s="2" t="n">
        <v>15</v>
      </c>
      <c r="B61" s="2" t="s">
        <v>364</v>
      </c>
      <c r="C61" s="38" t="n">
        <f aca="false">TÆLLA!O61</f>
        <v>893.222839766211</v>
      </c>
      <c r="D61" s="38" t="n">
        <f aca="false">'Read Layer'!T61</f>
        <v>2163.91806451613</v>
      </c>
      <c r="E61" s="38" t="n">
        <f aca="false">SOMNIO!Q61</f>
        <v>309.821495327103</v>
      </c>
      <c r="F61" s="38" t="n">
        <f aca="false">TÆLLA!Y61</f>
        <v>-98.1020890340064</v>
      </c>
      <c r="G61" s="38" t="n">
        <f aca="false">'Read Layer'!AA61</f>
        <v>1925.49420825762</v>
      </c>
      <c r="H61" s="38" t="n">
        <f aca="false">SOMNIO!U61</f>
        <v>177.125130526043</v>
      </c>
      <c r="I61" s="37" t="n">
        <f aca="false">C61+D61+E61</f>
        <v>3366.96239960944</v>
      </c>
      <c r="J61" s="37" t="n">
        <f aca="false">F61+G61+H61</f>
        <v>2004.51724974965</v>
      </c>
      <c r="K61" s="37" t="n">
        <f aca="false">K60+J61</f>
        <v>12622.246353282</v>
      </c>
      <c r="L61" s="2" t="n">
        <f aca="false">IF(J61&gt;0,1,0)</f>
        <v>1</v>
      </c>
      <c r="M61" s="2" t="n">
        <f aca="false">IF(K61&gt;=0,1,0)</f>
        <v>1</v>
      </c>
    </row>
    <row r="62" customFormat="false" ht="15" hidden="false" customHeight="false" outlineLevel="0" collapsed="false">
      <c r="A62" s="2" t="n">
        <v>16</v>
      </c>
      <c r="B62" s="2" t="s">
        <v>365</v>
      </c>
      <c r="C62" s="38" t="n">
        <f aca="false">TÆLLA!O62</f>
        <v>1012.13315433268</v>
      </c>
      <c r="D62" s="38" t="n">
        <f aca="false">'Read Layer'!T62</f>
        <v>2163.91806451613</v>
      </c>
      <c r="E62" s="38" t="n">
        <f aca="false">SOMNIO!Q62</f>
        <v>319.389953271028</v>
      </c>
      <c r="F62" s="38" t="n">
        <f aca="false">TÆLLA!Y62</f>
        <v>5.3088976623277</v>
      </c>
      <c r="G62" s="38" t="n">
        <f aca="false">'Read Layer'!AA62</f>
        <v>1925.49420825762</v>
      </c>
      <c r="H62" s="38" t="n">
        <f aca="false">SOMNIO!U62</f>
        <v>186.693588469969</v>
      </c>
      <c r="I62" s="37" t="n">
        <f aca="false">C62+D62+E62</f>
        <v>3495.44117211984</v>
      </c>
      <c r="J62" s="37" t="n">
        <f aca="false">F62+G62+H62</f>
        <v>2117.49669438991</v>
      </c>
      <c r="K62" s="37" t="n">
        <f aca="false">K61+J62</f>
        <v>14739.7430476719</v>
      </c>
      <c r="L62" s="2" t="n">
        <f aca="false">IF(J62&gt;0,1,0)</f>
        <v>1</v>
      </c>
      <c r="M62" s="2" t="n">
        <f aca="false">IF(K62&gt;=0,1,0)</f>
        <v>1</v>
      </c>
    </row>
    <row r="63" customFormat="false" ht="15" hidden="false" customHeight="false" outlineLevel="0" collapsed="false">
      <c r="A63" s="2" t="n">
        <v>17</v>
      </c>
      <c r="B63" s="2" t="s">
        <v>366</v>
      </c>
      <c r="C63" s="38" t="n">
        <f aca="false">TÆLLA!O63</f>
        <v>1147.85294047319</v>
      </c>
      <c r="D63" s="38" t="n">
        <f aca="false">'Read Layer'!T63</f>
        <v>2163.91806451613</v>
      </c>
      <c r="E63" s="38" t="n">
        <f aca="false">SOMNIO!Q63</f>
        <v>328.958411214953</v>
      </c>
      <c r="F63" s="38" t="n">
        <f aca="false">TÆLLA!Y63</f>
        <v>123.321196984996</v>
      </c>
      <c r="G63" s="38" t="n">
        <f aca="false">'Read Layer'!AA63</f>
        <v>1925.49420825762</v>
      </c>
      <c r="H63" s="38" t="n">
        <f aca="false">SOMNIO!U63</f>
        <v>196.262046413894</v>
      </c>
      <c r="I63" s="37" t="n">
        <f aca="false">C63+D63+E63</f>
        <v>3640.72941620427</v>
      </c>
      <c r="J63" s="37" t="n">
        <f aca="false">F63+G63+H63</f>
        <v>2245.07745165651</v>
      </c>
      <c r="K63" s="37" t="n">
        <f aca="false">K62+J63</f>
        <v>16984.8204993284</v>
      </c>
      <c r="L63" s="2" t="n">
        <f aca="false">IF(J63&gt;0,1,0)</f>
        <v>1</v>
      </c>
      <c r="M63" s="2" t="n">
        <f aca="false">IF(K63&gt;=0,1,0)</f>
        <v>1</v>
      </c>
    </row>
    <row r="64" customFormat="false" ht="15" hidden="false" customHeight="false" outlineLevel="0" collapsed="false">
      <c r="A64" s="2" t="n">
        <v>18</v>
      </c>
      <c r="B64" s="2" t="s">
        <v>367</v>
      </c>
      <c r="C64" s="38" t="n">
        <f aca="false">TÆLLA!O64</f>
        <v>1302.84790622195</v>
      </c>
      <c r="D64" s="38" t="n">
        <f aca="false">'Read Layer'!T64</f>
        <v>2163.91806451613</v>
      </c>
      <c r="E64" s="38" t="n">
        <f aca="false">SOMNIO!Q64</f>
        <v>338.526869158879</v>
      </c>
      <c r="F64" s="38" t="n">
        <f aca="false">TÆLLA!Y64</f>
        <v>258.079994331628</v>
      </c>
      <c r="G64" s="38" t="n">
        <f aca="false">'Read Layer'!AA64</f>
        <v>1925.49420825762</v>
      </c>
      <c r="H64" s="38" t="n">
        <f aca="false">SOMNIO!U64</f>
        <v>205.830504357819</v>
      </c>
      <c r="I64" s="37" t="n">
        <f aca="false">C64+D64+E64</f>
        <v>3805.29283989695</v>
      </c>
      <c r="J64" s="37" t="n">
        <f aca="false">F64+G64+H64</f>
        <v>2389.40470694706</v>
      </c>
      <c r="K64" s="37" t="n">
        <f aca="false">K63+J64</f>
        <v>19374.2252062755</v>
      </c>
      <c r="L64" s="2" t="n">
        <f aca="false">IF(J64&gt;0,1,0)</f>
        <v>1</v>
      </c>
      <c r="M64" s="2" t="n">
        <f aca="false">IF(K64&gt;=0,1,0)</f>
        <v>1</v>
      </c>
    </row>
    <row r="65" customFormat="false" ht="15" hidden="false" customHeight="false" outlineLevel="0" collapsed="false">
      <c r="A65" s="2" t="n">
        <v>19</v>
      </c>
      <c r="B65" s="2" t="s">
        <v>368</v>
      </c>
      <c r="C65" s="38" t="n">
        <f aca="false">TÆLLA!O65</f>
        <v>1479.92010935711</v>
      </c>
      <c r="D65" s="38" t="n">
        <f aca="false">'Read Layer'!T65</f>
        <v>2163.91806451613</v>
      </c>
      <c r="E65" s="38" t="n">
        <f aca="false">SOMNIO!Q65</f>
        <v>348.095327102804</v>
      </c>
      <c r="F65" s="38" t="n">
        <f aca="false">TÆLLA!Y65</f>
        <v>412.0236476245</v>
      </c>
      <c r="G65" s="38" t="n">
        <f aca="false">'Read Layer'!AA65</f>
        <v>1925.49420825762</v>
      </c>
      <c r="H65" s="38" t="n">
        <f aca="false">SOMNIO!U65</f>
        <v>215.398962301744</v>
      </c>
      <c r="I65" s="37" t="n">
        <f aca="false">C65+D65+E65</f>
        <v>3991.93350097604</v>
      </c>
      <c r="J65" s="37" t="n">
        <f aca="false">F65+G65+H65</f>
        <v>2552.91681818386</v>
      </c>
      <c r="K65" s="37" t="n">
        <f aca="false">K64+J65</f>
        <v>21927.1420244594</v>
      </c>
      <c r="L65" s="2" t="n">
        <f aca="false">IF(J65&gt;0,1,0)</f>
        <v>1</v>
      </c>
      <c r="M65" s="2" t="n">
        <f aca="false">IF(K65&gt;=0,1,0)</f>
        <v>1</v>
      </c>
    </row>
    <row r="66" customFormat="false" ht="15" hidden="false" customHeight="false" outlineLevel="0" collapsed="false">
      <c r="A66" s="2" t="n">
        <v>20</v>
      </c>
      <c r="B66" s="2" t="s">
        <v>369</v>
      </c>
      <c r="C66" s="38" t="n">
        <f aca="false">TÆLLA!O66</f>
        <v>1682.24903992297</v>
      </c>
      <c r="D66" s="38" t="n">
        <f aca="false">'Read Layer'!T66</f>
        <v>2163.91806451613</v>
      </c>
      <c r="E66" s="38" t="n">
        <f aca="false">SOMNIO!Q66</f>
        <v>357.663785046729</v>
      </c>
      <c r="F66" s="38" t="n">
        <f aca="false">TÆLLA!Y66</f>
        <v>587.919702401781</v>
      </c>
      <c r="G66" s="38" t="n">
        <f aca="false">'Read Layer'!AA66</f>
        <v>1925.49420825762</v>
      </c>
      <c r="H66" s="38" t="n">
        <f aca="false">SOMNIO!U66</f>
        <v>224.967420245669</v>
      </c>
      <c r="I66" s="37" t="n">
        <f aca="false">C66+D66+E66</f>
        <v>4203.83088948582</v>
      </c>
      <c r="J66" s="37" t="n">
        <f aca="false">F66+G66+H66</f>
        <v>2738.38133090507</v>
      </c>
      <c r="K66" s="37" t="n">
        <f aca="false">K65+J66</f>
        <v>24665.5233553644</v>
      </c>
      <c r="L66" s="2" t="n">
        <f aca="false">IF(J66&gt;0,1,0)</f>
        <v>1</v>
      </c>
      <c r="M66" s="2" t="n">
        <f aca="false">IF(K66&gt;=0,1,0)</f>
        <v>1</v>
      </c>
    </row>
    <row r="67" customFormat="false" ht="15" hidden="false" customHeight="false" outlineLevel="0" collapsed="false">
      <c r="A67" s="2" t="n">
        <v>21</v>
      </c>
      <c r="B67" s="2" t="s">
        <v>370</v>
      </c>
      <c r="C67" s="38" t="n">
        <f aca="false">TÆLLA!O67</f>
        <v>1913.4360098464</v>
      </c>
      <c r="D67" s="38" t="n">
        <f aca="false">'Read Layer'!T67</f>
        <v>2163.91806451613</v>
      </c>
      <c r="E67" s="38" t="n">
        <f aca="false">SOMNIO!Q67</f>
        <v>367.232242990654</v>
      </c>
      <c r="F67" s="38" t="n">
        <f aca="false">TÆLLA!Y67</f>
        <v>788.903876384478</v>
      </c>
      <c r="G67" s="38" t="n">
        <f aca="false">'Read Layer'!AA67</f>
        <v>1925.49420825762</v>
      </c>
      <c r="H67" s="38" t="n">
        <f aca="false">SOMNIO!U67</f>
        <v>234.535878189595</v>
      </c>
      <c r="I67" s="37" t="n">
        <f aca="false">C67+D67+E67</f>
        <v>4444.58631735318</v>
      </c>
      <c r="J67" s="37" t="n">
        <f aca="false">F67+G67+H67</f>
        <v>2948.93396283169</v>
      </c>
      <c r="K67" s="37" t="n">
        <f aca="false">K66+J67</f>
        <v>27614.4573181961</v>
      </c>
      <c r="L67" s="2" t="n">
        <f aca="false">IF(J67&gt;0,1,0)</f>
        <v>1</v>
      </c>
      <c r="M67" s="2" t="n">
        <f aca="false">IF(K67&gt;=0,1,0)</f>
        <v>1</v>
      </c>
    </row>
    <row r="68" customFormat="false" ht="15" hidden="false" customHeight="false" outlineLevel="0" collapsed="false">
      <c r="A68" s="2" t="n">
        <v>22</v>
      </c>
      <c r="B68" s="2" t="s">
        <v>371</v>
      </c>
      <c r="C68" s="38" t="n">
        <f aca="false">TÆLLA!O68</f>
        <v>2177.55153956224</v>
      </c>
      <c r="D68" s="38" t="n">
        <f aca="false">'Read Layer'!T68</f>
        <v>2163.91806451613</v>
      </c>
      <c r="E68" s="38" t="n">
        <f aca="false">SOMNIO!Q68</f>
        <v>376.800700934579</v>
      </c>
      <c r="F68" s="38" t="n">
        <f aca="false">TÆLLA!Y68</f>
        <v>1018.52177022485</v>
      </c>
      <c r="G68" s="38" t="n">
        <f aca="false">'Read Layer'!AA68</f>
        <v>1925.49420825762</v>
      </c>
      <c r="H68" s="38" t="n">
        <f aca="false">SOMNIO!U68</f>
        <v>244.10433613352</v>
      </c>
      <c r="I68" s="37" t="n">
        <f aca="false">C68+D68+E68</f>
        <v>4718.27030501295</v>
      </c>
      <c r="J68" s="37" t="n">
        <f aca="false">F68+G68+H68</f>
        <v>3188.12031461599</v>
      </c>
      <c r="K68" s="37" t="n">
        <f aca="false">K67+J68</f>
        <v>30802.5776328121</v>
      </c>
      <c r="L68" s="2" t="n">
        <f aca="false">IF(J68&gt;0,1,0)</f>
        <v>1</v>
      </c>
      <c r="M68" s="2" t="n">
        <f aca="false">IF(K68&gt;=0,1,0)</f>
        <v>1</v>
      </c>
    </row>
    <row r="69" customFormat="false" ht="15" hidden="false" customHeight="false" outlineLevel="0" collapsed="false">
      <c r="A69" s="2" t="n">
        <v>23</v>
      </c>
      <c r="B69" s="2" t="s">
        <v>372</v>
      </c>
      <c r="C69" s="38" t="n">
        <f aca="false">TÆLLA!O69</f>
        <v>2479.18517817428</v>
      </c>
      <c r="D69" s="38" t="n">
        <f aca="false">'Read Layer'!T69</f>
        <v>2163.91806451613</v>
      </c>
      <c r="E69" s="38" t="n">
        <f aca="false">SOMNIO!Q69</f>
        <v>386.369158878505</v>
      </c>
      <c r="F69" s="38" t="n">
        <f aca="false">TÆLLA!Y69</f>
        <v>1280.77284687167</v>
      </c>
      <c r="G69" s="38" t="n">
        <f aca="false">'Read Layer'!AA69</f>
        <v>1925.49420825762</v>
      </c>
      <c r="H69" s="38" t="n">
        <f aca="false">SOMNIO!U69</f>
        <v>253.672794077445</v>
      </c>
      <c r="I69" s="37" t="n">
        <f aca="false">C69+D69+E69</f>
        <v>5029.47240156892</v>
      </c>
      <c r="J69" s="37" t="n">
        <f aca="false">F69+G69+H69</f>
        <v>3459.93984920673</v>
      </c>
      <c r="K69" s="37" t="n">
        <f aca="false">K68+J69</f>
        <v>34262.5174820188</v>
      </c>
      <c r="L69" s="2" t="n">
        <f aca="false">IF(J69&gt;0,1,0)</f>
        <v>1</v>
      </c>
      <c r="M69" s="2" t="n">
        <f aca="false">IF(K69&gt;=0,1,0)</f>
        <v>1</v>
      </c>
    </row>
    <row r="70" customFormat="false" ht="15" hidden="false" customHeight="false" outlineLevel="0" collapsed="false">
      <c r="A70" s="2" t="n">
        <v>24</v>
      </c>
      <c r="B70" s="2" t="s">
        <v>373</v>
      </c>
      <c r="C70" s="38" t="n">
        <f aca="false">TÆLLA!O70</f>
        <v>2823.49686016005</v>
      </c>
      <c r="D70" s="38" t="n">
        <f aca="false">'Read Layer'!T70</f>
        <v>2163.91806451613</v>
      </c>
      <c r="E70" s="38" t="n">
        <f aca="false">SOMNIO!Q70</f>
        <v>395.93761682243</v>
      </c>
      <c r="F70" s="38" t="n">
        <f aca="false">TÆLLA!Y70</f>
        <v>1580.15593883284</v>
      </c>
      <c r="G70" s="38" t="n">
        <f aca="false">'Read Layer'!AA70</f>
        <v>1925.49420825762</v>
      </c>
      <c r="H70" s="38" t="n">
        <f aca="false">SOMNIO!U70</f>
        <v>263.24125202137</v>
      </c>
      <c r="I70" s="37" t="n">
        <f aca="false">C70+D70+E70</f>
        <v>5383.35254149861</v>
      </c>
      <c r="J70" s="37" t="n">
        <f aca="false">F70+G70+H70</f>
        <v>3768.89139911183</v>
      </c>
      <c r="K70" s="37" t="n">
        <f aca="false">K69+J70</f>
        <v>38031.4088811307</v>
      </c>
      <c r="L70" s="2" t="n">
        <f aca="false">IF(J70&gt;0,1,0)</f>
        <v>1</v>
      </c>
      <c r="M70" s="2" t="n">
        <f aca="false">IF(K70&gt;=0,1,0)</f>
        <v>1</v>
      </c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customFormat="false" ht="15" hidden="false" customHeight="false" outlineLevel="0" collapsed="false">
      <c r="A74" s="32" t="str">
        <f aca="false">"Szenario stark – "&amp;Annahmen!$D$133</f>
        <v>Szenario stark – skalierbares Business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customFormat="false" ht="42" hidden="false" customHeight="true" outlineLevel="0" collapsed="false">
      <c r="A75" s="31" t="s">
        <v>96</v>
      </c>
      <c r="B75" s="31" t="s">
        <v>323</v>
      </c>
      <c r="C75" s="31" t="s">
        <v>433</v>
      </c>
      <c r="D75" s="31" t="s">
        <v>434</v>
      </c>
      <c r="E75" s="31" t="s">
        <v>435</v>
      </c>
      <c r="F75" s="31" t="s">
        <v>436</v>
      </c>
      <c r="G75" s="31" t="s">
        <v>437</v>
      </c>
      <c r="H75" s="31" t="s">
        <v>438</v>
      </c>
      <c r="I75" s="31" t="s">
        <v>401</v>
      </c>
      <c r="J75" s="31" t="s">
        <v>428</v>
      </c>
      <c r="K75" s="31" t="s">
        <v>347</v>
      </c>
      <c r="L75" s="31" t="s">
        <v>348</v>
      </c>
      <c r="M75" s="31" t="s">
        <v>349</v>
      </c>
    </row>
    <row r="76" customFormat="false" ht="15" hidden="false" customHeight="false" outlineLevel="0" collapsed="false">
      <c r="A76" s="2" t="n">
        <v>1</v>
      </c>
      <c r="B76" s="2" t="s">
        <v>350</v>
      </c>
      <c r="C76" s="38" t="n">
        <f aca="false">TÆLLA!O76</f>
        <v>0</v>
      </c>
      <c r="D76" s="38" t="n">
        <f aca="false">'Read Layer'!T76</f>
        <v>0</v>
      </c>
      <c r="E76" s="38" t="n">
        <f aca="false">SOMNIO!Q76</f>
        <v>0</v>
      </c>
      <c r="F76" s="38" t="n">
        <f aca="false">TÆLLA!Y76</f>
        <v>-578.836632647922</v>
      </c>
      <c r="G76" s="38" t="n">
        <f aca="false">'Read Layer'!AA76</f>
        <v>-613.227570803181</v>
      </c>
      <c r="H76" s="38" t="n">
        <f aca="false">SOMNIO!U76</f>
        <v>-109.560493165371</v>
      </c>
      <c r="I76" s="37" t="n">
        <f aca="false">C76+D76+E76</f>
        <v>0</v>
      </c>
      <c r="J76" s="37" t="n">
        <f aca="false">F76+G76+H76</f>
        <v>-1301.62469661647</v>
      </c>
      <c r="K76" s="37" t="n">
        <f aca="false">J76</f>
        <v>-1301.62469661647</v>
      </c>
      <c r="L76" s="2" t="n">
        <f aca="false">IF(J76&gt;0,1,0)</f>
        <v>0</v>
      </c>
      <c r="M76" s="2" t="n">
        <f aca="false">IF(K76&gt;=0,1,0)</f>
        <v>0</v>
      </c>
    </row>
    <row r="77" customFormat="false" ht="15" hidden="false" customHeight="false" outlineLevel="0" collapsed="false">
      <c r="A77" s="2" t="n">
        <v>2</v>
      </c>
      <c r="B77" s="2" t="s">
        <v>351</v>
      </c>
      <c r="C77" s="38" t="n">
        <f aca="false">TÆLLA!O77</f>
        <v>489.595588235294</v>
      </c>
      <c r="D77" s="38" t="n">
        <f aca="false">'Read Layer'!T77</f>
        <v>0</v>
      </c>
      <c r="E77" s="38" t="n">
        <f aca="false">SOMNIO!Q77</f>
        <v>0</v>
      </c>
      <c r="F77" s="38" t="n">
        <f aca="false">TÆLLA!Y77</f>
        <v>-2185.6155061026</v>
      </c>
      <c r="G77" s="38" t="n">
        <f aca="false">'Read Layer'!AA77</f>
        <v>-450.827570803181</v>
      </c>
      <c r="H77" s="38" t="n">
        <f aca="false">SOMNIO!U77</f>
        <v>-28.3604931653712</v>
      </c>
      <c r="I77" s="37" t="n">
        <f aca="false">C77+D77+E77</f>
        <v>489.595588235294</v>
      </c>
      <c r="J77" s="37" t="n">
        <f aca="false">F77+G77+H77</f>
        <v>-2664.80357007115</v>
      </c>
      <c r="K77" s="37" t="n">
        <f aca="false">K76+J77</f>
        <v>-3966.42826668763</v>
      </c>
      <c r="L77" s="2" t="n">
        <f aca="false">IF(J77&gt;0,1,0)</f>
        <v>0</v>
      </c>
      <c r="M77" s="2" t="n">
        <f aca="false">IF(K77&gt;=0,1,0)</f>
        <v>0</v>
      </c>
    </row>
    <row r="78" customFormat="false" ht="15" hidden="false" customHeight="false" outlineLevel="0" collapsed="false">
      <c r="A78" s="2" t="n">
        <v>3</v>
      </c>
      <c r="B78" s="2" t="s">
        <v>352</v>
      </c>
      <c r="C78" s="38" t="n">
        <f aca="false">TÆLLA!O78</f>
        <v>584.920639285714</v>
      </c>
      <c r="D78" s="38" t="n">
        <f aca="false">'Read Layer'!T78</f>
        <v>6422.03225806452</v>
      </c>
      <c r="E78" s="38" t="n">
        <f aca="false">SOMNIO!Q78</f>
        <v>38.2738317757009</v>
      </c>
      <c r="F78" s="38" t="n">
        <f aca="false">TÆLLA!Y78</f>
        <v>-2078.16568413561</v>
      </c>
      <c r="G78" s="38" t="n">
        <f aca="false">'Read Layer'!AA78</f>
        <v>4985.86914262048</v>
      </c>
      <c r="H78" s="38" t="n">
        <f aca="false">SOMNIO!U78</f>
        <v>-360.08666138967</v>
      </c>
      <c r="I78" s="37" t="n">
        <f aca="false">C78+D78+E78</f>
        <v>7045.22672912593</v>
      </c>
      <c r="J78" s="37" t="n">
        <f aca="false">F78+G78+H78</f>
        <v>2547.6167970952</v>
      </c>
      <c r="K78" s="37" t="n">
        <f aca="false">K77+J78</f>
        <v>-1418.81146959243</v>
      </c>
      <c r="L78" s="2" t="n">
        <f aca="false">IF(J78&gt;0,1,0)</f>
        <v>1</v>
      </c>
      <c r="M78" s="2" t="n">
        <f aca="false">IF(K78&gt;=0,1,0)</f>
        <v>0</v>
      </c>
    </row>
    <row r="79" customFormat="false" ht="15" hidden="false" customHeight="false" outlineLevel="0" collapsed="false">
      <c r="A79" s="2" t="n">
        <v>4</v>
      </c>
      <c r="B79" s="2" t="s">
        <v>353</v>
      </c>
      <c r="C79" s="38" t="n">
        <f aca="false">TÆLLA!O79</f>
        <v>698.062476744275</v>
      </c>
      <c r="D79" s="38" t="n">
        <f aca="false">'Read Layer'!T79</f>
        <v>6422.03225806452</v>
      </c>
      <c r="E79" s="38" t="n">
        <f aca="false">SOMNIO!Q79</f>
        <v>76.5476635514019</v>
      </c>
      <c r="F79" s="38" t="n">
        <f aca="false">TÆLLA!Y79</f>
        <v>-1977.21340337079</v>
      </c>
      <c r="G79" s="38" t="n">
        <f aca="false">'Read Layer'!AA79</f>
        <v>5265.86914262048</v>
      </c>
      <c r="H79" s="38" t="n">
        <f aca="false">SOMNIO!U79</f>
        <v>-251.812829613969</v>
      </c>
      <c r="I79" s="37" t="n">
        <f aca="false">C79+D79+E79</f>
        <v>7196.64239836019</v>
      </c>
      <c r="J79" s="37" t="n">
        <f aca="false">F79+G79+H79</f>
        <v>3036.84290963572</v>
      </c>
      <c r="K79" s="37" t="n">
        <f aca="false">K78+J79</f>
        <v>1618.03144004329</v>
      </c>
      <c r="L79" s="2" t="n">
        <f aca="false">IF(J79&gt;0,1,0)</f>
        <v>1</v>
      </c>
      <c r="M79" s="2" t="n">
        <f aca="false">IF(K79&gt;=0,1,0)</f>
        <v>1</v>
      </c>
    </row>
    <row r="80" customFormat="false" ht="15" hidden="false" customHeight="false" outlineLevel="0" collapsed="false">
      <c r="A80" s="2" t="n">
        <v>5</v>
      </c>
      <c r="B80" s="2" t="s">
        <v>354</v>
      </c>
      <c r="C80" s="38" t="n">
        <f aca="false">TÆLLA!O80</f>
        <v>833.041222005837</v>
      </c>
      <c r="D80" s="38" t="n">
        <f aca="false">'Read Layer'!T80</f>
        <v>6422.03225806452</v>
      </c>
      <c r="E80" s="38" t="n">
        <f aca="false">SOMNIO!Q80</f>
        <v>114.821495327103</v>
      </c>
      <c r="F80" s="38" t="n">
        <f aca="false">TÆLLA!Y80</f>
        <v>-2096.84592160544</v>
      </c>
      <c r="G80" s="38" t="n">
        <f aca="false">'Read Layer'!AA80</f>
        <v>4705.86914262048</v>
      </c>
      <c r="H80" s="38" t="n">
        <f aca="false">SOMNIO!U80</f>
        <v>-213.538997838268</v>
      </c>
      <c r="I80" s="37" t="n">
        <f aca="false">C80+D80+E80</f>
        <v>7369.89497539746</v>
      </c>
      <c r="J80" s="37" t="n">
        <f aca="false">F80+G80+H80</f>
        <v>2395.48422317677</v>
      </c>
      <c r="K80" s="37" t="n">
        <f aca="false">K79+J80</f>
        <v>4013.51566322006</v>
      </c>
      <c r="L80" s="2" t="n">
        <f aca="false">IF(J80&gt;0,1,0)</f>
        <v>1</v>
      </c>
      <c r="M80" s="2" t="n">
        <f aca="false">IF(K80&gt;=0,1,0)</f>
        <v>1</v>
      </c>
    </row>
    <row r="81" customFormat="false" ht="15" hidden="false" customHeight="false" outlineLevel="0" collapsed="false">
      <c r="A81" s="2" t="n">
        <v>6</v>
      </c>
      <c r="B81" s="2" t="s">
        <v>355</v>
      </c>
      <c r="C81" s="38" t="n">
        <f aca="false">TÆLLA!O81</f>
        <v>994.74488086539</v>
      </c>
      <c r="D81" s="38" t="n">
        <f aca="false">'Read Layer'!T81</f>
        <v>9362.03225806452</v>
      </c>
      <c r="E81" s="38" t="n">
        <f aca="false">SOMNIO!Q81</f>
        <v>153.095327102804</v>
      </c>
      <c r="F81" s="38" t="n">
        <f aca="false">TÆLLA!Y81</f>
        <v>-1712.71351188413</v>
      </c>
      <c r="G81" s="38" t="n">
        <f aca="false">'Read Layer'!AA81</f>
        <v>6353.83868299222</v>
      </c>
      <c r="H81" s="38" t="n">
        <f aca="false">SOMNIO!U81</f>
        <v>-175.265166062568</v>
      </c>
      <c r="I81" s="37" t="n">
        <f aca="false">C81+D81+E81</f>
        <v>10509.8724660327</v>
      </c>
      <c r="J81" s="37" t="n">
        <f aca="false">F81+G81+H81</f>
        <v>4465.86000504552</v>
      </c>
      <c r="K81" s="37" t="n">
        <f aca="false">K80+J81</f>
        <v>8479.37566826558</v>
      </c>
      <c r="L81" s="2" t="n">
        <f aca="false">IF(J81&gt;0,1,0)</f>
        <v>1</v>
      </c>
      <c r="M81" s="2" t="n">
        <f aca="false">IF(K81&gt;=0,1,0)</f>
        <v>1</v>
      </c>
    </row>
    <row r="82" customFormat="false" ht="15" hidden="false" customHeight="false" outlineLevel="0" collapsed="false">
      <c r="A82" s="2" t="n">
        <v>7</v>
      </c>
      <c r="B82" s="2" t="s">
        <v>356</v>
      </c>
      <c r="C82" s="38" t="n">
        <f aca="false">TÆLLA!O82</f>
        <v>1189.11486821653</v>
      </c>
      <c r="D82" s="38" t="n">
        <f aca="false">'Read Layer'!T82</f>
        <v>9362.03225806452</v>
      </c>
      <c r="E82" s="38" t="n">
        <f aca="false">SOMNIO!Q82</f>
        <v>971.369158878505</v>
      </c>
      <c r="F82" s="38" t="n">
        <f aca="false">TÆLLA!Y82</f>
        <v>-1539.52886243851</v>
      </c>
      <c r="G82" s="38" t="n">
        <f aca="false">'Read Layer'!AA82</f>
        <v>6353.83868299222</v>
      </c>
      <c r="H82" s="38" t="n">
        <f aca="false">SOMNIO!U82</f>
        <v>625.66517917038</v>
      </c>
      <c r="I82" s="37" t="n">
        <f aca="false">C82+D82+E82</f>
        <v>11522.5162851596</v>
      </c>
      <c r="J82" s="37" t="n">
        <f aca="false">F82+G82+H82</f>
        <v>5439.97499972409</v>
      </c>
      <c r="K82" s="37" t="n">
        <f aca="false">K81+J82</f>
        <v>13919.3506679897</v>
      </c>
      <c r="L82" s="2" t="n">
        <f aca="false">IF(J82&gt;0,1,0)</f>
        <v>1</v>
      </c>
      <c r="M82" s="2" t="n">
        <f aca="false">IF(K82&gt;=0,1,0)</f>
        <v>1</v>
      </c>
    </row>
    <row r="83" customFormat="false" ht="15" hidden="false" customHeight="false" outlineLevel="0" collapsed="false">
      <c r="A83" s="2" t="n">
        <v>8</v>
      </c>
      <c r="B83" s="2" t="s">
        <v>357</v>
      </c>
      <c r="C83" s="38" t="n">
        <f aca="false">TÆLLA!O83</f>
        <v>1423.36963628618</v>
      </c>
      <c r="D83" s="38" t="n">
        <f aca="false">'Read Layer'!T83</f>
        <v>9362.03225806452</v>
      </c>
      <c r="E83" s="38" t="n">
        <f aca="false">SOMNIO!Q83</f>
        <v>1009.64299065421</v>
      </c>
      <c r="F83" s="38" t="n">
        <f aca="false">TÆLLA!Y83</f>
        <v>-1330.86788456053</v>
      </c>
      <c r="G83" s="38" t="n">
        <f aca="false">'Read Layer'!AA83</f>
        <v>6353.83868299222</v>
      </c>
      <c r="H83" s="38" t="n">
        <f aca="false">SOMNIO!U83</f>
        <v>663.939010946081</v>
      </c>
      <c r="I83" s="37" t="n">
        <f aca="false">C83+D83+E83</f>
        <v>11795.0448850049</v>
      </c>
      <c r="J83" s="37" t="n">
        <f aca="false">F83+G83+H83</f>
        <v>5686.90980937777</v>
      </c>
      <c r="K83" s="37" t="n">
        <f aca="false">K82+J83</f>
        <v>19606.2604773674</v>
      </c>
      <c r="L83" s="2" t="n">
        <f aca="false">IF(J83&gt;0,1,0)</f>
        <v>1</v>
      </c>
      <c r="M83" s="2" t="n">
        <f aca="false">IF(K83&gt;=0,1,0)</f>
        <v>1</v>
      </c>
    </row>
    <row r="84" customFormat="false" ht="15" hidden="false" customHeight="false" outlineLevel="0" collapsed="false">
      <c r="A84" s="2" t="n">
        <v>9</v>
      </c>
      <c r="B84" s="2" t="s">
        <v>358</v>
      </c>
      <c r="C84" s="38" t="n">
        <f aca="false">TÆLLA!O84</f>
        <v>1706.27349741167</v>
      </c>
      <c r="D84" s="38" t="n">
        <f aca="false">'Read Layer'!T84</f>
        <v>9362.03225806452</v>
      </c>
      <c r="E84" s="38" t="n">
        <f aca="false">SOMNIO!Q84</f>
        <v>1047.91682242991</v>
      </c>
      <c r="F84" s="38" t="n">
        <f aca="false">TÆLLA!Y84</f>
        <v>-1078.93019197713</v>
      </c>
      <c r="G84" s="38" t="n">
        <f aca="false">'Read Layer'!AA84</f>
        <v>6353.83868299222</v>
      </c>
      <c r="H84" s="38" t="n">
        <f aca="false">SOMNIO!U84</f>
        <v>702.212842721782</v>
      </c>
      <c r="I84" s="37" t="n">
        <f aca="false">C84+D84+E84</f>
        <v>12116.2225779061</v>
      </c>
      <c r="J84" s="37" t="n">
        <f aca="false">F84+G84+H84</f>
        <v>5977.12133373687</v>
      </c>
      <c r="K84" s="37" t="n">
        <f aca="false">K83+J84</f>
        <v>25583.3818111043</v>
      </c>
      <c r="L84" s="2" t="n">
        <f aca="false">IF(J84&gt;0,1,0)</f>
        <v>1</v>
      </c>
      <c r="M84" s="2" t="n">
        <f aca="false">IF(K84&gt;=0,1,0)</f>
        <v>1</v>
      </c>
    </row>
    <row r="85" customFormat="false" ht="15" hidden="false" customHeight="false" outlineLevel="0" collapsed="false">
      <c r="A85" s="2" t="n">
        <v>10</v>
      </c>
      <c r="B85" s="2" t="s">
        <v>359</v>
      </c>
      <c r="C85" s="38" t="n">
        <f aca="false">TÆLLA!O85</f>
        <v>2048.45868423086</v>
      </c>
      <c r="D85" s="38" t="n">
        <f aca="false">'Read Layer'!T85</f>
        <v>9362.03225806452</v>
      </c>
      <c r="E85" s="38" t="n">
        <f aca="false">SOMNIO!Q85</f>
        <v>1086.19065420561</v>
      </c>
      <c r="F85" s="38" t="n">
        <f aca="false">TÆLLA!Y85</f>
        <v>-774.252037990005</v>
      </c>
      <c r="G85" s="38" t="n">
        <f aca="false">'Read Layer'!AA85</f>
        <v>6353.83868299222</v>
      </c>
      <c r="H85" s="38" t="n">
        <f aca="false">SOMNIO!U85</f>
        <v>740.486674497483</v>
      </c>
      <c r="I85" s="37" t="n">
        <f aca="false">C85+D85+E85</f>
        <v>12496.681596501</v>
      </c>
      <c r="J85" s="37" t="n">
        <f aca="false">F85+G85+H85</f>
        <v>6320.0733194997</v>
      </c>
      <c r="K85" s="37" t="n">
        <f aca="false">K84+J85</f>
        <v>31903.455130604</v>
      </c>
      <c r="L85" s="2" t="n">
        <f aca="false">IF(J85&gt;0,1,0)</f>
        <v>1</v>
      </c>
      <c r="M85" s="2" t="n">
        <f aca="false">IF(K85&gt;=0,1,0)</f>
        <v>1</v>
      </c>
    </row>
    <row r="86" customFormat="false" ht="15" hidden="false" customHeight="false" outlineLevel="0" collapsed="false">
      <c r="A86" s="2" t="n">
        <v>11</v>
      </c>
      <c r="B86" s="2" t="s">
        <v>360</v>
      </c>
      <c r="C86" s="38" t="n">
        <f aca="false">TÆLLA!O86</f>
        <v>2462.80957268129</v>
      </c>
      <c r="D86" s="38" t="n">
        <f aca="false">'Read Layer'!T86</f>
        <v>9362.03225806452</v>
      </c>
      <c r="E86" s="38" t="n">
        <f aca="false">SOMNIO!Q86</f>
        <v>1124.46448598131</v>
      </c>
      <c r="F86" s="38" t="n">
        <f aca="false">TÆLLA!Y86</f>
        <v>-405.363684453426</v>
      </c>
      <c r="G86" s="38" t="n">
        <f aca="false">'Read Layer'!AA86</f>
        <v>6353.83868299222</v>
      </c>
      <c r="H86" s="38" t="n">
        <f aca="false">SOMNIO!U86</f>
        <v>778.760506273184</v>
      </c>
      <c r="I86" s="37" t="n">
        <f aca="false">C86+D86+E86</f>
        <v>12949.3063167271</v>
      </c>
      <c r="J86" s="37" t="n">
        <f aca="false">F86+G86+H86</f>
        <v>6727.23550481198</v>
      </c>
      <c r="K86" s="37" t="n">
        <f aca="false">K85+J86</f>
        <v>38630.690635416</v>
      </c>
      <c r="L86" s="2" t="n">
        <f aca="false">IF(J86&gt;0,1,0)</f>
        <v>1</v>
      </c>
      <c r="M86" s="2" t="n">
        <f aca="false">IF(K86&gt;=0,1,0)</f>
        <v>1</v>
      </c>
    </row>
    <row r="87" customFormat="false" ht="15" hidden="false" customHeight="false" outlineLevel="0" collapsed="false">
      <c r="A87" s="2" t="n">
        <v>12</v>
      </c>
      <c r="B87" s="2" t="s">
        <v>361</v>
      </c>
      <c r="C87" s="38" t="n">
        <f aca="false">TÆLLA!O87</f>
        <v>2964.91866939496</v>
      </c>
      <c r="D87" s="38" t="n">
        <f aca="false">'Read Layer'!T87</f>
        <v>9362.03225806452</v>
      </c>
      <c r="E87" s="38" t="n">
        <f aca="false">SOMNIO!Q87</f>
        <v>1162.73831775701</v>
      </c>
      <c r="F87" s="38" t="n">
        <f aca="false">TÆLLA!Y87</f>
        <v>41.617463836365</v>
      </c>
      <c r="G87" s="38" t="n">
        <f aca="false">'Read Layer'!AA87</f>
        <v>6353.83868299222</v>
      </c>
      <c r="H87" s="38" t="n">
        <f aca="false">SOMNIO!U87</f>
        <v>817.034338048885</v>
      </c>
      <c r="I87" s="37" t="n">
        <f aca="false">C87+D87+E87</f>
        <v>13489.6892452165</v>
      </c>
      <c r="J87" s="37" t="n">
        <f aca="false">F87+G87+H87</f>
        <v>7212.49048487747</v>
      </c>
      <c r="K87" s="37" t="n">
        <f aca="false">K86+J87</f>
        <v>45843.1811202935</v>
      </c>
      <c r="L87" s="2" t="n">
        <f aca="false">IF(J87&gt;0,1,0)</f>
        <v>1</v>
      </c>
      <c r="M87" s="2" t="n">
        <f aca="false">IF(K87&gt;=0,1,0)</f>
        <v>1</v>
      </c>
    </row>
    <row r="88" customFormat="false" ht="15" hidden="false" customHeight="false" outlineLevel="0" collapsed="false">
      <c r="A88" s="2" t="n">
        <v>13</v>
      </c>
      <c r="B88" s="2" t="s">
        <v>362</v>
      </c>
      <c r="C88" s="38" t="n">
        <f aca="false">TÆLLA!O88</f>
        <v>3573.6242194837</v>
      </c>
      <c r="D88" s="38" t="n">
        <f aca="false">'Read Layer'!T88</f>
        <v>9362.03225806452</v>
      </c>
      <c r="E88" s="38" t="n">
        <f aca="false">SOMNIO!Q88</f>
        <v>1201.01214953271</v>
      </c>
      <c r="F88" s="38" t="n">
        <f aca="false">TÆLLA!Y88</f>
        <v>583.466907629152</v>
      </c>
      <c r="G88" s="38" t="n">
        <f aca="false">'Read Layer'!AA88</f>
        <v>6353.83868299222</v>
      </c>
      <c r="H88" s="38" t="n">
        <f aca="false">SOMNIO!U88</f>
        <v>855.308169824586</v>
      </c>
      <c r="I88" s="37" t="n">
        <f aca="false">C88+D88+E88</f>
        <v>14136.6686270809</v>
      </c>
      <c r="J88" s="37" t="n">
        <f aca="false">F88+G88+H88</f>
        <v>7792.61376044596</v>
      </c>
      <c r="K88" s="37" t="n">
        <f aca="false">K87+J88</f>
        <v>53635.7948807394</v>
      </c>
      <c r="L88" s="2" t="n">
        <f aca="false">IF(J88&gt;0,1,0)</f>
        <v>1</v>
      </c>
      <c r="M88" s="2" t="n">
        <f aca="false">IF(K88&gt;=0,1,0)</f>
        <v>1</v>
      </c>
    </row>
    <row r="89" customFormat="false" ht="15" hidden="false" customHeight="false" outlineLevel="0" collapsed="false">
      <c r="A89" s="2" t="n">
        <v>14</v>
      </c>
      <c r="B89" s="2" t="s">
        <v>363</v>
      </c>
      <c r="C89" s="38" t="n">
        <f aca="false">TÆLLA!O89</f>
        <v>4311.63879698336</v>
      </c>
      <c r="D89" s="38" t="n">
        <f aca="false">'Read Layer'!T89</f>
        <v>9362.03225806452</v>
      </c>
      <c r="E89" s="38" t="n">
        <f aca="false">SOMNIO!Q89</f>
        <v>1239.28598130841</v>
      </c>
      <c r="F89" s="38" t="n">
        <f aca="false">TÆLLA!Y89</f>
        <v>1240.41487197687</v>
      </c>
      <c r="G89" s="38" t="n">
        <f aca="false">'Read Layer'!AA89</f>
        <v>6353.83868299222</v>
      </c>
      <c r="H89" s="38" t="n">
        <f aca="false">SOMNIO!U89</f>
        <v>893.582001600287</v>
      </c>
      <c r="I89" s="37" t="n">
        <f aca="false">C89+D89+E89</f>
        <v>14912.9570363563</v>
      </c>
      <c r="J89" s="37" t="n">
        <f aca="false">F89+G89+H89</f>
        <v>8487.83555656937</v>
      </c>
      <c r="K89" s="37" t="n">
        <f aca="false">K88+J89</f>
        <v>62123.6304373088</v>
      </c>
      <c r="L89" s="2" t="n">
        <f aca="false">IF(J89&gt;0,1,0)</f>
        <v>1</v>
      </c>
      <c r="M89" s="2" t="n">
        <f aca="false">IF(K89&gt;=0,1,0)</f>
        <v>1</v>
      </c>
    </row>
    <row r="90" customFormat="false" ht="15" hidden="false" customHeight="false" outlineLevel="0" collapsed="false">
      <c r="A90" s="2" t="n">
        <v>15</v>
      </c>
      <c r="B90" s="2" t="s">
        <v>364</v>
      </c>
      <c r="C90" s="38" t="n">
        <f aca="false">TÆLLA!O90</f>
        <v>5206.27652012596</v>
      </c>
      <c r="D90" s="38" t="n">
        <f aca="false">'Read Layer'!T90</f>
        <v>9362.03225806452</v>
      </c>
      <c r="E90" s="38" t="n">
        <f aca="false">SOMNIO!Q90</f>
        <v>1277.55981308411</v>
      </c>
      <c r="F90" s="38" t="n">
        <f aca="false">TÆLLA!Y90</f>
        <v>2036.79706137309</v>
      </c>
      <c r="G90" s="38" t="n">
        <f aca="false">'Read Layer'!AA90</f>
        <v>6353.83868299222</v>
      </c>
      <c r="H90" s="38" t="n">
        <f aca="false">SOMNIO!U90</f>
        <v>931.855833375988</v>
      </c>
      <c r="I90" s="37" t="n">
        <f aca="false">C90+D90+E90</f>
        <v>15845.8685912746</v>
      </c>
      <c r="J90" s="37" t="n">
        <f aca="false">F90+G90+H90</f>
        <v>9322.4915777413</v>
      </c>
      <c r="K90" s="37" t="n">
        <f aca="false">K89+J90</f>
        <v>71446.1220150501</v>
      </c>
      <c r="L90" s="2" t="n">
        <f aca="false">IF(J90&gt;0,1,0)</f>
        <v>1</v>
      </c>
      <c r="M90" s="2" t="n">
        <f aca="false">IF(K90&gt;=0,1,0)</f>
        <v>1</v>
      </c>
    </row>
    <row r="91" customFormat="false" ht="15" hidden="false" customHeight="false" outlineLevel="0" collapsed="false">
      <c r="A91" s="2" t="n">
        <v>16</v>
      </c>
      <c r="B91" s="2" t="s">
        <v>365</v>
      </c>
      <c r="C91" s="38" t="n">
        <f aca="false">TÆLLA!O91</f>
        <v>6290.28290899897</v>
      </c>
      <c r="D91" s="38" t="n">
        <f aca="false">'Read Layer'!T91</f>
        <v>9362.03225806452</v>
      </c>
      <c r="E91" s="38" t="n">
        <f aca="false">SOMNIO!Q91</f>
        <v>1315.83364485981</v>
      </c>
      <c r="F91" s="38" t="n">
        <f aca="false">TÆLLA!Y91</f>
        <v>2864.28937678666</v>
      </c>
      <c r="G91" s="38" t="n">
        <f aca="false">'Read Layer'!AA91</f>
        <v>6353.83868299222</v>
      </c>
      <c r="H91" s="38" t="n">
        <f aca="false">SOMNIO!U91</f>
        <v>970.129665151689</v>
      </c>
      <c r="I91" s="37" t="n">
        <f aca="false">C91+D91+E91</f>
        <v>16968.1488119233</v>
      </c>
      <c r="J91" s="37" t="n">
        <f aca="false">F91+G91+H91</f>
        <v>10188.2577249306</v>
      </c>
      <c r="K91" s="37" t="n">
        <f aca="false">K90+J91</f>
        <v>81634.3797399807</v>
      </c>
      <c r="L91" s="2" t="n">
        <f aca="false">IF(J91&gt;0,1,0)</f>
        <v>1</v>
      </c>
      <c r="M91" s="2" t="n">
        <f aca="false">IF(K91&gt;=0,1,0)</f>
        <v>1</v>
      </c>
    </row>
    <row r="92" customFormat="false" ht="15" hidden="false" customHeight="false" outlineLevel="0" collapsed="false">
      <c r="A92" s="2" t="n">
        <v>17</v>
      </c>
      <c r="B92" s="2" t="s">
        <v>366</v>
      </c>
      <c r="C92" s="38" t="n">
        <f aca="false">TÆLLA!O92</f>
        <v>7602.76494667263</v>
      </c>
      <c r="D92" s="38" t="n">
        <f aca="false">'Read Layer'!T92</f>
        <v>9362.03225806452</v>
      </c>
      <c r="E92" s="38" t="n">
        <f aca="false">SOMNIO!Q92</f>
        <v>1354.10747663551</v>
      </c>
      <c r="F92" s="38" t="n">
        <f aca="false">TÆLLA!Y92</f>
        <v>3667.36242083106</v>
      </c>
      <c r="G92" s="38" t="n">
        <f aca="false">'Read Layer'!AA92</f>
        <v>6353.83868299222</v>
      </c>
      <c r="H92" s="38" t="n">
        <f aca="false">SOMNIO!U92</f>
        <v>1008.40349692739</v>
      </c>
      <c r="I92" s="37" t="n">
        <f aca="false">C92+D92+E92</f>
        <v>18318.9046813727</v>
      </c>
      <c r="J92" s="37" t="n">
        <f aca="false">F92+G92+H92</f>
        <v>11029.6046007507</v>
      </c>
      <c r="K92" s="37" t="n">
        <f aca="false">K91+J92</f>
        <v>92663.9843407313</v>
      </c>
      <c r="L92" s="2" t="n">
        <f aca="false">IF(J92&gt;0,1,0)</f>
        <v>1</v>
      </c>
      <c r="M92" s="2" t="n">
        <f aca="false">IF(K92&gt;=0,1,0)</f>
        <v>1</v>
      </c>
    </row>
    <row r="93" customFormat="false" ht="15" hidden="false" customHeight="false" outlineLevel="0" collapsed="false">
      <c r="A93" s="2" t="n">
        <v>18</v>
      </c>
      <c r="B93" s="2" t="s">
        <v>367</v>
      </c>
      <c r="C93" s="38" t="n">
        <f aca="false">TÆLLA!O93</f>
        <v>9190.2084030631</v>
      </c>
      <c r="D93" s="38" t="n">
        <f aca="false">'Read Layer'!T93</f>
        <v>9362.03225806452</v>
      </c>
      <c r="E93" s="38" t="n">
        <f aca="false">SOMNIO!Q93</f>
        <v>1392.38130841121</v>
      </c>
      <c r="F93" s="38" t="n">
        <f aca="false">TÆLLA!Y93</f>
        <v>4638.84092795017</v>
      </c>
      <c r="G93" s="38" t="n">
        <f aca="false">'Read Layer'!AA93</f>
        <v>6353.83868299222</v>
      </c>
      <c r="H93" s="38" t="n">
        <f aca="false">SOMNIO!U93</f>
        <v>1046.67732870309</v>
      </c>
      <c r="I93" s="37" t="n">
        <f aca="false">C93+D93+E93</f>
        <v>19944.6219695388</v>
      </c>
      <c r="J93" s="37" t="n">
        <f aca="false">F93+G93+H93</f>
        <v>12039.3569396455</v>
      </c>
      <c r="K93" s="37" t="n">
        <f aca="false">K92+J93</f>
        <v>104703.341280377</v>
      </c>
      <c r="L93" s="2" t="n">
        <f aca="false">IF(J93&gt;0,1,0)</f>
        <v>1</v>
      </c>
      <c r="M93" s="2" t="n">
        <f aca="false">IF(K93&gt;=0,1,0)</f>
        <v>1</v>
      </c>
    </row>
    <row r="94" customFormat="false" ht="15" hidden="false" customHeight="false" outlineLevel="0" collapsed="false">
      <c r="A94" s="2" t="n">
        <v>19</v>
      </c>
      <c r="B94" s="2" t="s">
        <v>368</v>
      </c>
      <c r="C94" s="38" t="n">
        <f aca="false">TÆLLA!O94</f>
        <v>11107.5534369915</v>
      </c>
      <c r="D94" s="38" t="n">
        <f aca="false">'Read Layer'!T94</f>
        <v>9362.03225806452</v>
      </c>
      <c r="E94" s="38" t="n">
        <f aca="false">SOMNIO!Q94</f>
        <v>1430.65514018692</v>
      </c>
      <c r="F94" s="38" t="n">
        <f aca="false">TÆLLA!Y94</f>
        <v>5812.47313206766</v>
      </c>
      <c r="G94" s="38" t="n">
        <f aca="false">'Read Layer'!AA94</f>
        <v>6353.83868299222</v>
      </c>
      <c r="H94" s="38" t="n">
        <f aca="false">SOMNIO!U94</f>
        <v>1084.95116047879</v>
      </c>
      <c r="I94" s="37" t="n">
        <f aca="false">C94+D94+E94</f>
        <v>21900.2408352429</v>
      </c>
      <c r="J94" s="37" t="n">
        <f aca="false">F94+G94+H94</f>
        <v>13251.2629755387</v>
      </c>
      <c r="K94" s="37" t="n">
        <f aca="false">K93+J94</f>
        <v>117954.604255915</v>
      </c>
      <c r="L94" s="2" t="n">
        <f aca="false">IF(J94&gt;0,1,0)</f>
        <v>1</v>
      </c>
      <c r="M94" s="2" t="n">
        <f aca="false">IF(K94&gt;=0,1,0)</f>
        <v>1</v>
      </c>
    </row>
    <row r="95" customFormat="false" ht="15" hidden="false" customHeight="false" outlineLevel="0" collapsed="false">
      <c r="A95" s="2" t="n">
        <v>20</v>
      </c>
      <c r="B95" s="2" t="s">
        <v>369</v>
      </c>
      <c r="C95" s="38" t="n">
        <f aca="false">TÆLLA!O95</f>
        <v>13419.2762175518</v>
      </c>
      <c r="D95" s="38" t="n">
        <f aca="false">'Read Layer'!T95</f>
        <v>9362.03225806452</v>
      </c>
      <c r="E95" s="38" t="n">
        <f aca="false">SOMNIO!Q95</f>
        <v>1468.92897196262</v>
      </c>
      <c r="F95" s="38" t="n">
        <f aca="false">TÆLLA!Y95</f>
        <v>7227.91080820155</v>
      </c>
      <c r="G95" s="38" t="n">
        <f aca="false">'Read Layer'!AA95</f>
        <v>6353.83868299222</v>
      </c>
      <c r="H95" s="38" t="n">
        <f aca="false">SOMNIO!U95</f>
        <v>1123.22499225449</v>
      </c>
      <c r="I95" s="37" t="n">
        <f aca="false">C95+D95+E95</f>
        <v>24250.237447579</v>
      </c>
      <c r="J95" s="37" t="n">
        <f aca="false">F95+G95+H95</f>
        <v>14704.9744834483</v>
      </c>
      <c r="K95" s="37" t="n">
        <f aca="false">K94+J95</f>
        <v>132659.578739364</v>
      </c>
      <c r="L95" s="2" t="n">
        <f aca="false">IF(J95&gt;0,1,0)</f>
        <v>1</v>
      </c>
      <c r="M95" s="2" t="n">
        <f aca="false">IF(K95&gt;=0,1,0)</f>
        <v>1</v>
      </c>
    </row>
    <row r="96" customFormat="false" ht="15" hidden="false" customHeight="false" outlineLevel="0" collapsed="false">
      <c r="A96" s="2" t="n">
        <v>21</v>
      </c>
      <c r="B96" s="2" t="s">
        <v>370</v>
      </c>
      <c r="C96" s="38" t="n">
        <f aca="false">TÆLLA!O96</f>
        <v>16200.3921782604</v>
      </c>
      <c r="D96" s="38" t="n">
        <f aca="false">'Read Layer'!T96</f>
        <v>9362.03225806452</v>
      </c>
      <c r="E96" s="38" t="n">
        <f aca="false">SOMNIO!Q96</f>
        <v>1507.20280373832</v>
      </c>
      <c r="F96" s="38" t="n">
        <f aca="false">TÆLLA!Y96</f>
        <v>8931.35319282904</v>
      </c>
      <c r="G96" s="38" t="n">
        <f aca="false">'Read Layer'!AA96</f>
        <v>6353.83868299222</v>
      </c>
      <c r="H96" s="38" t="n">
        <f aca="false">SOMNIO!U96</f>
        <v>1161.49882403019</v>
      </c>
      <c r="I96" s="37" t="n">
        <f aca="false">C96+D96+E96</f>
        <v>27069.6272400633</v>
      </c>
      <c r="J96" s="37" t="n">
        <f aca="false">F96+G96+H96</f>
        <v>16446.6906998515</v>
      </c>
      <c r="K96" s="37" t="n">
        <f aca="false">K95+J96</f>
        <v>149106.269439215</v>
      </c>
      <c r="L96" s="2" t="n">
        <f aca="false">IF(J96&gt;0,1,0)</f>
        <v>1</v>
      </c>
      <c r="M96" s="2" t="n">
        <f aca="false">IF(K96&gt;=0,1,0)</f>
        <v>1</v>
      </c>
    </row>
    <row r="97" customFormat="false" ht="15" hidden="false" customHeight="false" outlineLevel="0" collapsed="false">
      <c r="A97" s="2" t="n">
        <v>22</v>
      </c>
      <c r="B97" s="2" t="s">
        <v>371</v>
      </c>
      <c r="C97" s="38" t="n">
        <f aca="false">TÆLLA!O97</f>
        <v>19537.2545149504</v>
      </c>
      <c r="D97" s="38" t="n">
        <f aca="false">'Read Layer'!T97</f>
        <v>9362.03225806452</v>
      </c>
      <c r="E97" s="38" t="n">
        <f aca="false">SOMNIO!Q97</f>
        <v>1545.47663551402</v>
      </c>
      <c r="F97" s="38" t="n">
        <f aca="false">TÆLLA!Y97</f>
        <v>10976.076399052</v>
      </c>
      <c r="G97" s="38" t="n">
        <f aca="false">'Read Layer'!AA97</f>
        <v>6353.83868299222</v>
      </c>
      <c r="H97" s="38" t="n">
        <f aca="false">SOMNIO!U97</f>
        <v>1199.77265580589</v>
      </c>
      <c r="I97" s="37" t="n">
        <f aca="false">C97+D97+E97</f>
        <v>30444.763408529</v>
      </c>
      <c r="J97" s="37" t="n">
        <f aca="false">F97+G97+H97</f>
        <v>18529.6877378502</v>
      </c>
      <c r="K97" s="37" t="n">
        <f aca="false">K96+J97</f>
        <v>167635.957177065</v>
      </c>
      <c r="L97" s="2" t="n">
        <f aca="false">IF(J97&gt;0,1,0)</f>
        <v>1</v>
      </c>
      <c r="M97" s="2" t="n">
        <f aca="false">IF(K97&gt;=0,1,0)</f>
        <v>1</v>
      </c>
    </row>
    <row r="98" customFormat="false" ht="15" hidden="false" customHeight="false" outlineLevel="0" collapsed="false">
      <c r="A98" s="2" t="n">
        <v>23</v>
      </c>
      <c r="B98" s="2" t="s">
        <v>372</v>
      </c>
      <c r="C98" s="38" t="n">
        <f aca="false">TÆLLA!O98</f>
        <v>23527.9701879669</v>
      </c>
      <c r="D98" s="38" t="n">
        <f aca="false">'Read Layer'!T98</f>
        <v>9362.03225806452</v>
      </c>
      <c r="E98" s="38" t="n">
        <f aca="false">SOMNIO!Q98</f>
        <v>1583.75046728972</v>
      </c>
      <c r="F98" s="38" t="n">
        <f aca="false">TÆLLA!Y98</f>
        <v>13422.7419969894</v>
      </c>
      <c r="G98" s="38" t="n">
        <f aca="false">'Read Layer'!AA98</f>
        <v>6353.83868299222</v>
      </c>
      <c r="H98" s="38" t="n">
        <f aca="false">SOMNIO!U98</f>
        <v>1238.0464875816</v>
      </c>
      <c r="I98" s="37" t="n">
        <f aca="false">C98+D98+E98</f>
        <v>34473.7529133212</v>
      </c>
      <c r="J98" s="37" t="n">
        <f aca="false">F98+G98+H98</f>
        <v>21014.6271675632</v>
      </c>
      <c r="K98" s="37" t="n">
        <f aca="false">K97+J98</f>
        <v>188650.584344629</v>
      </c>
      <c r="L98" s="2" t="n">
        <f aca="false">IF(J98&gt;0,1,0)</f>
        <v>1</v>
      </c>
      <c r="M98" s="2" t="n">
        <f aca="false">IF(K98&gt;=0,1,0)</f>
        <v>1</v>
      </c>
    </row>
    <row r="99" customFormat="false" ht="15" hidden="false" customHeight="false" outlineLevel="0" collapsed="false">
      <c r="A99" s="2" t="n">
        <v>24</v>
      </c>
      <c r="B99" s="2" t="s">
        <v>373</v>
      </c>
      <c r="C99" s="38" t="n">
        <f aca="false">TÆLLA!O99</f>
        <v>28282.1985376999</v>
      </c>
      <c r="D99" s="38" t="n">
        <f aca="false">'Read Layer'!T99</f>
        <v>9362.03225806452</v>
      </c>
      <c r="E99" s="38" t="n">
        <f aca="false">SOMNIO!Q99</f>
        <v>1622.02429906542</v>
      </c>
      <c r="F99" s="38" t="n">
        <f aca="false">TÆLLA!Y99</f>
        <v>16339.3429676015</v>
      </c>
      <c r="G99" s="38" t="n">
        <f aca="false">'Read Layer'!AA99</f>
        <v>6353.83868299222</v>
      </c>
      <c r="H99" s="38" t="n">
        <f aca="false">SOMNIO!U99</f>
        <v>1276.3203193573</v>
      </c>
      <c r="I99" s="37" t="n">
        <f aca="false">C99+D99+E99</f>
        <v>39266.2550948299</v>
      </c>
      <c r="J99" s="37" t="n">
        <f aca="false">F99+G99+H99</f>
        <v>23969.501969951</v>
      </c>
      <c r="K99" s="37" t="n">
        <f aca="false">K98+J99</f>
        <v>212620.08631458</v>
      </c>
      <c r="L99" s="2" t="n">
        <f aca="false">IF(J99&gt;0,1,0)</f>
        <v>1</v>
      </c>
      <c r="M99" s="2" t="n">
        <f aca="false">IF(K99&gt;=0,1,0)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42"/>
    <col collapsed="false" customWidth="true" hidden="false" outlineLevel="0" max="4" min="4" style="0" width="40"/>
    <col collapsed="false" customWidth="true" hidden="false" outlineLevel="0" max="6" min="5" style="0" width="14"/>
    <col collapsed="false" customWidth="true" hidden="false" outlineLevel="0" max="7" min="7" style="0" width="9"/>
    <col collapsed="false" customWidth="true" hidden="false" outlineLevel="0" max="8" min="8" style="0" width="46"/>
    <col collapsed="false" customWidth="true" hidden="false" outlineLevel="0" max="9" min="9" style="0" width="32"/>
    <col collapsed="false" customWidth="true" hidden="false" outlineLevel="0" max="10" min="10" style="0" width="7"/>
  </cols>
  <sheetData>
    <row r="1" customFormat="false" ht="17.35" hidden="false" customHeight="false" outlineLevel="0" collapsed="false">
      <c r="A1" s="1" t="s">
        <v>439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7" t="s">
        <v>440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441</v>
      </c>
      <c r="B4" s="4" t="s">
        <v>442</v>
      </c>
      <c r="C4" s="4" t="s">
        <v>443</v>
      </c>
      <c r="D4" s="4" t="s">
        <v>444</v>
      </c>
      <c r="E4" s="4" t="s">
        <v>445</v>
      </c>
      <c r="F4" s="4" t="s">
        <v>446</v>
      </c>
      <c r="G4" s="4" t="s">
        <v>447</v>
      </c>
      <c r="H4" s="4" t="s">
        <v>448</v>
      </c>
      <c r="I4" s="4" t="s">
        <v>449</v>
      </c>
      <c r="J4" s="4" t="s">
        <v>450</v>
      </c>
    </row>
    <row r="5" customFormat="false" ht="39.55" hidden="false" customHeight="false" outlineLevel="0" collapsed="false">
      <c r="A5" s="9" t="s">
        <v>451</v>
      </c>
      <c r="B5" s="9" t="s">
        <v>452</v>
      </c>
      <c r="C5" s="9" t="s">
        <v>453</v>
      </c>
      <c r="D5" s="9" t="s">
        <v>454</v>
      </c>
      <c r="E5" s="39" t="n">
        <v>5000</v>
      </c>
      <c r="F5" s="39" t="n">
        <v>25000</v>
      </c>
      <c r="G5" s="9" t="s">
        <v>455</v>
      </c>
      <c r="H5" s="9" t="s">
        <v>456</v>
      </c>
      <c r="I5" s="9" t="s">
        <v>457</v>
      </c>
      <c r="J5" s="9" t="n">
        <v>1</v>
      </c>
    </row>
    <row r="6" customFormat="false" ht="39.55" hidden="false" customHeight="false" outlineLevel="0" collapsed="false">
      <c r="A6" s="9" t="s">
        <v>458</v>
      </c>
      <c r="B6" s="9" t="s">
        <v>459</v>
      </c>
      <c r="C6" s="9" t="s">
        <v>460</v>
      </c>
      <c r="D6" s="9" t="s">
        <v>461</v>
      </c>
      <c r="E6" s="39" t="n">
        <v>10000</v>
      </c>
      <c r="F6" s="39" t="n">
        <v>60000</v>
      </c>
      <c r="G6" s="9" t="s">
        <v>462</v>
      </c>
      <c r="H6" s="9" t="s">
        <v>463</v>
      </c>
      <c r="I6" s="9" t="s">
        <v>464</v>
      </c>
      <c r="J6" s="9" t="n">
        <v>2</v>
      </c>
    </row>
    <row r="7" customFormat="false" ht="39.55" hidden="false" customHeight="false" outlineLevel="0" collapsed="false">
      <c r="A7" s="9" t="s">
        <v>465</v>
      </c>
      <c r="B7" s="9" t="s">
        <v>466</v>
      </c>
      <c r="C7" s="9" t="s">
        <v>467</v>
      </c>
      <c r="D7" s="9" t="s">
        <v>468</v>
      </c>
      <c r="E7" s="39" t="n">
        <v>2000</v>
      </c>
      <c r="F7" s="39" t="n">
        <v>15000</v>
      </c>
      <c r="G7" s="9" t="s">
        <v>455</v>
      </c>
      <c r="H7" s="9" t="s">
        <v>469</v>
      </c>
      <c r="I7" s="9" t="s">
        <v>470</v>
      </c>
      <c r="J7" s="9" t="n">
        <v>3</v>
      </c>
    </row>
    <row r="8" customFormat="false" ht="26.85" hidden="false" customHeight="false" outlineLevel="0" collapsed="false">
      <c r="A8" s="9" t="s">
        <v>471</v>
      </c>
      <c r="B8" s="9" t="s">
        <v>472</v>
      </c>
      <c r="C8" s="9" t="s">
        <v>473</v>
      </c>
      <c r="D8" s="9" t="s">
        <v>474</v>
      </c>
      <c r="E8" s="39" t="n">
        <v>5000</v>
      </c>
      <c r="F8" s="39" t="n">
        <v>30000</v>
      </c>
      <c r="G8" s="9" t="s">
        <v>462</v>
      </c>
      <c r="H8" s="9" t="s">
        <v>475</v>
      </c>
      <c r="I8" s="9" t="s">
        <v>476</v>
      </c>
      <c r="J8" s="9"/>
    </row>
    <row r="9" customFormat="false" ht="26.85" hidden="false" customHeight="false" outlineLevel="0" collapsed="false">
      <c r="A9" s="9" t="s">
        <v>477</v>
      </c>
      <c r="B9" s="9" t="s">
        <v>478</v>
      </c>
      <c r="C9" s="9" t="s">
        <v>479</v>
      </c>
      <c r="D9" s="9" t="s">
        <v>480</v>
      </c>
      <c r="E9" s="39" t="n">
        <v>5000</v>
      </c>
      <c r="F9" s="39" t="n">
        <v>40000</v>
      </c>
      <c r="G9" s="9" t="s">
        <v>481</v>
      </c>
      <c r="H9" s="9" t="s">
        <v>482</v>
      </c>
      <c r="I9" s="9" t="s">
        <v>483</v>
      </c>
      <c r="J9" s="9"/>
    </row>
    <row r="10" customFormat="false" ht="26.85" hidden="false" customHeight="false" outlineLevel="0" collapsed="false">
      <c r="A10" s="9" t="s">
        <v>484</v>
      </c>
      <c r="B10" s="9" t="s">
        <v>485</v>
      </c>
      <c r="C10" s="9" t="s">
        <v>486</v>
      </c>
      <c r="D10" s="9" t="s">
        <v>487</v>
      </c>
      <c r="E10" s="39" t="n">
        <v>5000</v>
      </c>
      <c r="F10" s="39" t="n">
        <v>30000</v>
      </c>
      <c r="G10" s="9" t="s">
        <v>462</v>
      </c>
      <c r="H10" s="9" t="s">
        <v>488</v>
      </c>
      <c r="I10" s="9" t="s">
        <v>489</v>
      </c>
      <c r="J10" s="9"/>
    </row>
    <row r="11" customFormat="false" ht="26.85" hidden="false" customHeight="false" outlineLevel="0" collapsed="false">
      <c r="A11" s="9" t="s">
        <v>490</v>
      </c>
      <c r="B11" s="9" t="s">
        <v>491</v>
      </c>
      <c r="C11" s="9" t="s">
        <v>492</v>
      </c>
      <c r="D11" s="9" t="s">
        <v>493</v>
      </c>
      <c r="E11" s="39" t="n">
        <v>2000</v>
      </c>
      <c r="F11" s="39" t="n">
        <v>20000</v>
      </c>
      <c r="G11" s="9" t="s">
        <v>462</v>
      </c>
      <c r="H11" s="9" t="s">
        <v>494</v>
      </c>
      <c r="I11" s="9" t="s">
        <v>495</v>
      </c>
      <c r="J11" s="9"/>
    </row>
    <row r="12" customFormat="false" ht="26.85" hidden="false" customHeight="false" outlineLevel="0" collapsed="false">
      <c r="A12" s="9" t="s">
        <v>496</v>
      </c>
      <c r="B12" s="9" t="s">
        <v>497</v>
      </c>
      <c r="C12" s="9" t="s">
        <v>498</v>
      </c>
      <c r="D12" s="9" t="s">
        <v>499</v>
      </c>
      <c r="E12" s="39" t="n">
        <v>5000</v>
      </c>
      <c r="F12" s="39" t="n">
        <v>30000</v>
      </c>
      <c r="G12" s="9" t="s">
        <v>462</v>
      </c>
      <c r="H12" s="9" t="s">
        <v>500</v>
      </c>
      <c r="I12" s="9" t="s">
        <v>470</v>
      </c>
      <c r="J12" s="9"/>
    </row>
    <row r="13" customFormat="false" ht="39.55" hidden="false" customHeight="false" outlineLevel="0" collapsed="false">
      <c r="A13" s="9" t="s">
        <v>501</v>
      </c>
      <c r="B13" s="9" t="s">
        <v>502</v>
      </c>
      <c r="C13" s="9" t="s">
        <v>503</v>
      </c>
      <c r="D13" s="9" t="s">
        <v>504</v>
      </c>
      <c r="E13" s="39" t="n">
        <v>0</v>
      </c>
      <c r="F13" s="39" t="n">
        <v>10000</v>
      </c>
      <c r="G13" s="9" t="s">
        <v>481</v>
      </c>
      <c r="H13" s="9" t="s">
        <v>505</v>
      </c>
      <c r="I13" s="9" t="s">
        <v>506</v>
      </c>
      <c r="J13" s="9"/>
    </row>
    <row r="14" customFormat="false" ht="26.85" hidden="false" customHeight="false" outlineLevel="0" collapsed="false">
      <c r="A14" s="9" t="s">
        <v>507</v>
      </c>
      <c r="B14" s="9" t="s">
        <v>508</v>
      </c>
      <c r="C14" s="9" t="s">
        <v>509</v>
      </c>
      <c r="D14" s="9" t="s">
        <v>510</v>
      </c>
      <c r="E14" s="39" t="n">
        <v>2000</v>
      </c>
      <c r="F14" s="39" t="n">
        <v>15000</v>
      </c>
      <c r="G14" s="9" t="s">
        <v>462</v>
      </c>
      <c r="H14" s="9" t="s">
        <v>511</v>
      </c>
      <c r="I14" s="9" t="s">
        <v>512</v>
      </c>
      <c r="J14" s="9"/>
    </row>
    <row r="15" customFormat="false" ht="15" hidden="false" customHeight="false" outlineLevel="0" collapsed="false">
      <c r="A15" s="32" t="s">
        <v>513</v>
      </c>
      <c r="B15" s="2"/>
      <c r="C15" s="2"/>
      <c r="D15" s="2"/>
      <c r="E15" s="36" t="n">
        <f aca="false">SUM(E5:E14)</f>
        <v>41000</v>
      </c>
      <c r="F15" s="36" t="n">
        <f aca="false">SUM(F5:F14)</f>
        <v>275000</v>
      </c>
      <c r="G15" s="2"/>
      <c r="H15" s="2"/>
      <c r="I15" s="2"/>
      <c r="J1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8" min="3" style="0" width="13"/>
  </cols>
  <sheetData>
    <row r="1" customFormat="false" ht="17.35" hidden="false" customHeight="false" outlineLevel="0" collapsed="false">
      <c r="A1" s="1" t="s">
        <v>514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customFormat="false" ht="52.2" hidden="false" customHeight="false" outlineLevel="0" collapsed="false">
      <c r="A3" s="4" t="s">
        <v>312</v>
      </c>
      <c r="B3" s="31" t="str">
        <f aca="false">"vorsichtig – "&amp;Annahmen!$B$133</f>
        <v>vorsichtig – teures Hobby</v>
      </c>
      <c r="C3" s="31" t="str">
        <f aca="false">"mittel – "&amp;Annahmen!$C$133</f>
        <v>mittel – profitabler Nebenerwerb</v>
      </c>
      <c r="D3" s="31" t="str">
        <f aca="false">"stark – "&amp;Annahmen!$D$133</f>
        <v>stark – skalierbares Business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customFormat="false" ht="15" hidden="false" customHeight="false" outlineLevel="0" collapsed="false">
      <c r="A4" s="32" t="s">
        <v>515</v>
      </c>
      <c r="B4" s="32" t="str">
        <f aca="false">IFERROR("Monat "&amp;MATCH(1,AK34:AK57,0)&amp;" ("&amp;INDEX($B$34:$B$57,MATCH(1,AK34:AK57,0))&amp;")","nicht in 24 M")</f>
        <v>nicht in 24 M</v>
      </c>
      <c r="C4" s="32" t="str">
        <f aca="false">IFERROR("Monat "&amp;MATCH(1,AK63:AK86,0)&amp;" ("&amp;INDEX($B$63:$B$86,MATCH(1,AK63:AK86,0))&amp;")","nicht in 24 M")</f>
        <v>Monat 17 (05/2028)</v>
      </c>
      <c r="D4" s="32" t="str">
        <f aca="false">IFERROR("Monat "&amp;MATCH(1,AK92:AK115,0)&amp;" ("&amp;INDEX($B$92:$B$115,MATCH(1,AK92:AK115,0))&amp;")","nicht in 24 M")</f>
        <v>Monat 12 (12/2027)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customFormat="false" ht="15" hidden="false" customHeight="false" outlineLevel="0" collapsed="false">
      <c r="A5" s="32" t="s">
        <v>516</v>
      </c>
      <c r="B5" s="32" t="str">
        <f aca="false">IFERROR("Monat "&amp;MATCH(1,AL34:AL57,0)&amp;" ("&amp;INDEX($B$34:$B$57,MATCH(1,AL34:AL57,0))&amp;")","nicht in 24 M")</f>
        <v>nicht in 24 M</v>
      </c>
      <c r="C5" s="32" t="str">
        <f aca="false">IFERROR("Monat "&amp;MATCH(1,AL63:AL86,0)&amp;" ("&amp;INDEX($B$63:$B$86,MATCH(1,AL63:AL86,0))&amp;")","nicht in 24 M")</f>
        <v>Monat 24 (12/2028)</v>
      </c>
      <c r="D5" s="32" t="str">
        <f aca="false">IFERROR("Monat "&amp;MATCH(1,AL92:AL115,0)&amp;" ("&amp;INDEX($B$92:$B$115,MATCH(1,AL92:AL115,0))&amp;")","nicht in 24 M")</f>
        <v>Monat 18 (06/2028)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customFormat="false" ht="15" hidden="false" customHeight="false" outlineLevel="0" collapsed="false">
      <c r="A6" s="32" t="s">
        <v>517</v>
      </c>
      <c r="B6" s="32" t="str">
        <f aca="false">IFERROR("Monat "&amp;MATCH(1,AI34:AI57,0)&amp;" ("&amp;INDEX($B$34:$B$57,MATCH(1,AI34:AI57,0))&amp;")","nicht in 24 M")</f>
        <v>Monat 6 (06/2027)</v>
      </c>
      <c r="C6" s="32" t="str">
        <f aca="false">IFERROR("Monat "&amp;MATCH(1,AI63:AI86,0)&amp;" ("&amp;INDEX($B$63:$B$86,MATCH(1,AI63:AI86,0))&amp;")","nicht in 24 M")</f>
        <v>Monat 4 (04/2027)</v>
      </c>
      <c r="D6" s="32" t="str">
        <f aca="false">IFERROR("Monat "&amp;MATCH(1,AI92:AI115,0)&amp;" ("&amp;INDEX($B$92:$B$115,MATCH(1,AI92:AI115,0))&amp;")","nicht in 24 M")</f>
        <v>Monat 3 (03/2027)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customFormat="false" ht="15" hidden="false" customHeight="false" outlineLevel="0" collapsed="false">
      <c r="A7" s="32" t="s">
        <v>518</v>
      </c>
      <c r="B7" s="32" t="str">
        <f aca="false">IFERROR("Monat "&amp;MATCH(1,AJ34:AJ57,0)&amp;" ("&amp;INDEX($B$34:$B$57,MATCH(1,AJ34:AJ57,0))&amp;")","nicht in 24 M")</f>
        <v>Monat 16 (04/2028)</v>
      </c>
      <c r="C7" s="32" t="str">
        <f aca="false">IFERROR("Monat "&amp;MATCH(1,AJ63:AJ86,0)&amp;" ("&amp;INDEX($B$63:$B$86,MATCH(1,AJ63:AJ86,0))&amp;")","nicht in 24 M")</f>
        <v>Monat 5 (05/2027)</v>
      </c>
      <c r="D7" s="32" t="str">
        <f aca="false">IFERROR("Monat "&amp;MATCH(1,AJ92:AJ115,0)&amp;" ("&amp;INDEX($B$92:$B$115,MATCH(1,AJ92:AJ115,0))&amp;")","nicht in 24 M")</f>
        <v>Monat 3 (03/2027)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customFormat="false" ht="15" hidden="false" customHeight="false" outlineLevel="0" collapsed="false">
      <c r="A9" s="4" t="s">
        <v>519</v>
      </c>
      <c r="B9" s="4" t="str">
        <f aca="false">"vorsichtig"</f>
        <v>vorsichtig</v>
      </c>
      <c r="C9" s="4" t="str">
        <f aca="false">"mittel"</f>
        <v>mittel</v>
      </c>
      <c r="D9" s="4" t="str">
        <f aca="false">"stark"</f>
        <v>stark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customFormat="false" ht="15" hidden="false" customHeight="false" outlineLevel="0" collapsed="false">
      <c r="A10" s="7" t="s">
        <v>520</v>
      </c>
      <c r="B10" s="40" t="n">
        <f aca="false">TÆLLA!C41</f>
        <v>919.710987246641</v>
      </c>
      <c r="C10" s="40" t="n">
        <f aca="false">TÆLLA!C70</f>
        <v>9058.7654164036</v>
      </c>
      <c r="D10" s="40" t="n">
        <f aca="false">TÆLLA!C99</f>
        <v>70272.3610021916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customFormat="false" ht="15" hidden="false" customHeight="false" outlineLevel="0" collapsed="false">
      <c r="A11" s="7" t="s">
        <v>521</v>
      </c>
      <c r="B11" s="40" t="n">
        <f aca="false">C57</f>
        <v>1092.11321484883</v>
      </c>
      <c r="C11" s="40" t="n">
        <f aca="false">C86</f>
        <v>22586.1412653306</v>
      </c>
      <c r="D11" s="40" t="n">
        <f aca="false">C115</f>
        <v>307966.071470837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customFormat="false" ht="15" hidden="false" customHeight="false" outlineLevel="0" collapsed="false">
      <c r="A12" s="7" t="s">
        <v>522</v>
      </c>
      <c r="B12" s="40" t="n">
        <f aca="false">TÆLLA!E41</f>
        <v>30.1132551787701</v>
      </c>
      <c r="C12" s="40" t="n">
        <f aca="false">TÆLLA!E70</f>
        <v>497.36837131441</v>
      </c>
      <c r="D12" s="40" t="n">
        <f aca="false">TÆLLA!E99</f>
        <v>5173.61922555865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customFormat="false" ht="15" hidden="false" customHeight="false" outlineLevel="0" collapsed="false">
      <c r="A13" s="7" t="s">
        <v>523</v>
      </c>
      <c r="B13" s="40" t="n">
        <f aca="false">I57</f>
        <v>37.3175109819992</v>
      </c>
      <c r="C13" s="40" t="n">
        <f aca="false">I86</f>
        <v>1394.16411222231</v>
      </c>
      <c r="D13" s="40" t="n">
        <f aca="false">I115</f>
        <v>30788.407449697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customFormat="false" ht="15" hidden="false" customHeight="false" outlineLevel="0" collapsed="false">
      <c r="A14" s="7" t="s">
        <v>524</v>
      </c>
      <c r="B14" s="40" t="n">
        <f aca="false">D57</f>
        <v>38</v>
      </c>
      <c r="C14" s="40" t="n">
        <f aca="false">D86</f>
        <v>105</v>
      </c>
      <c r="D14" s="40" t="n">
        <f aca="false">D115</f>
        <v>220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customFormat="false" ht="15" hidden="false" customHeight="false" outlineLevel="0" collapsed="false">
      <c r="A15" s="7" t="s">
        <v>525</v>
      </c>
      <c r="B15" s="38" t="n">
        <f aca="false">SUM(TÆLLA!Y18:Y41)</f>
        <v>-7682.27287895232</v>
      </c>
      <c r="C15" s="38" t="n">
        <f aca="false">SUM(TÆLLA!Y47:Y70)</f>
        <v>-998.251976152013</v>
      </c>
      <c r="D15" s="38" t="n">
        <f aca="false">SUM(TÆLLA!Y76:Y99)</f>
        <v>62024.3542059584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customFormat="false" ht="15" hidden="false" customHeight="false" outlineLevel="0" collapsed="false">
      <c r="A16" s="7" t="s">
        <v>526</v>
      </c>
      <c r="B16" s="38" t="n">
        <f aca="false">SUM(Z34:Z57)</f>
        <v>-7873.13306698139</v>
      </c>
      <c r="C16" s="38" t="n">
        <f aca="false">SUM(Z63:Z86)</f>
        <v>1943.27361326479</v>
      </c>
      <c r="D16" s="38" t="n">
        <f aca="false">SUM(Z92:Z115)</f>
        <v>116074.915720557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customFormat="false" ht="15" hidden="false" customHeight="false" outlineLevel="0" collapsed="false">
      <c r="A17" s="7" t="s">
        <v>527</v>
      </c>
      <c r="B17" s="38" t="n">
        <f aca="false">SUM(R34:R57)</f>
        <v>356.154060433689</v>
      </c>
      <c r="C17" s="38" t="n">
        <f aca="false">SUM(R63:R86)</f>
        <v>13182.747605192</v>
      </c>
      <c r="D17" s="38" t="n">
        <f aca="false">SUM(R92:R115)</f>
        <v>301634.353972795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customFormat="false" ht="15" hidden="false" customHeight="false" outlineLevel="0" collapsed="false">
      <c r="A18" s="7" t="s">
        <v>528</v>
      </c>
      <c r="B18" s="38" t="n">
        <f aca="false">SUM(AD34:AD57)</f>
        <v>10640</v>
      </c>
      <c r="C18" s="38" t="n">
        <f aca="false">SUM(AD63:AD86)</f>
        <v>29400</v>
      </c>
      <c r="D18" s="38" t="n">
        <f aca="false">SUM(AD92:AD115)</f>
        <v>61600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customFormat="false" ht="15" hidden="false" customHeight="false" outlineLevel="0" collapsed="false">
      <c r="A19" s="7" t="s">
        <v>529</v>
      </c>
      <c r="B19" s="38" t="n">
        <f aca="false">SUM(AF34:AF57)</f>
        <v>10310.4737556877</v>
      </c>
      <c r="C19" s="38" t="n">
        <f aca="false">SUM(AF63:AF86)</f>
        <v>28489.4669565055</v>
      </c>
      <c r="D19" s="38" t="n">
        <f aca="false">SUM(AF92:AF115)</f>
        <v>59692.2164802972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customFormat="false" ht="15" hidden="false" customHeight="false" outlineLevel="0" collapsed="false">
      <c r="A20" s="7" t="s">
        <v>530</v>
      </c>
      <c r="B20" s="38" t="n">
        <f aca="false">SUM(Gesamt!J18:J41)</f>
        <v>-6160.76012953104</v>
      </c>
      <c r="C20" s="38" t="n">
        <f aca="false">SUM(Gesamt!J47:J70)</f>
        <v>38031.4088811307</v>
      </c>
      <c r="D20" s="38" t="n">
        <f aca="false">SUM(Gesamt!J76:J99)</f>
        <v>212620.08631458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customFormat="false" ht="15" hidden="false" customHeight="false" outlineLevel="0" collapsed="false">
      <c r="A21" s="7" t="s">
        <v>531</v>
      </c>
      <c r="B21" s="38" t="n">
        <f aca="false">SUM(AG34:AG57)</f>
        <v>3958.85343812758</v>
      </c>
      <c r="C21" s="38" t="n">
        <f aca="false">SUM(AG63:AG86)</f>
        <v>69462.4014270529</v>
      </c>
      <c r="D21" s="38" t="n">
        <f aca="false">SUM(AG92:AG115)</f>
        <v>326362.864309476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customFormat="false" ht="15" hidden="false" customHeight="false" outlineLevel="0" collapsed="false">
      <c r="A22" s="7" t="s">
        <v>532</v>
      </c>
      <c r="B22" s="38" t="n">
        <f aca="false">MIN(Gesamt!K18:K41)</f>
        <v>-6160.76012953104</v>
      </c>
      <c r="C22" s="38" t="n">
        <f aca="false">MIN(Gesamt!K47:K70)</f>
        <v>-2770.00069054336</v>
      </c>
      <c r="D22" s="38" t="n">
        <f aca="false">MIN(Gesamt!K76:K99)</f>
        <v>-3966.42826668763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customFormat="false" ht="15" hidden="false" customHeight="false" outlineLevel="0" collapsed="false">
      <c r="A23" s="7" t="s">
        <v>533</v>
      </c>
      <c r="B23" s="38" t="n">
        <f aca="false">MIN(AH34:AH57)</f>
        <v>-3426.16242836915</v>
      </c>
      <c r="C23" s="38" t="n">
        <f aca="false">MIN(AH63:AH86)</f>
        <v>-2770.00069054336</v>
      </c>
      <c r="D23" s="38" t="n">
        <f aca="false">MIN(AH92:AH115)</f>
        <v>-3966.42826668763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customFormat="false" ht="15" hidden="false" customHeight="false" outlineLevel="0" collapsed="false">
      <c r="A24" s="7" t="s">
        <v>534</v>
      </c>
      <c r="B24" s="38" t="n">
        <f aca="false">AG57</f>
        <v>487.259331453805</v>
      </c>
      <c r="C24" s="38" t="n">
        <f aca="false">AG86</f>
        <v>6044.87780220106</v>
      </c>
      <c r="D24" s="38" t="n">
        <f aca="false">AG115</f>
        <v>43195.4007071654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customFormat="false" ht="15" hidden="false" customHeight="false" outlineLevel="0" collapsed="false">
      <c r="A27" s="7" t="s">
        <v>535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customFormat="false" ht="15" hidden="false" customHeight="false" outlineLevel="0" collapsed="false">
      <c r="A32" s="5" t="str">
        <f aca="false">"Szenario vorsichtig – "&amp;Annahmen!$B$133</f>
        <v>Szenario vorsichtig – teures Hobby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2"/>
      <c r="AL32" s="2"/>
    </row>
    <row r="33" customFormat="false" ht="42" hidden="false" customHeight="true" outlineLevel="0" collapsed="false">
      <c r="A33" s="34" t="s">
        <v>96</v>
      </c>
      <c r="B33" s="34" t="s">
        <v>323</v>
      </c>
      <c r="C33" s="34" t="s">
        <v>324</v>
      </c>
      <c r="D33" s="34" t="s">
        <v>536</v>
      </c>
      <c r="E33" s="34" t="s">
        <v>537</v>
      </c>
      <c r="F33" s="34" t="s">
        <v>538</v>
      </c>
      <c r="G33" s="34" t="s">
        <v>539</v>
      </c>
      <c r="H33" s="34" t="s">
        <v>325</v>
      </c>
      <c r="I33" s="34" t="s">
        <v>326</v>
      </c>
      <c r="J33" s="34" t="s">
        <v>327</v>
      </c>
      <c r="K33" s="34" t="s">
        <v>328</v>
      </c>
      <c r="L33" s="34" t="s">
        <v>329</v>
      </c>
      <c r="M33" s="34" t="s">
        <v>540</v>
      </c>
      <c r="N33" s="34" t="s">
        <v>336</v>
      </c>
      <c r="O33" s="34" t="s">
        <v>541</v>
      </c>
      <c r="P33" s="34" t="s">
        <v>337</v>
      </c>
      <c r="Q33" s="34" t="s">
        <v>542</v>
      </c>
      <c r="R33" s="34" t="s">
        <v>543</v>
      </c>
      <c r="S33" s="34" t="s">
        <v>544</v>
      </c>
      <c r="T33" s="34" t="s">
        <v>340</v>
      </c>
      <c r="U33" s="34" t="s">
        <v>341</v>
      </c>
      <c r="V33" s="34" t="s">
        <v>342</v>
      </c>
      <c r="W33" s="34" t="s">
        <v>343</v>
      </c>
      <c r="X33" s="34" t="s">
        <v>344</v>
      </c>
      <c r="Y33" s="34" t="s">
        <v>345</v>
      </c>
      <c r="Z33" s="34" t="s">
        <v>436</v>
      </c>
      <c r="AA33" s="34" t="s">
        <v>545</v>
      </c>
      <c r="AB33" s="34" t="s">
        <v>546</v>
      </c>
      <c r="AC33" s="34" t="s">
        <v>547</v>
      </c>
      <c r="AD33" s="34" t="s">
        <v>548</v>
      </c>
      <c r="AE33" s="34" t="s">
        <v>549</v>
      </c>
      <c r="AF33" s="34" t="s">
        <v>550</v>
      </c>
      <c r="AG33" s="34" t="s">
        <v>551</v>
      </c>
      <c r="AH33" s="34" t="s">
        <v>552</v>
      </c>
      <c r="AI33" s="34" t="s">
        <v>553</v>
      </c>
      <c r="AJ33" s="34" t="s">
        <v>554</v>
      </c>
      <c r="AK33" s="34" t="s">
        <v>348</v>
      </c>
      <c r="AL33" s="34" t="s">
        <v>349</v>
      </c>
    </row>
    <row r="34" customFormat="false" ht="15" hidden="false" customHeight="false" outlineLevel="0" collapsed="false">
      <c r="A34" s="7" t="n">
        <v>1</v>
      </c>
      <c r="B34" s="7" t="s">
        <v>350</v>
      </c>
      <c r="C34" s="15" t="n">
        <f aca="false">IF($A34&lt;Annahmen!$B$54,0,Annahmen!$B$55)</f>
        <v>0</v>
      </c>
      <c r="D34" s="17" t="n">
        <f aca="false">IF($A34&gt;=Annahmen!$B$161,Annahmen!$B$162,0)</f>
        <v>0</v>
      </c>
      <c r="E34" s="17" t="n">
        <f aca="false">Annahmen!$B$164+Annahmen!$B$66</f>
        <v>19</v>
      </c>
      <c r="F34" s="24" t="n">
        <f aca="false">MIN(Annahmen!$B$166,Annahmen!$B$165*D34/10)</f>
        <v>0</v>
      </c>
      <c r="G34" s="41" t="n">
        <f aca="false">MIN(Annahmen!$B$168,Annahmen!$B$167*D34/10)</f>
        <v>0</v>
      </c>
      <c r="H34" s="17" t="n">
        <f aca="false">C34*(Annahmen!$B$58+G34)</f>
        <v>0</v>
      </c>
      <c r="I34" s="17" t="n">
        <f aca="false">H34</f>
        <v>0</v>
      </c>
      <c r="J34" s="17" t="n">
        <f aca="false">I34*(1-Annahmen!$B$60)</f>
        <v>0</v>
      </c>
      <c r="K34" s="17" t="n">
        <f aca="false">I34*Annahmen!$B$60</f>
        <v>0</v>
      </c>
      <c r="L34" s="23" t="n">
        <f aca="false">J34*Annahmen!$B$78+K34*Annahmen!$B$79</f>
        <v>0</v>
      </c>
      <c r="M34" s="23" t="n">
        <f aca="false">IF($A34&gt;=Annahmen!$B$54,Annahmen!$B$63*((1-Annahmen!$B$64)*Annahmen!$B$71+Annahmen!$B$64*Annahmen!$B$72)+Annahmen!$B$65*Annahmen!$B$73,0)</f>
        <v>0</v>
      </c>
      <c r="N34" s="23" t="n">
        <f aca="false">(L34+M34)/(1+Annahmen!$B$8)</f>
        <v>0</v>
      </c>
      <c r="O34" s="23" t="n">
        <f aca="false">L34/(1+Annahmen!$B$8)</f>
        <v>0</v>
      </c>
      <c r="P34" s="23" t="n">
        <f aca="false">N34*(Annahmen!$B$62*Annahmen!$B$74+(1-Annahmen!$B$62)*Annahmen!$B$75)+(I34*Annahmen!$B$61+I34*(1-Annahmen!$B$61)/12+IF($A34&gt;=Annahmen!$B$54,Annahmen!$B$63+Annahmen!$B$65,0))*(1-Annahmen!$B$62)*Annahmen!$B$76</f>
        <v>0</v>
      </c>
      <c r="Q34" s="24" t="n">
        <f aca="false">IF(D34=0,0,MIN(Annahmen!$B$170,Annahmen!$B$169*D34/(Annahmen!$B$169*D34+E34)))</f>
        <v>0</v>
      </c>
      <c r="R34" s="23" t="n">
        <f aca="false">O34*Q34*Annahmen!$B$177</f>
        <v>0</v>
      </c>
      <c r="S34" s="23" t="n">
        <f aca="false">Annahmen!$B$66*Annahmen!$B$42</f>
        <v>115.483850895744</v>
      </c>
      <c r="T34" s="23" t="n">
        <f aca="false">IF($A34&gt;=Annahmen!$B$54,Annahmen!$B$63*(1-Annahmen!$B$64)*Annahmen!$B$43+(Annahmen!$B$63*Annahmen!$B$64+Annahmen!$B$65)*Annahmen!$B$44,0)</f>
        <v>0</v>
      </c>
      <c r="U34" s="23" t="n">
        <f aca="false">C34*Annahmen!$B$77</f>
        <v>0</v>
      </c>
      <c r="V34" s="23" t="n">
        <f aca="false">SUMPRODUCT((((Annahmen!$C$145:$C$155="monatlich")*(Annahmen!$D$145:$D$155&lt;=$A34))+((Annahmen!$C$145:$C$155="einmalig")*(Annahmen!$D$145:$D$155=$A34)))*Annahmen!$B$145:$B$155*Annahmen!$E$145:$E$155)</f>
        <v>232.38507996069</v>
      </c>
      <c r="W34" s="23" t="n">
        <f aca="false">IF($A34&gt;=Annahmen!$B$54,Annahmen!$B$134,0)</f>
        <v>0</v>
      </c>
      <c r="X34" s="35" t="n">
        <f aca="false">MAX(0,(I34-Annahmen!$B$138)/Annahmen!$B$139)</f>
        <v>0</v>
      </c>
      <c r="Y34" s="23" t="n">
        <f aca="false">X34*Annahmen!$B$137</f>
        <v>0</v>
      </c>
      <c r="Z34" s="23" t="n">
        <f aca="false">N34-P34-R34-S34-T34-U34-V34-W34-Y34</f>
        <v>-347.868930856434</v>
      </c>
      <c r="AA34" s="23" t="n">
        <f aca="false">Z34</f>
        <v>-347.868930856434</v>
      </c>
      <c r="AB34" s="17" t="n">
        <f aca="false">IF($A34&gt;=Annahmen!$B$161,Annahmen!$B$162,0)</f>
        <v>0</v>
      </c>
      <c r="AC34" s="17" t="n">
        <f aca="false">AB34*(1-Annahmen!$B$180)</f>
        <v>0</v>
      </c>
      <c r="AD34" s="23" t="n">
        <f aca="false">AC34*(Annahmen!$B$178+Annahmen!$B$179)</f>
        <v>0</v>
      </c>
      <c r="AE34" s="23" t="n">
        <f aca="false">AB34*(Annahmen!$B$47+Annahmen!$B$163*Annahmen!$B$10)</f>
        <v>0</v>
      </c>
      <c r="AF34" s="23" t="n">
        <f aca="false">AD34-AE34</f>
        <v>0</v>
      </c>
      <c r="AG34" s="23" t="n">
        <f aca="false">Gesamt!J18-TÆLLA!Y18+Z34+AF34</f>
        <v>-720.656994824986</v>
      </c>
      <c r="AH34" s="23" t="n">
        <f aca="false">AG34</f>
        <v>-720.656994824986</v>
      </c>
      <c r="AI34" s="15" t="n">
        <f aca="false">IF(AG34&gt;0,1,0)</f>
        <v>0</v>
      </c>
      <c r="AJ34" s="15" t="n">
        <f aca="false">IF(AH34&gt;=0,1,0)</f>
        <v>0</v>
      </c>
      <c r="AK34" s="7" t="n">
        <f aca="false">IF(Z34&gt;0,1,0)</f>
        <v>0</v>
      </c>
      <c r="AL34" s="7" t="n">
        <f aca="false">IF(AA34&gt;=0,1,0)</f>
        <v>0</v>
      </c>
    </row>
    <row r="35" customFormat="false" ht="15" hidden="false" customHeight="false" outlineLevel="0" collapsed="false">
      <c r="A35" s="7" t="n">
        <v>2</v>
      </c>
      <c r="B35" s="7" t="s">
        <v>351</v>
      </c>
      <c r="C35" s="15" t="n">
        <f aca="false">IF($A35&lt;Annahmen!$B$54,0,IF($A35=Annahmen!$B$54,Annahmen!$B$55,C34*(1+(Annahmen!$B$56+F35)*(1-C34/Annahmen!$B$57))))</f>
        <v>0</v>
      </c>
      <c r="D35" s="17" t="n">
        <f aca="false">D34+IF($A35&gt;=Annahmen!$B$161,Annahmen!$B$162,0)</f>
        <v>0</v>
      </c>
      <c r="E35" s="17" t="n">
        <f aca="false">E34+Annahmen!$B$66</f>
        <v>23</v>
      </c>
      <c r="F35" s="24" t="n">
        <f aca="false">MIN(Annahmen!$B$166,Annahmen!$B$165*D35/10)</f>
        <v>0</v>
      </c>
      <c r="G35" s="41" t="n">
        <f aca="false">MIN(Annahmen!$B$168,Annahmen!$B$167*D35/10)</f>
        <v>0</v>
      </c>
      <c r="H35" s="17" t="n">
        <f aca="false">C35*(Annahmen!$B$58+G35)</f>
        <v>0</v>
      </c>
      <c r="I35" s="17" t="n">
        <f aca="false">I34*(1-Annahmen!$B$59)+H35</f>
        <v>0</v>
      </c>
      <c r="J35" s="17" t="n">
        <f aca="false">I35*(1-Annahmen!$B$60)</f>
        <v>0</v>
      </c>
      <c r="K35" s="17" t="n">
        <f aca="false">I35*Annahmen!$B$60</f>
        <v>0</v>
      </c>
      <c r="L35" s="23" t="n">
        <f aca="false">J35*Annahmen!$B$78+K35*Annahmen!$B$79</f>
        <v>0</v>
      </c>
      <c r="M35" s="23" t="n">
        <f aca="false">IF($A35&gt;=Annahmen!$B$54,Annahmen!$B$63*((1-Annahmen!$B$64)*Annahmen!$B$71+Annahmen!$B$64*Annahmen!$B$72)+Annahmen!$B$65*Annahmen!$B$73,0)</f>
        <v>0</v>
      </c>
      <c r="N35" s="23" t="n">
        <f aca="false">(L35+M35)/(1+Annahmen!$B$8)</f>
        <v>0</v>
      </c>
      <c r="O35" s="23" t="n">
        <f aca="false">L35/(1+Annahmen!$B$8)</f>
        <v>0</v>
      </c>
      <c r="P35" s="23" t="n">
        <f aca="false">N35*(Annahmen!$B$62*Annahmen!$B$74+(1-Annahmen!$B$62)*Annahmen!$B$75)+(I35*Annahmen!$B$61+I35*(1-Annahmen!$B$61)/12+IF($A35&gt;=Annahmen!$B$54,Annahmen!$B$63+Annahmen!$B$65,0))*(1-Annahmen!$B$62)*Annahmen!$B$76</f>
        <v>0</v>
      </c>
      <c r="Q35" s="24" t="n">
        <f aca="false">IF(D35=0,0,MIN(Annahmen!$B$170,Annahmen!$B$169*D35/(Annahmen!$B$169*D35+E35)))</f>
        <v>0</v>
      </c>
      <c r="R35" s="23" t="n">
        <f aca="false">O35*Q35*Annahmen!$B$177</f>
        <v>0</v>
      </c>
      <c r="S35" s="23" t="n">
        <f aca="false">Annahmen!$B$66*Annahmen!$B$42</f>
        <v>115.483850895744</v>
      </c>
      <c r="T35" s="23" t="n">
        <f aca="false">IF($A35&gt;=Annahmen!$B$54,Annahmen!$B$63*(1-Annahmen!$B$64)*Annahmen!$B$43+(Annahmen!$B$63*Annahmen!$B$64+Annahmen!$B$65)*Annahmen!$B$44,0)</f>
        <v>0</v>
      </c>
      <c r="U35" s="23" t="n">
        <f aca="false">C35*Annahmen!$B$77</f>
        <v>0</v>
      </c>
      <c r="V35" s="23" t="n">
        <f aca="false">SUMPRODUCT((((Annahmen!$C$145:$C$155="monatlich")*(Annahmen!$D$145:$D$155&lt;=$A35))+((Annahmen!$C$145:$C$155="einmalig")*(Annahmen!$D$145:$D$155=$A35)))*Annahmen!$B$145:$B$155*Annahmen!$E$145:$E$155)</f>
        <v>92.3204681497364</v>
      </c>
      <c r="W35" s="23" t="n">
        <f aca="false">IF($A35&gt;=Annahmen!$B$54,Annahmen!$B$134,0)</f>
        <v>0</v>
      </c>
      <c r="X35" s="35" t="n">
        <f aca="false">MAX(0,(I35-Annahmen!$B$138)/Annahmen!$B$139)</f>
        <v>0</v>
      </c>
      <c r="Y35" s="23" t="n">
        <f aca="false">X35*Annahmen!$B$137</f>
        <v>0</v>
      </c>
      <c r="Z35" s="23" t="n">
        <f aca="false">N35-P35-R35-S35-T35-U35-V35-W35-Y35</f>
        <v>-207.804319045481</v>
      </c>
      <c r="AA35" s="23" t="n">
        <f aca="false">AA34+Z35</f>
        <v>-555.673249901914</v>
      </c>
      <c r="AB35" s="17" t="n">
        <f aca="false">IF($A35&gt;=Annahmen!$B$161,Annahmen!$B$162,0)</f>
        <v>0</v>
      </c>
      <c r="AC35" s="17" t="n">
        <f aca="false">AB35*(1-Annahmen!$B$180)</f>
        <v>0</v>
      </c>
      <c r="AD35" s="23" t="n">
        <f aca="false">AC35*(Annahmen!$B$178+Annahmen!$B$179)</f>
        <v>0</v>
      </c>
      <c r="AE35" s="23" t="n">
        <f aca="false">AB35*(Annahmen!$B$47+Annahmen!$B$163*Annahmen!$B$10)</f>
        <v>0</v>
      </c>
      <c r="AF35" s="23" t="n">
        <f aca="false">AD35-AE35</f>
        <v>0</v>
      </c>
      <c r="AG35" s="23" t="n">
        <f aca="false">Gesamt!J19-TÆLLA!Y19+Z35+AF35</f>
        <v>-336.992383014032</v>
      </c>
      <c r="AH35" s="23" t="n">
        <f aca="false">AH34+AG35</f>
        <v>-1057.64937783902</v>
      </c>
      <c r="AI35" s="15" t="n">
        <f aca="false">IF(AG35&gt;0,1,0)</f>
        <v>0</v>
      </c>
      <c r="AJ35" s="15" t="n">
        <f aca="false">IF(AH35&gt;=0,1,0)</f>
        <v>0</v>
      </c>
      <c r="AK35" s="7" t="n">
        <f aca="false">IF(Z35&gt;0,1,0)</f>
        <v>0</v>
      </c>
      <c r="AL35" s="7" t="n">
        <f aca="false">IF(AA35&gt;=0,1,0)</f>
        <v>0</v>
      </c>
    </row>
    <row r="36" customFormat="false" ht="15" hidden="false" customHeight="false" outlineLevel="0" collapsed="false">
      <c r="A36" s="7" t="n">
        <v>3</v>
      </c>
      <c r="B36" s="7" t="s">
        <v>352</v>
      </c>
      <c r="C36" s="15" t="n">
        <f aca="false">IF($A36&lt;Annahmen!$B$54,0,IF($A36=Annahmen!$B$54,Annahmen!$B$55,C35*(1+(Annahmen!$B$56+F36)*(1-C35/Annahmen!$B$57))))</f>
        <v>0</v>
      </c>
      <c r="D36" s="17" t="n">
        <f aca="false">D35+IF($A36&gt;=Annahmen!$B$161,Annahmen!$B$162,0)</f>
        <v>0</v>
      </c>
      <c r="E36" s="17" t="n">
        <f aca="false">E35+Annahmen!$B$66</f>
        <v>27</v>
      </c>
      <c r="F36" s="24" t="n">
        <f aca="false">MIN(Annahmen!$B$166,Annahmen!$B$165*D36/10)</f>
        <v>0</v>
      </c>
      <c r="G36" s="41" t="n">
        <f aca="false">MIN(Annahmen!$B$168,Annahmen!$B$167*D36/10)</f>
        <v>0</v>
      </c>
      <c r="H36" s="17" t="n">
        <f aca="false">C36*(Annahmen!$B$58+G36)</f>
        <v>0</v>
      </c>
      <c r="I36" s="17" t="n">
        <f aca="false">I35*(1-Annahmen!$B$59)+H36</f>
        <v>0</v>
      </c>
      <c r="J36" s="17" t="n">
        <f aca="false">I36*(1-Annahmen!$B$60)</f>
        <v>0</v>
      </c>
      <c r="K36" s="17" t="n">
        <f aca="false">I36*Annahmen!$B$60</f>
        <v>0</v>
      </c>
      <c r="L36" s="23" t="n">
        <f aca="false">J36*Annahmen!$B$78+K36*Annahmen!$B$79</f>
        <v>0</v>
      </c>
      <c r="M36" s="23" t="n">
        <f aca="false">IF($A36&gt;=Annahmen!$B$54,Annahmen!$B$63*((1-Annahmen!$B$64)*Annahmen!$B$71+Annahmen!$B$64*Annahmen!$B$72)+Annahmen!$B$65*Annahmen!$B$73,0)</f>
        <v>0</v>
      </c>
      <c r="N36" s="23" t="n">
        <f aca="false">(L36+M36)/(1+Annahmen!$B$8)</f>
        <v>0</v>
      </c>
      <c r="O36" s="23" t="n">
        <f aca="false">L36/(1+Annahmen!$B$8)</f>
        <v>0</v>
      </c>
      <c r="P36" s="23" t="n">
        <f aca="false">N36*(Annahmen!$B$62*Annahmen!$B$74+(1-Annahmen!$B$62)*Annahmen!$B$75)+(I36*Annahmen!$B$61+I36*(1-Annahmen!$B$61)/12+IF($A36&gt;=Annahmen!$B$54,Annahmen!$B$63+Annahmen!$B$65,0))*(1-Annahmen!$B$62)*Annahmen!$B$76</f>
        <v>0</v>
      </c>
      <c r="Q36" s="24" t="n">
        <f aca="false">IF(D36=0,0,MIN(Annahmen!$B$170,Annahmen!$B$169*D36/(Annahmen!$B$169*D36+E36)))</f>
        <v>0</v>
      </c>
      <c r="R36" s="23" t="n">
        <f aca="false">O36*Q36*Annahmen!$B$177</f>
        <v>0</v>
      </c>
      <c r="S36" s="23" t="n">
        <f aca="false">Annahmen!$B$66*Annahmen!$B$42</f>
        <v>115.483850895744</v>
      </c>
      <c r="T36" s="23" t="n">
        <f aca="false">IF($A36&gt;=Annahmen!$B$54,Annahmen!$B$63*(1-Annahmen!$B$64)*Annahmen!$B$43+(Annahmen!$B$63*Annahmen!$B$64+Annahmen!$B$65)*Annahmen!$B$44,0)</f>
        <v>0</v>
      </c>
      <c r="U36" s="23" t="n">
        <f aca="false">C36*Annahmen!$B$77</f>
        <v>0</v>
      </c>
      <c r="V36" s="23" t="n">
        <f aca="false">SUMPRODUCT((((Annahmen!$C$145:$C$155="monatlich")*(Annahmen!$D$145:$D$155&lt;=$A36))+((Annahmen!$C$145:$C$155="einmalig")*(Annahmen!$D$145:$D$155=$A36)))*Annahmen!$B$145:$B$155*Annahmen!$E$145:$E$155)</f>
        <v>69.9850799606897</v>
      </c>
      <c r="W36" s="23" t="n">
        <f aca="false">IF($A36&gt;=Annahmen!$B$54,Annahmen!$B$134,0)</f>
        <v>0</v>
      </c>
      <c r="X36" s="35" t="n">
        <f aca="false">MAX(0,(I36-Annahmen!$B$138)/Annahmen!$B$139)</f>
        <v>0</v>
      </c>
      <c r="Y36" s="23" t="n">
        <f aca="false">X36*Annahmen!$B$137</f>
        <v>0</v>
      </c>
      <c r="Z36" s="23" t="n">
        <f aca="false">N36-P36-R36-S36-T36-U36-V36-W36-Y36</f>
        <v>-185.468930856434</v>
      </c>
      <c r="AA36" s="23" t="n">
        <f aca="false">AA35+Z36</f>
        <v>-741.142180758348</v>
      </c>
      <c r="AB36" s="17" t="n">
        <f aca="false">IF($A36&gt;=Annahmen!$B$161,Annahmen!$B$162,0)</f>
        <v>0</v>
      </c>
      <c r="AC36" s="17" t="n">
        <f aca="false">AB36*(1-Annahmen!$B$180)</f>
        <v>0</v>
      </c>
      <c r="AD36" s="23" t="n">
        <f aca="false">AC36*(Annahmen!$B$178+Annahmen!$B$179)</f>
        <v>0</v>
      </c>
      <c r="AE36" s="23" t="n">
        <f aca="false">AB36*(Annahmen!$B$47+Annahmen!$B$163*Annahmen!$B$10)</f>
        <v>0</v>
      </c>
      <c r="AF36" s="23" t="n">
        <f aca="false">AD36-AE36</f>
        <v>0</v>
      </c>
      <c r="AG36" s="23" t="n">
        <f aca="false">Gesamt!J20-TÆLLA!Y20+Z36+AF36</f>
        <v>-664.656994824986</v>
      </c>
      <c r="AH36" s="23" t="n">
        <f aca="false">AH35+AG36</f>
        <v>-1722.306372664</v>
      </c>
      <c r="AI36" s="15" t="n">
        <f aca="false">IF(AG36&gt;0,1,0)</f>
        <v>0</v>
      </c>
      <c r="AJ36" s="15" t="n">
        <f aca="false">IF(AH36&gt;=0,1,0)</f>
        <v>0</v>
      </c>
      <c r="AK36" s="7" t="n">
        <f aca="false">IF(Z36&gt;0,1,0)</f>
        <v>0</v>
      </c>
      <c r="AL36" s="7" t="n">
        <f aca="false">IF(AA36&gt;=0,1,0)</f>
        <v>0</v>
      </c>
    </row>
    <row r="37" customFormat="false" ht="15" hidden="false" customHeight="false" outlineLevel="0" collapsed="false">
      <c r="A37" s="7" t="n">
        <v>4</v>
      </c>
      <c r="B37" s="7" t="s">
        <v>353</v>
      </c>
      <c r="C37" s="15" t="n">
        <f aca="false">IF($A37&lt;Annahmen!$B$54,0,IF($A37=Annahmen!$B$54,Annahmen!$B$55,C36*(1+(Annahmen!$B$56+F37)*(1-C36/Annahmen!$B$57))))</f>
        <v>200</v>
      </c>
      <c r="D37" s="17" t="n">
        <f aca="false">D36+IF($A37&gt;=Annahmen!$B$161,Annahmen!$B$162,0)</f>
        <v>0</v>
      </c>
      <c r="E37" s="17" t="n">
        <f aca="false">E36+Annahmen!$B$66</f>
        <v>31</v>
      </c>
      <c r="F37" s="24" t="n">
        <f aca="false">MIN(Annahmen!$B$166,Annahmen!$B$165*D37/10)</f>
        <v>0</v>
      </c>
      <c r="G37" s="41" t="n">
        <f aca="false">MIN(Annahmen!$B$168,Annahmen!$B$167*D37/10)</f>
        <v>0</v>
      </c>
      <c r="H37" s="17" t="n">
        <f aca="false">C37*(Annahmen!$B$58+G37)</f>
        <v>1</v>
      </c>
      <c r="I37" s="17" t="n">
        <f aca="false">I36*(1-Annahmen!$B$59)+H37</f>
        <v>1</v>
      </c>
      <c r="J37" s="17" t="n">
        <f aca="false">I37*(1-Annahmen!$B$60)</f>
        <v>0.7</v>
      </c>
      <c r="K37" s="17" t="n">
        <f aca="false">I37*Annahmen!$B$60</f>
        <v>0.3</v>
      </c>
      <c r="L37" s="23" t="n">
        <f aca="false">J37*Annahmen!$B$78+K37*Annahmen!$B$79</f>
        <v>6.26275</v>
      </c>
      <c r="M37" s="23" t="n">
        <f aca="false">IF($A37&gt;=Annahmen!$B$54,Annahmen!$B$63*((1-Annahmen!$B$64)*Annahmen!$B$71+Annahmen!$B$64*Annahmen!$B$72)+Annahmen!$B$65*Annahmen!$B$73,0)</f>
        <v>32.245</v>
      </c>
      <c r="N37" s="23" t="n">
        <f aca="false">(L37+M37)/(1+Annahmen!$B$8)</f>
        <v>32.3594537815126</v>
      </c>
      <c r="O37" s="23" t="n">
        <f aca="false">L37/(1+Annahmen!$B$8)</f>
        <v>5.26281512605042</v>
      </c>
      <c r="P37" s="23" t="n">
        <f aca="false">N37*(Annahmen!$B$62*Annahmen!$B$74+(1-Annahmen!$B$62)*Annahmen!$B$75)+(I37*Annahmen!$B$61+I37*(1-Annahmen!$B$61)/12+IF($A37&gt;=Annahmen!$B$54,Annahmen!$B$63+Annahmen!$B$65,0))*(1-Annahmen!$B$62)*Annahmen!$B$76</f>
        <v>3.22900756302521</v>
      </c>
      <c r="Q37" s="24" t="n">
        <f aca="false">IF(D37=0,0,MIN(Annahmen!$B$170,Annahmen!$B$169*D37/(Annahmen!$B$169*D37+E37)))</f>
        <v>0</v>
      </c>
      <c r="R37" s="23" t="n">
        <f aca="false">O37*Q37*Annahmen!$B$177</f>
        <v>0</v>
      </c>
      <c r="S37" s="23" t="n">
        <f aca="false">Annahmen!$B$66*Annahmen!$B$42</f>
        <v>115.483850895744</v>
      </c>
      <c r="T37" s="23" t="n">
        <f aca="false">IF($A37&gt;=Annahmen!$B$54,Annahmen!$B$63*(1-Annahmen!$B$64)*Annahmen!$B$43+(Annahmen!$B$63*Annahmen!$B$64+Annahmen!$B$65)*Annahmen!$B$44,0)</f>
        <v>15.6845378437918</v>
      </c>
      <c r="U37" s="23" t="n">
        <f aca="false">C37*Annahmen!$B$77</f>
        <v>2</v>
      </c>
      <c r="V37" s="23" t="n">
        <f aca="false">SUMPRODUCT((((Annahmen!$C$145:$C$155="monatlich")*(Annahmen!$D$145:$D$155&lt;=$A37))+((Annahmen!$C$145:$C$155="einmalig")*(Annahmen!$D$145:$D$155=$A37)))*Annahmen!$B$145:$B$155*Annahmen!$E$145:$E$155)</f>
        <v>69.9850799606897</v>
      </c>
      <c r="W37" s="23" t="n">
        <f aca="false">IF($A37&gt;=Annahmen!$B$54,Annahmen!$B$134,0)</f>
        <v>200</v>
      </c>
      <c r="X37" s="35" t="n">
        <f aca="false">MAX(0,(I37-Annahmen!$B$138)/Annahmen!$B$139)</f>
        <v>0</v>
      </c>
      <c r="Y37" s="23" t="n">
        <f aca="false">X37*Annahmen!$B$137</f>
        <v>0</v>
      </c>
      <c r="Z37" s="23" t="n">
        <f aca="false">N37-P37-R37-S37-T37-U37-V37-W37-Y37</f>
        <v>-374.023022481738</v>
      </c>
      <c r="AA37" s="23" t="n">
        <f aca="false">AA36+Z37</f>
        <v>-1115.16520324009</v>
      </c>
      <c r="AB37" s="17" t="n">
        <f aca="false">IF($A37&gt;=Annahmen!$B$161,Annahmen!$B$162,0)</f>
        <v>0</v>
      </c>
      <c r="AC37" s="17" t="n">
        <f aca="false">AB37*(1-Annahmen!$B$180)</f>
        <v>0</v>
      </c>
      <c r="AD37" s="23" t="n">
        <f aca="false">AC37*(Annahmen!$B$178+Annahmen!$B$179)</f>
        <v>0</v>
      </c>
      <c r="AE37" s="23" t="n">
        <f aca="false">AB37*(Annahmen!$B$47+Annahmen!$B$163*Annahmen!$B$10)</f>
        <v>0</v>
      </c>
      <c r="AF37" s="23" t="n">
        <f aca="false">AD37-AE37</f>
        <v>0</v>
      </c>
      <c r="AG37" s="23" t="n">
        <f aca="false">Gesamt!J21-TÆLLA!Y21+Z37+AF37</f>
        <v>-503.21108645029</v>
      </c>
      <c r="AH37" s="23" t="n">
        <f aca="false">AH36+AG37</f>
        <v>-2225.51745911429</v>
      </c>
      <c r="AI37" s="15" t="n">
        <f aca="false">IF(AG37&gt;0,1,0)</f>
        <v>0</v>
      </c>
      <c r="AJ37" s="15" t="n">
        <f aca="false">IF(AH37&gt;=0,1,0)</f>
        <v>0</v>
      </c>
      <c r="AK37" s="7" t="n">
        <f aca="false">IF(Z37&gt;0,1,0)</f>
        <v>0</v>
      </c>
      <c r="AL37" s="7" t="n">
        <f aca="false">IF(AA37&gt;=0,1,0)</f>
        <v>0</v>
      </c>
    </row>
    <row r="38" customFormat="false" ht="15" hidden="false" customHeight="false" outlineLevel="0" collapsed="false">
      <c r="A38" s="7" t="n">
        <v>5</v>
      </c>
      <c r="B38" s="7" t="s">
        <v>354</v>
      </c>
      <c r="C38" s="15" t="n">
        <f aca="false">IF($A38&lt;Annahmen!$B$54,0,IF($A38=Annahmen!$B$54,Annahmen!$B$55,C37*(1+(Annahmen!$B$56+F38)*(1-C37/Annahmen!$B$57))))</f>
        <v>215.936</v>
      </c>
      <c r="D38" s="17" t="n">
        <f aca="false">D37+IF($A38&gt;=Annahmen!$B$161,Annahmen!$B$162,0)</f>
        <v>0</v>
      </c>
      <c r="E38" s="17" t="n">
        <f aca="false">E37+Annahmen!$B$66</f>
        <v>35</v>
      </c>
      <c r="F38" s="24" t="n">
        <f aca="false">MIN(Annahmen!$B$166,Annahmen!$B$165*D38/10)</f>
        <v>0</v>
      </c>
      <c r="G38" s="41" t="n">
        <f aca="false">MIN(Annahmen!$B$168,Annahmen!$B$167*D38/10)</f>
        <v>0</v>
      </c>
      <c r="H38" s="17" t="n">
        <f aca="false">C38*(Annahmen!$B$58+G38)</f>
        <v>1.07968</v>
      </c>
      <c r="I38" s="17" t="n">
        <f aca="false">I37*(1-Annahmen!$B$59)+H38</f>
        <v>1.99968</v>
      </c>
      <c r="J38" s="17" t="n">
        <f aca="false">I38*(1-Annahmen!$B$60)</f>
        <v>1.399776</v>
      </c>
      <c r="K38" s="17" t="n">
        <f aca="false">I38*Annahmen!$B$60</f>
        <v>0.599904</v>
      </c>
      <c r="L38" s="23" t="n">
        <f aca="false">J38*Annahmen!$B$78+K38*Annahmen!$B$79</f>
        <v>12.52349592</v>
      </c>
      <c r="M38" s="23" t="n">
        <f aca="false">IF($A38&gt;=Annahmen!$B$54,Annahmen!$B$63*((1-Annahmen!$B$64)*Annahmen!$B$71+Annahmen!$B$64*Annahmen!$B$72)+Annahmen!$B$65*Annahmen!$B$73,0)</f>
        <v>32.245</v>
      </c>
      <c r="N38" s="23" t="n">
        <f aca="false">(L38+M38)/(1+Annahmen!$B$8)</f>
        <v>37.6205848067227</v>
      </c>
      <c r="O38" s="23" t="n">
        <f aca="false">L38/(1+Annahmen!$B$8)</f>
        <v>10.5239461512605</v>
      </c>
      <c r="P38" s="23" t="n">
        <f aca="false">N38*(Annahmen!$B$62*Annahmen!$B$74+(1-Annahmen!$B$62)*Annahmen!$B$75)+(I38*Annahmen!$B$61+I38*(1-Annahmen!$B$61)/12+IF($A38&gt;=Annahmen!$B$54,Annahmen!$B$63+Annahmen!$B$65,0))*(1-Annahmen!$B$62)*Annahmen!$B$76</f>
        <v>3.80655294144538</v>
      </c>
      <c r="Q38" s="24" t="n">
        <f aca="false">IF(D38=0,0,MIN(Annahmen!$B$170,Annahmen!$B$169*D38/(Annahmen!$B$169*D38+E38)))</f>
        <v>0</v>
      </c>
      <c r="R38" s="23" t="n">
        <f aca="false">O38*Q38*Annahmen!$B$177</f>
        <v>0</v>
      </c>
      <c r="S38" s="23" t="n">
        <f aca="false">Annahmen!$B$66*Annahmen!$B$42</f>
        <v>115.483850895744</v>
      </c>
      <c r="T38" s="23" t="n">
        <f aca="false">IF($A38&gt;=Annahmen!$B$54,Annahmen!$B$63*(1-Annahmen!$B$64)*Annahmen!$B$43+(Annahmen!$B$63*Annahmen!$B$64+Annahmen!$B$65)*Annahmen!$B$44,0)</f>
        <v>15.6845378437918</v>
      </c>
      <c r="U38" s="23" t="n">
        <f aca="false">C38*Annahmen!$B$77</f>
        <v>2.15936</v>
      </c>
      <c r="V38" s="23" t="n">
        <f aca="false">SUMPRODUCT((((Annahmen!$C$145:$C$155="monatlich")*(Annahmen!$D$145:$D$155&lt;=$A38))+((Annahmen!$C$145:$C$155="einmalig")*(Annahmen!$D$145:$D$155=$A38)))*Annahmen!$B$145:$B$155*Annahmen!$E$145:$E$155)</f>
        <v>309.98507996069</v>
      </c>
      <c r="W38" s="23" t="n">
        <f aca="false">IF($A38&gt;=Annahmen!$B$54,Annahmen!$B$134,0)</f>
        <v>200</v>
      </c>
      <c r="X38" s="35" t="n">
        <f aca="false">MAX(0,(I38-Annahmen!$B$138)/Annahmen!$B$139)</f>
        <v>0</v>
      </c>
      <c r="Y38" s="23" t="n">
        <f aca="false">X38*Annahmen!$B$137</f>
        <v>0</v>
      </c>
      <c r="Z38" s="23" t="n">
        <f aca="false">N38-P38-R38-S38-T38-U38-V38-W38-Y38</f>
        <v>-609.498796834948</v>
      </c>
      <c r="AA38" s="23" t="n">
        <f aca="false">AA37+Z38</f>
        <v>-1724.66400007503</v>
      </c>
      <c r="AB38" s="17" t="n">
        <f aca="false">IF($A38&gt;=Annahmen!$B$161,Annahmen!$B$162,0)</f>
        <v>0</v>
      </c>
      <c r="AC38" s="17" t="n">
        <f aca="false">AB38*(1-Annahmen!$B$180)</f>
        <v>0</v>
      </c>
      <c r="AD38" s="23" t="n">
        <f aca="false">AC38*(Annahmen!$B$178+Annahmen!$B$179)</f>
        <v>0</v>
      </c>
      <c r="AE38" s="23" t="n">
        <f aca="false">AB38*(Annahmen!$B$47+Annahmen!$B$163*Annahmen!$B$10)</f>
        <v>0</v>
      </c>
      <c r="AF38" s="23" t="n">
        <f aca="false">AD38-AE38</f>
        <v>0</v>
      </c>
      <c r="AG38" s="23" t="n">
        <f aca="false">Gesamt!J22-TÆLLA!Y22+Z38+AF38</f>
        <v>-1200.64496925485</v>
      </c>
      <c r="AH38" s="23" t="n">
        <f aca="false">AH37+AG38</f>
        <v>-3426.16242836915</v>
      </c>
      <c r="AI38" s="15" t="n">
        <f aca="false">IF(AG38&gt;0,1,0)</f>
        <v>0</v>
      </c>
      <c r="AJ38" s="15" t="n">
        <f aca="false">IF(AH38&gt;=0,1,0)</f>
        <v>0</v>
      </c>
      <c r="AK38" s="7" t="n">
        <f aca="false">IF(Z38&gt;0,1,0)</f>
        <v>0</v>
      </c>
      <c r="AL38" s="7" t="n">
        <f aca="false">IF(AA38&gt;=0,1,0)</f>
        <v>0</v>
      </c>
    </row>
    <row r="39" customFormat="false" ht="15" hidden="false" customHeight="false" outlineLevel="0" collapsed="false">
      <c r="A39" s="7" t="n">
        <v>6</v>
      </c>
      <c r="B39" s="7" t="s">
        <v>355</v>
      </c>
      <c r="C39" s="15" t="n">
        <f aca="false">IF($A39&lt;Annahmen!$B$54,0,IF($A39=Annahmen!$B$54,Annahmen!$B$55,C38*(1+(Annahmen!$B$56+F39)*(1-C38/Annahmen!$B$57))))</f>
        <v>233.351278063124</v>
      </c>
      <c r="D39" s="17" t="n">
        <f aca="false">D38+IF($A39&gt;=Annahmen!$B$161,Annahmen!$B$162,0)</f>
        <v>2</v>
      </c>
      <c r="E39" s="17" t="n">
        <f aca="false">E38+Annahmen!$B$66</f>
        <v>39</v>
      </c>
      <c r="F39" s="24" t="n">
        <f aca="false">MIN(Annahmen!$B$166,Annahmen!$B$165*D39/10)</f>
        <v>0.001</v>
      </c>
      <c r="G39" s="41" t="n">
        <f aca="false">MIN(Annahmen!$B$168,Annahmen!$B$167*D39/10)</f>
        <v>4E-005</v>
      </c>
      <c r="H39" s="17" t="n">
        <f aca="false">C39*(Annahmen!$B$58+G39)</f>
        <v>1.17609044143815</v>
      </c>
      <c r="I39" s="17" t="n">
        <f aca="false">I38*(1-Annahmen!$B$59)+H39</f>
        <v>3.01579604143815</v>
      </c>
      <c r="J39" s="17" t="n">
        <f aca="false">I39*(1-Annahmen!$B$60)</f>
        <v>2.1110572290067</v>
      </c>
      <c r="K39" s="17" t="n">
        <f aca="false">I39*Annahmen!$B$60</f>
        <v>0.904738812431444</v>
      </c>
      <c r="L39" s="23" t="n">
        <f aca="false">J39*Annahmen!$B$78+K39*Annahmen!$B$79</f>
        <v>18.8871766585168</v>
      </c>
      <c r="M39" s="23" t="n">
        <f aca="false">IF($A39&gt;=Annahmen!$B$54,Annahmen!$B$63*((1-Annahmen!$B$64)*Annahmen!$B$71+Annahmen!$B$64*Annahmen!$B$72)+Annahmen!$B$65*Annahmen!$B$73,0)</f>
        <v>32.245</v>
      </c>
      <c r="N39" s="23" t="n">
        <f aca="false">(L39+M39)/(1+Annahmen!$B$8)</f>
        <v>42.9682156794258</v>
      </c>
      <c r="O39" s="23" t="n">
        <f aca="false">L39/(1+Annahmen!$B$8)</f>
        <v>15.8715770239637</v>
      </c>
      <c r="P39" s="23" t="n">
        <f aca="false">N39*(Annahmen!$B$62*Annahmen!$B$74+(1-Annahmen!$B$62)*Annahmen!$B$75)+(I39*Annahmen!$B$61+I39*(1-Annahmen!$B$61)/12+IF($A39&gt;=Annahmen!$B$54,Annahmen!$B$63+Annahmen!$B$65,0))*(1-Annahmen!$B$62)*Annahmen!$B$76</f>
        <v>4.39359391822915</v>
      </c>
      <c r="Q39" s="24" t="n">
        <f aca="false">IF(D39=0,0,MIN(Annahmen!$B$170,Annahmen!$B$169*D39/(Annahmen!$B$169*D39+E39)))</f>
        <v>0.0930232558139535</v>
      </c>
      <c r="R39" s="23" t="n">
        <f aca="false">O39*Q39*Annahmen!$B$177</f>
        <v>0.878473332954268</v>
      </c>
      <c r="S39" s="23" t="n">
        <f aca="false">Annahmen!$B$66*Annahmen!$B$42</f>
        <v>115.483850895744</v>
      </c>
      <c r="T39" s="23" t="n">
        <f aca="false">IF($A39&gt;=Annahmen!$B$54,Annahmen!$B$63*(1-Annahmen!$B$64)*Annahmen!$B$43+(Annahmen!$B$63*Annahmen!$B$64+Annahmen!$B$65)*Annahmen!$B$44,0)</f>
        <v>15.6845378437918</v>
      </c>
      <c r="U39" s="23" t="n">
        <f aca="false">C39*Annahmen!$B$77</f>
        <v>2.33351278063125</v>
      </c>
      <c r="V39" s="23" t="n">
        <f aca="false">SUMPRODUCT((((Annahmen!$C$145:$C$155="monatlich")*(Annahmen!$D$145:$D$155&lt;=$A39))+((Annahmen!$C$145:$C$155="einmalig")*(Annahmen!$D$145:$D$155=$A39)))*Annahmen!$B$145:$B$155*Annahmen!$E$145:$E$155)</f>
        <v>69.9850799606897</v>
      </c>
      <c r="W39" s="23" t="n">
        <f aca="false">IF($A39&gt;=Annahmen!$B$54,Annahmen!$B$134,0)</f>
        <v>200</v>
      </c>
      <c r="X39" s="35" t="n">
        <f aca="false">MAX(0,(I39-Annahmen!$B$138)/Annahmen!$B$139)</f>
        <v>0</v>
      </c>
      <c r="Y39" s="23" t="n">
        <f aca="false">X39*Annahmen!$B$137</f>
        <v>0</v>
      </c>
      <c r="Z39" s="23" t="n">
        <f aca="false">N39-P39-R39-S39-T39-U39-V39-W39-Y39</f>
        <v>-365.790833052614</v>
      </c>
      <c r="AA39" s="23" t="n">
        <f aca="false">AA38+Z39</f>
        <v>-2090.45483312765</v>
      </c>
      <c r="AB39" s="17" t="n">
        <f aca="false">IF($A39&gt;=Annahmen!$B$161,Annahmen!$B$162,0)</f>
        <v>2</v>
      </c>
      <c r="AC39" s="17" t="n">
        <f aca="false">AB39*(1-Annahmen!$B$180)</f>
        <v>1.6</v>
      </c>
      <c r="AD39" s="23" t="n">
        <f aca="false">AC39*(Annahmen!$B$178+Annahmen!$B$179)</f>
        <v>560</v>
      </c>
      <c r="AE39" s="23" t="n">
        <f aca="false">AB39*(Annahmen!$B$47+Annahmen!$B$163*Annahmen!$B$10)</f>
        <v>17.3434865427531</v>
      </c>
      <c r="AF39" s="23" t="n">
        <f aca="false">AD39-AE39</f>
        <v>542.656513457247</v>
      </c>
      <c r="AG39" s="23" t="n">
        <f aca="false">Gesamt!J23-TÆLLA!Y23+Z39+AF39</f>
        <v>147.206704246409</v>
      </c>
      <c r="AH39" s="23" t="n">
        <f aca="false">AH38+AG39</f>
        <v>-3278.95572412274</v>
      </c>
      <c r="AI39" s="15" t="n">
        <f aca="false">IF(AG39&gt;0,1,0)</f>
        <v>1</v>
      </c>
      <c r="AJ39" s="15" t="n">
        <f aca="false">IF(AH39&gt;=0,1,0)</f>
        <v>0</v>
      </c>
      <c r="AK39" s="7" t="n">
        <f aca="false">IF(Z39&gt;0,1,0)</f>
        <v>0</v>
      </c>
      <c r="AL39" s="7" t="n">
        <f aca="false">IF(AA39&gt;=0,1,0)</f>
        <v>0</v>
      </c>
    </row>
    <row r="40" customFormat="false" ht="15" hidden="false" customHeight="false" outlineLevel="0" collapsed="false">
      <c r="A40" s="7" t="n">
        <v>7</v>
      </c>
      <c r="B40" s="7" t="s">
        <v>356</v>
      </c>
      <c r="C40" s="15" t="n">
        <f aca="false">IF($A40&lt;Annahmen!$B$54,0,IF($A40=Annahmen!$B$54,Annahmen!$B$55,C39*(1+(Annahmen!$B$56+F40)*(1-C39/Annahmen!$B$57))))</f>
        <v>252.396780241184</v>
      </c>
      <c r="D40" s="17" t="n">
        <f aca="false">D39+IF($A40&gt;=Annahmen!$B$161,Annahmen!$B$162,0)</f>
        <v>4</v>
      </c>
      <c r="E40" s="17" t="n">
        <f aca="false">E39+Annahmen!$B$66</f>
        <v>43</v>
      </c>
      <c r="F40" s="24" t="n">
        <f aca="false">MIN(Annahmen!$B$166,Annahmen!$B$165*D40/10)</f>
        <v>0.002</v>
      </c>
      <c r="G40" s="41" t="n">
        <f aca="false">MIN(Annahmen!$B$168,Annahmen!$B$167*D40/10)</f>
        <v>8E-005</v>
      </c>
      <c r="H40" s="17" t="n">
        <f aca="false">C40*(Annahmen!$B$58+G40)</f>
        <v>1.28217564362521</v>
      </c>
      <c r="I40" s="17" t="n">
        <f aca="false">I39*(1-Annahmen!$B$59)+H40</f>
        <v>4.05670800174831</v>
      </c>
      <c r="J40" s="17" t="n">
        <f aca="false">I40*(1-Annahmen!$B$60)</f>
        <v>2.83969560122382</v>
      </c>
      <c r="K40" s="17" t="n">
        <f aca="false">I40*Annahmen!$B$60</f>
        <v>1.21701240052449</v>
      </c>
      <c r="L40" s="23" t="n">
        <f aca="false">J40*Annahmen!$B$78+K40*Annahmen!$B$79</f>
        <v>25.4061480379492</v>
      </c>
      <c r="M40" s="23" t="n">
        <f aca="false">IF($A40&gt;=Annahmen!$B$54,Annahmen!$B$63*((1-Annahmen!$B$64)*Annahmen!$B$71+Annahmen!$B$64*Annahmen!$B$72)+Annahmen!$B$65*Annahmen!$B$73,0)</f>
        <v>32.245</v>
      </c>
      <c r="N40" s="23" t="n">
        <f aca="false">(L40+M40)/(1+Annahmen!$B$8)</f>
        <v>48.446342889033</v>
      </c>
      <c r="O40" s="23" t="n">
        <f aca="false">L40/(1+Annahmen!$B$8)</f>
        <v>21.3497042335708</v>
      </c>
      <c r="P40" s="23" t="n">
        <f aca="false">N40*(Annahmen!$B$62*Annahmen!$B$74+(1-Annahmen!$B$62)*Annahmen!$B$75)+(I40*Annahmen!$B$61+I40*(1-Annahmen!$B$61)/12+IF($A40&gt;=Annahmen!$B$54,Annahmen!$B$63+Annahmen!$B$65,0))*(1-Annahmen!$B$62)*Annahmen!$B$76</f>
        <v>4.99496024747392</v>
      </c>
      <c r="Q40" s="24" t="n">
        <f aca="false">IF(D40=0,0,MIN(Annahmen!$B$170,Annahmen!$B$169*D40/(Annahmen!$B$169*D40+E40)))</f>
        <v>0.156862745098039</v>
      </c>
      <c r="R40" s="23" t="n">
        <f aca="false">O40*Q40*Annahmen!$B$177</f>
        <v>1.99263906179994</v>
      </c>
      <c r="S40" s="23" t="n">
        <f aca="false">Annahmen!$B$66*Annahmen!$B$42</f>
        <v>115.483850895744</v>
      </c>
      <c r="T40" s="23" t="n">
        <f aca="false">IF($A40&gt;=Annahmen!$B$54,Annahmen!$B$63*(1-Annahmen!$B$64)*Annahmen!$B$43+(Annahmen!$B$63*Annahmen!$B$64+Annahmen!$B$65)*Annahmen!$B$44,0)</f>
        <v>15.6845378437918</v>
      </c>
      <c r="U40" s="23" t="n">
        <f aca="false">C40*Annahmen!$B$77</f>
        <v>2.52396780241184</v>
      </c>
      <c r="V40" s="23" t="n">
        <f aca="false">SUMPRODUCT((((Annahmen!$C$145:$C$155="monatlich")*(Annahmen!$D$145:$D$155&lt;=$A40))+((Annahmen!$C$145:$C$155="einmalig")*(Annahmen!$D$145:$D$155=$A40)))*Annahmen!$B$145:$B$155*Annahmen!$E$145:$E$155)</f>
        <v>69.9850799606897</v>
      </c>
      <c r="W40" s="23" t="n">
        <f aca="false">IF($A40&gt;=Annahmen!$B$54,Annahmen!$B$134,0)</f>
        <v>200</v>
      </c>
      <c r="X40" s="35" t="n">
        <f aca="false">MAX(0,(I40-Annahmen!$B$138)/Annahmen!$B$139)</f>
        <v>0</v>
      </c>
      <c r="Y40" s="23" t="n">
        <f aca="false">X40*Annahmen!$B$137</f>
        <v>0</v>
      </c>
      <c r="Z40" s="23" t="n">
        <f aca="false">N40-P40-R40-S40-T40-U40-V40-W40-Y40</f>
        <v>-362.218692922878</v>
      </c>
      <c r="AA40" s="23" t="n">
        <f aca="false">AA39+Z40</f>
        <v>-2452.67352605053</v>
      </c>
      <c r="AB40" s="17" t="n">
        <f aca="false">IF($A40&gt;=Annahmen!$B$161,Annahmen!$B$162,0)</f>
        <v>2</v>
      </c>
      <c r="AC40" s="17" t="n">
        <f aca="false">AB40*(1-Annahmen!$B$180)</f>
        <v>1.6</v>
      </c>
      <c r="AD40" s="23" t="n">
        <f aca="false">AC40*(Annahmen!$B$178+Annahmen!$B$179)</f>
        <v>560</v>
      </c>
      <c r="AE40" s="23" t="n">
        <f aca="false">AB40*(Annahmen!$B$47+Annahmen!$B$163*Annahmen!$B$10)</f>
        <v>17.3434865427531</v>
      </c>
      <c r="AF40" s="23" t="n">
        <f aca="false">AD40-AE40</f>
        <v>542.656513457247</v>
      </c>
      <c r="AG40" s="23" t="n">
        <f aca="false">Gesamt!J24-TÆLLA!Y24+Z40+AF40</f>
        <v>152.266040637827</v>
      </c>
      <c r="AH40" s="23" t="n">
        <f aca="false">AH39+AG40</f>
        <v>-3126.68968348491</v>
      </c>
      <c r="AI40" s="15" t="n">
        <f aca="false">IF(AG40&gt;0,1,0)</f>
        <v>1</v>
      </c>
      <c r="AJ40" s="15" t="n">
        <f aca="false">IF(AH40&gt;=0,1,0)</f>
        <v>0</v>
      </c>
      <c r="AK40" s="7" t="n">
        <f aca="false">IF(Z40&gt;0,1,0)</f>
        <v>0</v>
      </c>
      <c r="AL40" s="7" t="n">
        <f aca="false">IF(AA40&gt;=0,1,0)</f>
        <v>0</v>
      </c>
    </row>
    <row r="41" customFormat="false" ht="15" hidden="false" customHeight="false" outlineLevel="0" collapsed="false">
      <c r="A41" s="7" t="n">
        <v>8</v>
      </c>
      <c r="B41" s="7" t="s">
        <v>357</v>
      </c>
      <c r="C41" s="15" t="n">
        <f aca="false">IF($A41&lt;Annahmen!$B$54,0,IF($A41=Annahmen!$B$54,Annahmen!$B$55,C40*(1+(Annahmen!$B$56+F41)*(1-C40/Annahmen!$B$57))))</f>
        <v>273.23996413764</v>
      </c>
      <c r="D41" s="17" t="n">
        <f aca="false">D40+IF($A41&gt;=Annahmen!$B$161,Annahmen!$B$162,0)</f>
        <v>6</v>
      </c>
      <c r="E41" s="17" t="n">
        <f aca="false">E40+Annahmen!$B$66</f>
        <v>47</v>
      </c>
      <c r="F41" s="24" t="n">
        <f aca="false">MIN(Annahmen!$B$166,Annahmen!$B$165*D41/10)</f>
        <v>0.003</v>
      </c>
      <c r="G41" s="41" t="n">
        <f aca="false">MIN(Annahmen!$B$168,Annahmen!$B$167*D41/10)</f>
        <v>0.00012</v>
      </c>
      <c r="H41" s="17" t="n">
        <f aca="false">C41*(Annahmen!$B$58+G41)</f>
        <v>1.39898861638472</v>
      </c>
      <c r="I41" s="17" t="n">
        <f aca="false">I40*(1-Annahmen!$B$59)+H41</f>
        <v>5.13115997799316</v>
      </c>
      <c r="J41" s="17" t="n">
        <f aca="false">I41*(1-Annahmen!$B$60)</f>
        <v>3.59181198459521</v>
      </c>
      <c r="K41" s="17" t="n">
        <f aca="false">I41*Annahmen!$B$60</f>
        <v>1.53934799339795</v>
      </c>
      <c r="L41" s="23" t="n">
        <f aca="false">J41*Annahmen!$B$78+K41*Annahmen!$B$79</f>
        <v>32.1351721521767</v>
      </c>
      <c r="M41" s="23" t="n">
        <f aca="false">IF($A41&gt;=Annahmen!$B$54,Annahmen!$B$63*((1-Annahmen!$B$64)*Annahmen!$B$71+Annahmen!$B$64*Annahmen!$B$72)+Annahmen!$B$65*Annahmen!$B$73,0)</f>
        <v>32.245</v>
      </c>
      <c r="N41" s="23" t="n">
        <f aca="false">(L41+M41)/(1+Annahmen!$B$8)</f>
        <v>54.1009850018291</v>
      </c>
      <c r="O41" s="23" t="n">
        <f aca="false">L41/(1+Annahmen!$B$8)</f>
        <v>27.004346346367</v>
      </c>
      <c r="P41" s="23" t="n">
        <f aca="false">N41*(Annahmen!$B$62*Annahmen!$B$74+(1-Annahmen!$B$62)*Annahmen!$B$75)+(I41*Annahmen!$B$61+I41*(1-Annahmen!$B$61)/12+IF($A41&gt;=Annahmen!$B$54,Annahmen!$B$63+Annahmen!$B$65,0))*(1-Annahmen!$B$62)*Annahmen!$B$76</f>
        <v>5.6157036585801</v>
      </c>
      <c r="Q41" s="24" t="n">
        <f aca="false">IF(D41=0,0,MIN(Annahmen!$B$170,Annahmen!$B$169*D41/(Annahmen!$B$169*D41+E41)))</f>
        <v>0.203389830508475</v>
      </c>
      <c r="R41" s="23" t="n">
        <f aca="false">O41*Q41*Annahmen!$B$177</f>
        <v>3.26798360869593</v>
      </c>
      <c r="S41" s="23" t="n">
        <f aca="false">Annahmen!$B$66*Annahmen!$B$42</f>
        <v>115.483850895744</v>
      </c>
      <c r="T41" s="23" t="n">
        <f aca="false">IF($A41&gt;=Annahmen!$B$54,Annahmen!$B$63*(1-Annahmen!$B$64)*Annahmen!$B$43+(Annahmen!$B$63*Annahmen!$B$64+Annahmen!$B$65)*Annahmen!$B$44,0)</f>
        <v>15.6845378437918</v>
      </c>
      <c r="U41" s="23" t="n">
        <f aca="false">C41*Annahmen!$B$77</f>
        <v>2.7323996413764</v>
      </c>
      <c r="V41" s="23" t="n">
        <f aca="false">SUMPRODUCT((((Annahmen!$C$145:$C$155="monatlich")*(Annahmen!$D$145:$D$155&lt;=$A41))+((Annahmen!$C$145:$C$155="einmalig")*(Annahmen!$D$145:$D$155=$A41)))*Annahmen!$B$145:$B$155*Annahmen!$E$145:$E$155)</f>
        <v>69.9850799606897</v>
      </c>
      <c r="W41" s="23" t="n">
        <f aca="false">IF($A41&gt;=Annahmen!$B$54,Annahmen!$B$134,0)</f>
        <v>200</v>
      </c>
      <c r="X41" s="35" t="n">
        <f aca="false">MAX(0,(I41-Annahmen!$B$138)/Annahmen!$B$139)</f>
        <v>0</v>
      </c>
      <c r="Y41" s="23" t="n">
        <f aca="false">X41*Annahmen!$B$137</f>
        <v>0</v>
      </c>
      <c r="Z41" s="23" t="n">
        <f aca="false">N41-P41-R41-S41-T41-U41-V41-W41-Y41</f>
        <v>-358.668570607049</v>
      </c>
      <c r="AA41" s="23" t="n">
        <f aca="false">AA40+Z41</f>
        <v>-2811.34209665758</v>
      </c>
      <c r="AB41" s="17" t="n">
        <f aca="false">IF($A41&gt;=Annahmen!$B$161,Annahmen!$B$162,0)</f>
        <v>2</v>
      </c>
      <c r="AC41" s="17" t="n">
        <f aca="false">AB41*(1-Annahmen!$B$180)</f>
        <v>1.6</v>
      </c>
      <c r="AD41" s="23" t="n">
        <f aca="false">AC41*(Annahmen!$B$178+Annahmen!$B$179)</f>
        <v>560</v>
      </c>
      <c r="AE41" s="23" t="n">
        <f aca="false">AB41*(Annahmen!$B$47+Annahmen!$B$163*Annahmen!$B$10)</f>
        <v>17.3434865427531</v>
      </c>
      <c r="AF41" s="23" t="n">
        <f aca="false">AD41-AE41</f>
        <v>542.656513457247</v>
      </c>
      <c r="AG41" s="23" t="n">
        <f aca="false">Gesamt!J25-TÆLLA!Y25+Z41+AF41</f>
        <v>365.08107474322</v>
      </c>
      <c r="AH41" s="23" t="n">
        <f aca="false">AH40+AG41</f>
        <v>-2761.60860874169</v>
      </c>
      <c r="AI41" s="15" t="n">
        <f aca="false">IF(AG41&gt;0,1,0)</f>
        <v>1</v>
      </c>
      <c r="AJ41" s="15" t="n">
        <f aca="false">IF(AH41&gt;=0,1,0)</f>
        <v>0</v>
      </c>
      <c r="AK41" s="7" t="n">
        <f aca="false">IF(Z41&gt;0,1,0)</f>
        <v>0</v>
      </c>
      <c r="AL41" s="7" t="n">
        <f aca="false">IF(AA41&gt;=0,1,0)</f>
        <v>0</v>
      </c>
    </row>
    <row r="42" customFormat="false" ht="15" hidden="false" customHeight="false" outlineLevel="0" collapsed="false">
      <c r="A42" s="7" t="n">
        <v>9</v>
      </c>
      <c r="B42" s="7" t="s">
        <v>358</v>
      </c>
      <c r="C42" s="15" t="n">
        <f aca="false">IF($A42&lt;Annahmen!$B$54,0,IF($A42=Annahmen!$B$54,Annahmen!$B$55,C41*(1+(Annahmen!$B$56+F42)*(1-C41/Annahmen!$B$57))))</f>
        <v>296.066692194158</v>
      </c>
      <c r="D42" s="17" t="n">
        <f aca="false">D41+IF($A42&gt;=Annahmen!$B$161,Annahmen!$B$162,0)</f>
        <v>8</v>
      </c>
      <c r="E42" s="17" t="n">
        <f aca="false">E41+Annahmen!$B$66</f>
        <v>51</v>
      </c>
      <c r="F42" s="24" t="n">
        <f aca="false">MIN(Annahmen!$B$166,Annahmen!$B$165*D42/10)</f>
        <v>0.004</v>
      </c>
      <c r="G42" s="41" t="n">
        <f aca="false">MIN(Annahmen!$B$168,Annahmen!$B$167*D42/10)</f>
        <v>0.00016</v>
      </c>
      <c r="H42" s="17" t="n">
        <f aca="false">C42*(Annahmen!$B$58+G42)</f>
        <v>1.52770413172186</v>
      </c>
      <c r="I42" s="17" t="n">
        <f aca="false">I41*(1-Annahmen!$B$59)+H42</f>
        <v>6.24837131147557</v>
      </c>
      <c r="J42" s="17" t="n">
        <f aca="false">I42*(1-Annahmen!$B$60)</f>
        <v>4.3738599180329</v>
      </c>
      <c r="K42" s="17" t="n">
        <f aca="false">I42*Annahmen!$B$60</f>
        <v>1.87451139344267</v>
      </c>
      <c r="L42" s="23" t="n">
        <f aca="false">J42*Annahmen!$B$78+K42*Annahmen!$B$79</f>
        <v>39.1319874309436</v>
      </c>
      <c r="M42" s="23" t="n">
        <f aca="false">IF($A42&gt;=Annahmen!$B$54,Annahmen!$B$63*((1-Annahmen!$B$64)*Annahmen!$B$71+Annahmen!$B$64*Annahmen!$B$72)+Annahmen!$B$65*Annahmen!$B$73,0)</f>
        <v>32.245</v>
      </c>
      <c r="N42" s="23" t="n">
        <f aca="false">(L42+M42)/(1+Annahmen!$B$8)</f>
        <v>59.9806617066753</v>
      </c>
      <c r="O42" s="23" t="n">
        <f aca="false">L42/(1+Annahmen!$B$8)</f>
        <v>32.8840230512131</v>
      </c>
      <c r="P42" s="23" t="n">
        <f aca="false">N42*(Annahmen!$B$62*Annahmen!$B$74+(1-Annahmen!$B$62)*Annahmen!$B$75)+(I42*Annahmen!$B$61+I42*(1-Annahmen!$B$61)/12+IF($A42&gt;=Annahmen!$B$54,Annahmen!$B$63+Annahmen!$B$65,0))*(1-Annahmen!$B$62)*Annahmen!$B$76</f>
        <v>6.26115044392281</v>
      </c>
      <c r="Q42" s="24" t="n">
        <f aca="false">IF(D42=0,0,MIN(Annahmen!$B$170,Annahmen!$B$169*D42/(Annahmen!$B$169*D42+E42)))</f>
        <v>0.238805970149254</v>
      </c>
      <c r="R42" s="23" t="n">
        <f aca="false">O42*Q42*Annahmen!$B$177</f>
        <v>4.67247611115744</v>
      </c>
      <c r="S42" s="23" t="n">
        <f aca="false">Annahmen!$B$66*Annahmen!$B$42</f>
        <v>115.483850895744</v>
      </c>
      <c r="T42" s="23" t="n">
        <f aca="false">IF($A42&gt;=Annahmen!$B$54,Annahmen!$B$63*(1-Annahmen!$B$64)*Annahmen!$B$43+(Annahmen!$B$63*Annahmen!$B$64+Annahmen!$B$65)*Annahmen!$B$44,0)</f>
        <v>15.6845378437918</v>
      </c>
      <c r="U42" s="23" t="n">
        <f aca="false">C42*Annahmen!$B$77</f>
        <v>2.96066692194158</v>
      </c>
      <c r="V42" s="23" t="n">
        <f aca="false">SUMPRODUCT((((Annahmen!$C$145:$C$155="monatlich")*(Annahmen!$D$145:$D$155&lt;=$A42))+((Annahmen!$C$145:$C$155="einmalig")*(Annahmen!$D$145:$D$155=$A42)))*Annahmen!$B$145:$B$155*Annahmen!$E$145:$E$155)</f>
        <v>69.9850799606897</v>
      </c>
      <c r="W42" s="23" t="n">
        <f aca="false">IF($A42&gt;=Annahmen!$B$54,Annahmen!$B$134,0)</f>
        <v>200</v>
      </c>
      <c r="X42" s="35" t="n">
        <f aca="false">MAX(0,(I42-Annahmen!$B$138)/Annahmen!$B$139)</f>
        <v>0</v>
      </c>
      <c r="Y42" s="23" t="n">
        <f aca="false">X42*Annahmen!$B$137</f>
        <v>0</v>
      </c>
      <c r="Z42" s="23" t="n">
        <f aca="false">N42-P42-R42-S42-T42-U42-V42-W42-Y42</f>
        <v>-355.067100470572</v>
      </c>
      <c r="AA42" s="23" t="n">
        <f aca="false">AA41+Z42</f>
        <v>-3166.40919712815</v>
      </c>
      <c r="AB42" s="17" t="n">
        <f aca="false">IF($A42&gt;=Annahmen!$B$161,Annahmen!$B$162,0)</f>
        <v>2</v>
      </c>
      <c r="AC42" s="17" t="n">
        <f aca="false">AB42*(1-Annahmen!$B$180)</f>
        <v>1.6</v>
      </c>
      <c r="AD42" s="23" t="n">
        <f aca="false">AC42*(Annahmen!$B$178+Annahmen!$B$179)</f>
        <v>560</v>
      </c>
      <c r="AE42" s="23" t="n">
        <f aca="false">AB42*(Annahmen!$B$47+Annahmen!$B$163*Annahmen!$B$10)</f>
        <v>17.3434865427531</v>
      </c>
      <c r="AF42" s="23" t="n">
        <f aca="false">AD42-AE42</f>
        <v>542.656513457247</v>
      </c>
      <c r="AG42" s="23" t="n">
        <f aca="false">Gesamt!J26-TÆLLA!Y26+Z42+AF42</f>
        <v>370.169741141379</v>
      </c>
      <c r="AH42" s="23" t="n">
        <f aca="false">AH41+AG42</f>
        <v>-2391.43886760031</v>
      </c>
      <c r="AI42" s="15" t="n">
        <f aca="false">IF(AG42&gt;0,1,0)</f>
        <v>1</v>
      </c>
      <c r="AJ42" s="15" t="n">
        <f aca="false">IF(AH42&gt;=0,1,0)</f>
        <v>0</v>
      </c>
      <c r="AK42" s="7" t="n">
        <f aca="false">IF(Z42&gt;0,1,0)</f>
        <v>0</v>
      </c>
      <c r="AL42" s="7" t="n">
        <f aca="false">IF(AA42&gt;=0,1,0)</f>
        <v>0</v>
      </c>
    </row>
    <row r="43" customFormat="false" ht="15" hidden="false" customHeight="false" outlineLevel="0" collapsed="false">
      <c r="A43" s="7" t="n">
        <v>10</v>
      </c>
      <c r="B43" s="7" t="s">
        <v>359</v>
      </c>
      <c r="C43" s="15" t="n">
        <f aca="false">IF($A43&lt;Annahmen!$B$54,0,IF($A43=Annahmen!$B$54,Annahmen!$B$55,C42*(1+(Annahmen!$B$56+F43)*(1-C42/Annahmen!$B$57))))</f>
        <v>321.083346704076</v>
      </c>
      <c r="D43" s="17" t="n">
        <f aca="false">D42+IF($A43&gt;=Annahmen!$B$161,Annahmen!$B$162,0)</f>
        <v>10</v>
      </c>
      <c r="E43" s="17" t="n">
        <f aca="false">E42+Annahmen!$B$66</f>
        <v>55</v>
      </c>
      <c r="F43" s="24" t="n">
        <f aca="false">MIN(Annahmen!$B$166,Annahmen!$B$165*D43/10)</f>
        <v>0.005</v>
      </c>
      <c r="G43" s="41" t="n">
        <f aca="false">MIN(Annahmen!$B$168,Annahmen!$B$167*D43/10)</f>
        <v>0.0002</v>
      </c>
      <c r="H43" s="17" t="n">
        <f aca="false">C43*(Annahmen!$B$58+G43)</f>
        <v>1.6696334028612</v>
      </c>
      <c r="I43" s="17" t="n">
        <f aca="false">I42*(1-Annahmen!$B$59)+H43</f>
        <v>7.41813500941872</v>
      </c>
      <c r="J43" s="17" t="n">
        <f aca="false">I43*(1-Annahmen!$B$60)</f>
        <v>5.1926945065931</v>
      </c>
      <c r="K43" s="17" t="n">
        <f aca="false">I43*Annahmen!$B$60</f>
        <v>2.22544050282562</v>
      </c>
      <c r="L43" s="23" t="n">
        <f aca="false">J43*Annahmen!$B$78+K43*Annahmen!$B$79</f>
        <v>46.4579250302371</v>
      </c>
      <c r="M43" s="23" t="n">
        <f aca="false">IF($A43&gt;=Annahmen!$B$54,Annahmen!$B$63*((1-Annahmen!$B$64)*Annahmen!$B$71+Annahmen!$B$64*Annahmen!$B$72)+Annahmen!$B$65*Annahmen!$B$73,0)</f>
        <v>32.245</v>
      </c>
      <c r="N43" s="23" t="n">
        <f aca="false">(L43+M43)/(1+Annahmen!$B$8)</f>
        <v>66.1369117901152</v>
      </c>
      <c r="O43" s="23" t="n">
        <f aca="false">L43/(1+Annahmen!$B$8)</f>
        <v>39.040273134653</v>
      </c>
      <c r="P43" s="23" t="n">
        <f aca="false">N43*(Annahmen!$B$62*Annahmen!$B$74+(1-Annahmen!$B$62)*Annahmen!$B$75)+(I43*Annahmen!$B$61+I43*(1-Annahmen!$B$61)/12+IF($A43&gt;=Annahmen!$B$54,Annahmen!$B$63+Annahmen!$B$65,0))*(1-Annahmen!$B$62)*Annahmen!$B$76</f>
        <v>6.93695832003391</v>
      </c>
      <c r="Q43" s="24" t="n">
        <f aca="false">IF(D43=0,0,MIN(Annahmen!$B$170,Annahmen!$B$169*D43/(Annahmen!$B$169*D43+E43)))</f>
        <v>0.266666666666667</v>
      </c>
      <c r="R43" s="23" t="n">
        <f aca="false">O43*Q43*Annahmen!$B$177</f>
        <v>6.19439000403161</v>
      </c>
      <c r="S43" s="23" t="n">
        <f aca="false">Annahmen!$B$66*Annahmen!$B$42</f>
        <v>115.483850895744</v>
      </c>
      <c r="T43" s="23" t="n">
        <f aca="false">IF($A43&gt;=Annahmen!$B$54,Annahmen!$B$63*(1-Annahmen!$B$64)*Annahmen!$B$43+(Annahmen!$B$63*Annahmen!$B$64+Annahmen!$B$65)*Annahmen!$B$44,0)</f>
        <v>15.6845378437918</v>
      </c>
      <c r="U43" s="23" t="n">
        <f aca="false">C43*Annahmen!$B$77</f>
        <v>3.21083346704076</v>
      </c>
      <c r="V43" s="23" t="n">
        <f aca="false">SUMPRODUCT((((Annahmen!$C$145:$C$155="monatlich")*(Annahmen!$D$145:$D$155&lt;=$A43))+((Annahmen!$C$145:$C$155="einmalig")*(Annahmen!$D$145:$D$155=$A43)))*Annahmen!$B$145:$B$155*Annahmen!$E$145:$E$155)</f>
        <v>69.9850799606897</v>
      </c>
      <c r="W43" s="23" t="n">
        <f aca="false">IF($A43&gt;=Annahmen!$B$54,Annahmen!$B$134,0)</f>
        <v>200</v>
      </c>
      <c r="X43" s="35" t="n">
        <f aca="false">MAX(0,(I43-Annahmen!$B$138)/Annahmen!$B$139)</f>
        <v>0</v>
      </c>
      <c r="Y43" s="23" t="n">
        <f aca="false">X43*Annahmen!$B$137</f>
        <v>0</v>
      </c>
      <c r="Z43" s="23" t="n">
        <f aca="false">N43-P43-R43-S43-T43-U43-V43-W43-Y43</f>
        <v>-351.358738701217</v>
      </c>
      <c r="AA43" s="23" t="n">
        <f aca="false">AA42+Z43</f>
        <v>-3517.76793582937</v>
      </c>
      <c r="AB43" s="17" t="n">
        <f aca="false">IF($A43&gt;=Annahmen!$B$161,Annahmen!$B$162,0)</f>
        <v>2</v>
      </c>
      <c r="AC43" s="17" t="n">
        <f aca="false">AB43*(1-Annahmen!$B$180)</f>
        <v>1.6</v>
      </c>
      <c r="AD43" s="23" t="n">
        <f aca="false">AC43*(Annahmen!$B$178+Annahmen!$B$179)</f>
        <v>560</v>
      </c>
      <c r="AE43" s="23" t="n">
        <f aca="false">AB43*(Annahmen!$B$47+Annahmen!$B$163*Annahmen!$B$10)</f>
        <v>17.3434865427531</v>
      </c>
      <c r="AF43" s="23" t="n">
        <f aca="false">AD43-AE43</f>
        <v>542.656513457247</v>
      </c>
      <c r="AG43" s="23" t="n">
        <f aca="false">Gesamt!J27-TÆLLA!Y27+Z43+AF43</f>
        <v>375.365299172416</v>
      </c>
      <c r="AH43" s="23" t="n">
        <f aca="false">AH42+AG43</f>
        <v>-2016.0735684279</v>
      </c>
      <c r="AI43" s="15" t="n">
        <f aca="false">IF(AG43&gt;0,1,0)</f>
        <v>1</v>
      </c>
      <c r="AJ43" s="15" t="n">
        <f aca="false">IF(AH43&gt;=0,1,0)</f>
        <v>0</v>
      </c>
      <c r="AK43" s="7" t="n">
        <f aca="false">IF(Z43&gt;0,1,0)</f>
        <v>0</v>
      </c>
      <c r="AL43" s="7" t="n">
        <f aca="false">IF(AA43&gt;=0,1,0)</f>
        <v>0</v>
      </c>
    </row>
    <row r="44" customFormat="false" ht="15" hidden="false" customHeight="false" outlineLevel="0" collapsed="false">
      <c r="A44" s="7" t="n">
        <v>11</v>
      </c>
      <c r="B44" s="7" t="s">
        <v>360</v>
      </c>
      <c r="C44" s="15" t="n">
        <f aca="false">IF($A44&lt;Annahmen!$B$54,0,IF($A44=Annahmen!$B$54,Annahmen!$B$55,C43*(1+(Annahmen!$B$56+F44)*(1-C43/Annahmen!$B$57))))</f>
        <v>348.519191953914</v>
      </c>
      <c r="D44" s="17" t="n">
        <f aca="false">D43+IF($A44&gt;=Annahmen!$B$161,Annahmen!$B$162,0)</f>
        <v>12</v>
      </c>
      <c r="E44" s="17" t="n">
        <f aca="false">E43+Annahmen!$B$66</f>
        <v>59</v>
      </c>
      <c r="F44" s="24" t="n">
        <f aca="false">MIN(Annahmen!$B$166,Annahmen!$B$165*D44/10)</f>
        <v>0.006</v>
      </c>
      <c r="G44" s="41" t="n">
        <f aca="false">MIN(Annahmen!$B$168,Annahmen!$B$167*D44/10)</f>
        <v>0.00024</v>
      </c>
      <c r="H44" s="17" t="n">
        <f aca="false">C44*(Annahmen!$B$58+G44)</f>
        <v>1.82624056583851</v>
      </c>
      <c r="I44" s="17" t="n">
        <f aca="false">I43*(1-Annahmen!$B$59)+H44</f>
        <v>8.65092477450373</v>
      </c>
      <c r="J44" s="17" t="n">
        <f aca="false">I44*(1-Annahmen!$B$60)</f>
        <v>6.05564734215261</v>
      </c>
      <c r="K44" s="17" t="n">
        <f aca="false">I44*Annahmen!$B$60</f>
        <v>2.59527743235112</v>
      </c>
      <c r="L44" s="23" t="n">
        <f aca="false">J44*Annahmen!$B$78+K44*Annahmen!$B$79</f>
        <v>54.1785791315232</v>
      </c>
      <c r="M44" s="23" t="n">
        <f aca="false">IF($A44&gt;=Annahmen!$B$54,Annahmen!$B$63*((1-Annahmen!$B$64)*Annahmen!$B$71+Annahmen!$B$64*Annahmen!$B$72)+Annahmen!$B$65*Annahmen!$B$73,0)</f>
        <v>32.245</v>
      </c>
      <c r="N44" s="23" t="n">
        <f aca="false">(L44+M44)/(1+Annahmen!$B$8)</f>
        <v>72.6248564130447</v>
      </c>
      <c r="O44" s="23" t="n">
        <f aca="false">L44/(1+Annahmen!$B$8)</f>
        <v>45.5282177575825</v>
      </c>
      <c r="P44" s="23" t="n">
        <f aca="false">N44*(Annahmen!$B$62*Annahmen!$B$74+(1-Annahmen!$B$62)*Annahmen!$B$75)+(I44*Annahmen!$B$61+I44*(1-Annahmen!$B$61)/12+IF($A44&gt;=Annahmen!$B$54,Annahmen!$B$63+Annahmen!$B$65,0))*(1-Annahmen!$B$62)*Annahmen!$B$76</f>
        <v>7.64917826180381</v>
      </c>
      <c r="Q44" s="24" t="n">
        <f aca="false">IF(D44=0,0,MIN(Annahmen!$B$170,Annahmen!$B$169*D44/(Annahmen!$B$169*D44+E44)))</f>
        <v>0.289156626506024</v>
      </c>
      <c r="R44" s="23" t="n">
        <f aca="false">O44*Q44*Annahmen!$B$177</f>
        <v>7.83304758528047</v>
      </c>
      <c r="S44" s="23" t="n">
        <f aca="false">Annahmen!$B$66*Annahmen!$B$42</f>
        <v>115.483850895744</v>
      </c>
      <c r="T44" s="23" t="n">
        <f aca="false">IF($A44&gt;=Annahmen!$B$54,Annahmen!$B$63*(1-Annahmen!$B$64)*Annahmen!$B$43+(Annahmen!$B$63*Annahmen!$B$64+Annahmen!$B$65)*Annahmen!$B$44,0)</f>
        <v>15.6845378437918</v>
      </c>
      <c r="U44" s="23" t="n">
        <f aca="false">C44*Annahmen!$B$77</f>
        <v>3.48519191953914</v>
      </c>
      <c r="V44" s="23" t="n">
        <f aca="false">SUMPRODUCT((((Annahmen!$C$145:$C$155="monatlich")*(Annahmen!$D$145:$D$155&lt;=$A44))+((Annahmen!$C$145:$C$155="einmalig")*(Annahmen!$D$145:$D$155=$A44)))*Annahmen!$B$145:$B$155*Annahmen!$E$145:$E$155)</f>
        <v>69.9850799606897</v>
      </c>
      <c r="W44" s="23" t="n">
        <f aca="false">IF($A44&gt;=Annahmen!$B$54,Annahmen!$B$134,0)</f>
        <v>200</v>
      </c>
      <c r="X44" s="35" t="n">
        <f aca="false">MAX(0,(I44-Annahmen!$B$138)/Annahmen!$B$139)</f>
        <v>0</v>
      </c>
      <c r="Y44" s="23" t="n">
        <f aca="false">X44*Annahmen!$B$137</f>
        <v>0</v>
      </c>
      <c r="Z44" s="23" t="n">
        <f aca="false">N44-P44-R44-S44-T44-U44-V44-W44-Y44</f>
        <v>-347.496030053804</v>
      </c>
      <c r="AA44" s="23" t="n">
        <f aca="false">AA43+Z44</f>
        <v>-3865.26396588317</v>
      </c>
      <c r="AB44" s="17" t="n">
        <f aca="false">IF($A44&gt;=Annahmen!$B$161,Annahmen!$B$162,0)</f>
        <v>2</v>
      </c>
      <c r="AC44" s="17" t="n">
        <f aca="false">AB44*(1-Annahmen!$B$180)</f>
        <v>1.6</v>
      </c>
      <c r="AD44" s="23" t="n">
        <f aca="false">AC44*(Annahmen!$B$178+Annahmen!$B$179)</f>
        <v>560</v>
      </c>
      <c r="AE44" s="23" t="n">
        <f aca="false">AB44*(Annahmen!$B$47+Annahmen!$B$163*Annahmen!$B$10)</f>
        <v>17.3434865427531</v>
      </c>
      <c r="AF44" s="23" t="n">
        <f aca="false">AD44-AE44</f>
        <v>542.656513457247</v>
      </c>
      <c r="AG44" s="23" t="n">
        <f aca="false">Gesamt!J28-TÆLLA!Y28+Z44+AF44</f>
        <v>380.715204081511</v>
      </c>
      <c r="AH44" s="23" t="n">
        <f aca="false">AH43+AG44</f>
        <v>-1635.35836434639</v>
      </c>
      <c r="AI44" s="15" t="n">
        <f aca="false">IF(AG44&gt;0,1,0)</f>
        <v>1</v>
      </c>
      <c r="AJ44" s="15" t="n">
        <f aca="false">IF(AH44&gt;=0,1,0)</f>
        <v>0</v>
      </c>
      <c r="AK44" s="7" t="n">
        <f aca="false">IF(Z44&gt;0,1,0)</f>
        <v>0</v>
      </c>
      <c r="AL44" s="7" t="n">
        <f aca="false">IF(AA44&gt;=0,1,0)</f>
        <v>0</v>
      </c>
    </row>
    <row r="45" customFormat="false" ht="15" hidden="false" customHeight="false" outlineLevel="0" collapsed="false">
      <c r="A45" s="7" t="n">
        <v>12</v>
      </c>
      <c r="B45" s="7" t="s">
        <v>361</v>
      </c>
      <c r="C45" s="15" t="n">
        <f aca="false">IF($A45&lt;Annahmen!$B$54,0,IF($A45=Annahmen!$B$54,Annahmen!$B$55,C44*(1+(Annahmen!$B$56+F45)*(1-C44/Annahmen!$B$57))))</f>
        <v>378.629011462646</v>
      </c>
      <c r="D45" s="17" t="n">
        <f aca="false">D44+IF($A45&gt;=Annahmen!$B$161,Annahmen!$B$162,0)</f>
        <v>14</v>
      </c>
      <c r="E45" s="17" t="n">
        <f aca="false">E44+Annahmen!$B$66</f>
        <v>63</v>
      </c>
      <c r="F45" s="24" t="n">
        <f aca="false">MIN(Annahmen!$B$166,Annahmen!$B$165*D45/10)</f>
        <v>0.007</v>
      </c>
      <c r="G45" s="41" t="n">
        <f aca="false">MIN(Annahmen!$B$168,Annahmen!$B$167*D45/10)</f>
        <v>0.00028</v>
      </c>
      <c r="H45" s="17" t="n">
        <f aca="false">C45*(Annahmen!$B$58+G45)</f>
        <v>1.99916118052277</v>
      </c>
      <c r="I45" s="17" t="n">
        <f aca="false">I44*(1-Annahmen!$B$59)+H45</f>
        <v>9.9580119730662</v>
      </c>
      <c r="J45" s="17" t="n">
        <f aca="false">I45*(1-Annahmen!$B$60)</f>
        <v>6.97060838114634</v>
      </c>
      <c r="K45" s="17" t="n">
        <f aca="false">I45*Annahmen!$B$60</f>
        <v>2.98740359191986</v>
      </c>
      <c r="L45" s="23" t="n">
        <f aca="false">J45*Annahmen!$B$78+K45*Annahmen!$B$79</f>
        <v>62.3645394843203</v>
      </c>
      <c r="M45" s="23" t="n">
        <f aca="false">IF($A45&gt;=Annahmen!$B$54,Annahmen!$B$63*((1-Annahmen!$B$64)*Annahmen!$B$71+Annahmen!$B$64*Annahmen!$B$72)+Annahmen!$B$65*Annahmen!$B$73,0)</f>
        <v>32.245</v>
      </c>
      <c r="N45" s="23" t="n">
        <f aca="false">(L45+M45)/(1+Annahmen!$B$8)</f>
        <v>79.5038146927062</v>
      </c>
      <c r="O45" s="23" t="n">
        <f aca="false">L45/(1+Annahmen!$B$8)</f>
        <v>52.407176037244</v>
      </c>
      <c r="P45" s="23" t="n">
        <f aca="false">N45*(Annahmen!$B$62*Annahmen!$B$74+(1-Annahmen!$B$62)*Annahmen!$B$75)+(I45*Annahmen!$B$61+I45*(1-Annahmen!$B$61)/12+IF($A45&gt;=Annahmen!$B$54,Annahmen!$B$63+Annahmen!$B$65,0))*(1-Annahmen!$B$62)*Annahmen!$B$76</f>
        <v>8.40432207854709</v>
      </c>
      <c r="Q45" s="24" t="n">
        <f aca="false">IF(D45=0,0,MIN(Annahmen!$B$170,Annahmen!$B$169*D45/(Annahmen!$B$169*D45+E45)))</f>
        <v>0.307692307692308</v>
      </c>
      <c r="R45" s="23" t="n">
        <f aca="false">O45*Q45*Annahmen!$B$177</f>
        <v>9.59454453604928</v>
      </c>
      <c r="S45" s="23" t="n">
        <f aca="false">Annahmen!$B$66*Annahmen!$B$42</f>
        <v>115.483850895744</v>
      </c>
      <c r="T45" s="23" t="n">
        <f aca="false">IF($A45&gt;=Annahmen!$B$54,Annahmen!$B$63*(1-Annahmen!$B$64)*Annahmen!$B$43+(Annahmen!$B$63*Annahmen!$B$64+Annahmen!$B$65)*Annahmen!$B$44,0)</f>
        <v>15.6845378437918</v>
      </c>
      <c r="U45" s="23" t="n">
        <f aca="false">C45*Annahmen!$B$77</f>
        <v>3.78629011462646</v>
      </c>
      <c r="V45" s="23" t="n">
        <f aca="false">SUMPRODUCT((((Annahmen!$C$145:$C$155="monatlich")*(Annahmen!$D$145:$D$155&lt;=$A45))+((Annahmen!$C$145:$C$155="einmalig")*(Annahmen!$D$145:$D$155=$A45)))*Annahmen!$B$145:$B$155*Annahmen!$E$145:$E$155)</f>
        <v>69.9850799606897</v>
      </c>
      <c r="W45" s="23" t="n">
        <f aca="false">IF($A45&gt;=Annahmen!$B$54,Annahmen!$B$134,0)</f>
        <v>200</v>
      </c>
      <c r="X45" s="35" t="n">
        <f aca="false">MAX(0,(I45-Annahmen!$B$138)/Annahmen!$B$139)</f>
        <v>0</v>
      </c>
      <c r="Y45" s="23" t="n">
        <f aca="false">X45*Annahmen!$B$137</f>
        <v>0</v>
      </c>
      <c r="Z45" s="23" t="n">
        <f aca="false">N45-P45-R45-S45-T45-U45-V45-W45-Y45</f>
        <v>-343.434810736742</v>
      </c>
      <c r="AA45" s="23" t="n">
        <f aca="false">AA44+Z45</f>
        <v>-4208.69877661991</v>
      </c>
      <c r="AB45" s="17" t="n">
        <f aca="false">IF($A45&gt;=Annahmen!$B$161,Annahmen!$B$162,0)</f>
        <v>2</v>
      </c>
      <c r="AC45" s="17" t="n">
        <f aca="false">AB45*(1-Annahmen!$B$180)</f>
        <v>1.6</v>
      </c>
      <c r="AD45" s="23" t="n">
        <f aca="false">AC45*(Annahmen!$B$178+Annahmen!$B$179)</f>
        <v>560</v>
      </c>
      <c r="AE45" s="23" t="n">
        <f aca="false">AB45*(Annahmen!$B$47+Annahmen!$B$163*Annahmen!$B$10)</f>
        <v>17.3434865427531</v>
      </c>
      <c r="AF45" s="23" t="n">
        <f aca="false">AD45-AE45</f>
        <v>542.656513457247</v>
      </c>
      <c r="AG45" s="23" t="n">
        <f aca="false">Gesamt!J29-TÆLLA!Y29+Z45+AF45</f>
        <v>386.263619660255</v>
      </c>
      <c r="AH45" s="23" t="n">
        <f aca="false">AH44+AG45</f>
        <v>-1249.09474468613</v>
      </c>
      <c r="AI45" s="15" t="n">
        <f aca="false">IF(AG45&gt;0,1,0)</f>
        <v>1</v>
      </c>
      <c r="AJ45" s="15" t="n">
        <f aca="false">IF(AH45&gt;=0,1,0)</f>
        <v>0</v>
      </c>
      <c r="AK45" s="7" t="n">
        <f aca="false">IF(Z45&gt;0,1,0)</f>
        <v>0</v>
      </c>
      <c r="AL45" s="7" t="n">
        <f aca="false">IF(AA45&gt;=0,1,0)</f>
        <v>0</v>
      </c>
    </row>
    <row r="46" customFormat="false" ht="15" hidden="false" customHeight="false" outlineLevel="0" collapsed="false">
      <c r="A46" s="7" t="n">
        <v>13</v>
      </c>
      <c r="B46" s="7" t="s">
        <v>362</v>
      </c>
      <c r="C46" s="15" t="n">
        <f aca="false">IF($A46&lt;Annahmen!$B$54,0,IF($A46=Annahmen!$B$54,Annahmen!$B$55,C45*(1+(Annahmen!$B$56+F46)*(1-C45/Annahmen!$B$57))))</f>
        <v>411.696050997513</v>
      </c>
      <c r="D46" s="17" t="n">
        <f aca="false">D45+IF($A46&gt;=Annahmen!$B$161,Annahmen!$B$162,0)</f>
        <v>16</v>
      </c>
      <c r="E46" s="17" t="n">
        <f aca="false">E45+Annahmen!$B$66</f>
        <v>67</v>
      </c>
      <c r="F46" s="24" t="n">
        <f aca="false">MIN(Annahmen!$B$166,Annahmen!$B$165*D46/10)</f>
        <v>0.008</v>
      </c>
      <c r="G46" s="41" t="n">
        <f aca="false">MIN(Annahmen!$B$168,Annahmen!$B$167*D46/10)</f>
        <v>0.00032</v>
      </c>
      <c r="H46" s="17" t="n">
        <f aca="false">C46*(Annahmen!$B$58+G46)</f>
        <v>2.19022299130677</v>
      </c>
      <c r="I46" s="17" t="n">
        <f aca="false">I45*(1-Annahmen!$B$59)+H46</f>
        <v>11.3515940065277</v>
      </c>
      <c r="J46" s="17" t="n">
        <f aca="false">I46*(1-Annahmen!$B$60)</f>
        <v>7.94611580456937</v>
      </c>
      <c r="K46" s="17" t="n">
        <f aca="false">I46*Annahmen!$B$60</f>
        <v>3.4054782019583</v>
      </c>
      <c r="L46" s="23" t="n">
        <f aca="false">J46*Annahmen!$B$78+K46*Annahmen!$B$79</f>
        <v>71.0921953643812</v>
      </c>
      <c r="M46" s="23" t="n">
        <f aca="false">IF($A46&gt;=Annahmen!$B$54,Annahmen!$B$63*((1-Annahmen!$B$64)*Annahmen!$B$71+Annahmen!$B$64*Annahmen!$B$72)+Annahmen!$B$65*Annahmen!$B$73,0)</f>
        <v>32.245</v>
      </c>
      <c r="N46" s="23" t="n">
        <f aca="false">(L46+M46)/(1+Annahmen!$B$8)</f>
        <v>86.8379792977993</v>
      </c>
      <c r="O46" s="23" t="n">
        <f aca="false">L46/(1+Annahmen!$B$8)</f>
        <v>59.7413406423371</v>
      </c>
      <c r="P46" s="23" t="n">
        <f aca="false">N46*(Annahmen!$B$62*Annahmen!$B$74+(1-Annahmen!$B$62)*Annahmen!$B$75)+(I46*Annahmen!$B$61+I46*(1-Annahmen!$B$61)/12+IF($A46&gt;=Annahmen!$B$54,Annahmen!$B$63+Annahmen!$B$65,0))*(1-Annahmen!$B$62)*Annahmen!$B$76</f>
        <v>9.20943657806199</v>
      </c>
      <c r="Q46" s="24" t="n">
        <f aca="false">IF(D46=0,0,MIN(Annahmen!$B$170,Annahmen!$B$169*D46/(Annahmen!$B$169*D46+E46)))</f>
        <v>0.323232323232323</v>
      </c>
      <c r="R46" s="23" t="n">
        <f aca="false">O46*Q46*Annahmen!$B$177</f>
        <v>11.4896477356576</v>
      </c>
      <c r="S46" s="23" t="n">
        <f aca="false">Annahmen!$B$66*Annahmen!$B$42</f>
        <v>115.483850895744</v>
      </c>
      <c r="T46" s="23" t="n">
        <f aca="false">IF($A46&gt;=Annahmen!$B$54,Annahmen!$B$63*(1-Annahmen!$B$64)*Annahmen!$B$43+(Annahmen!$B$63*Annahmen!$B$64+Annahmen!$B$65)*Annahmen!$B$44,0)</f>
        <v>15.6845378437918</v>
      </c>
      <c r="U46" s="23" t="n">
        <f aca="false">C46*Annahmen!$B$77</f>
        <v>4.11696050997513</v>
      </c>
      <c r="V46" s="23" t="n">
        <f aca="false">SUMPRODUCT((((Annahmen!$C$145:$C$155="monatlich")*(Annahmen!$D$145:$D$155&lt;=$A46))+((Annahmen!$C$145:$C$155="einmalig")*(Annahmen!$D$145:$D$155=$A46)))*Annahmen!$B$145:$B$155*Annahmen!$E$145:$E$155)</f>
        <v>69.9850799606897</v>
      </c>
      <c r="W46" s="23" t="n">
        <f aca="false">IF($A46&gt;=Annahmen!$B$54,Annahmen!$B$134,0)</f>
        <v>200</v>
      </c>
      <c r="X46" s="35" t="n">
        <f aca="false">MAX(0,(I46-Annahmen!$B$138)/Annahmen!$B$139)</f>
        <v>0</v>
      </c>
      <c r="Y46" s="23" t="n">
        <f aca="false">X46*Annahmen!$B$137</f>
        <v>0</v>
      </c>
      <c r="Z46" s="23" t="n">
        <f aca="false">N46-P46-R46-S46-T46-U46-V46-W46-Y46</f>
        <v>-339.131534226121</v>
      </c>
      <c r="AA46" s="23" t="n">
        <f aca="false">AA45+Z46</f>
        <v>-4547.83031084603</v>
      </c>
      <c r="AB46" s="17" t="n">
        <f aca="false">IF($A46&gt;=Annahmen!$B$161,Annahmen!$B$162,0)</f>
        <v>2</v>
      </c>
      <c r="AC46" s="17" t="n">
        <f aca="false">AB46*(1-Annahmen!$B$180)</f>
        <v>1.6</v>
      </c>
      <c r="AD46" s="23" t="n">
        <f aca="false">AC46*(Annahmen!$B$178+Annahmen!$B$179)</f>
        <v>560</v>
      </c>
      <c r="AE46" s="23" t="n">
        <f aca="false">AB46*(Annahmen!$B$47+Annahmen!$B$163*Annahmen!$B$10)</f>
        <v>17.3434865427531</v>
      </c>
      <c r="AF46" s="23" t="n">
        <f aca="false">AD46-AE46</f>
        <v>542.656513457247</v>
      </c>
      <c r="AG46" s="23" t="n">
        <f aca="false">Gesamt!J30-TÆLLA!Y30+Z46+AF46</f>
        <v>392.054092432559</v>
      </c>
      <c r="AH46" s="23" t="n">
        <f aca="false">AH45+AG46</f>
        <v>-857.040652253571</v>
      </c>
      <c r="AI46" s="15" t="n">
        <f aca="false">IF(AG46&gt;0,1,0)</f>
        <v>1</v>
      </c>
      <c r="AJ46" s="15" t="n">
        <f aca="false">IF(AH46&gt;=0,1,0)</f>
        <v>0</v>
      </c>
      <c r="AK46" s="7" t="n">
        <f aca="false">IF(Z46&gt;0,1,0)</f>
        <v>0</v>
      </c>
      <c r="AL46" s="7" t="n">
        <f aca="false">IF(AA46&gt;=0,1,0)</f>
        <v>0</v>
      </c>
    </row>
    <row r="47" customFormat="false" ht="15" hidden="false" customHeight="false" outlineLevel="0" collapsed="false">
      <c r="A47" s="7" t="n">
        <v>14</v>
      </c>
      <c r="B47" s="7" t="s">
        <v>363</v>
      </c>
      <c r="C47" s="15" t="n">
        <f aca="false">IF($A47&lt;Annahmen!$B$54,0,IF($A47=Annahmen!$B$54,Annahmen!$B$55,C46*(1+(Annahmen!$B$56+F47)*(1-C46/Annahmen!$B$57))))</f>
        <v>448.035300859927</v>
      </c>
      <c r="D47" s="17" t="n">
        <f aca="false">D46+IF($A47&gt;=Annahmen!$B$161,Annahmen!$B$162,0)</f>
        <v>18</v>
      </c>
      <c r="E47" s="17" t="n">
        <f aca="false">E46+Annahmen!$B$66</f>
        <v>71</v>
      </c>
      <c r="F47" s="24" t="n">
        <f aca="false">MIN(Annahmen!$B$166,Annahmen!$B$165*D47/10)</f>
        <v>0.009</v>
      </c>
      <c r="G47" s="41" t="n">
        <f aca="false">MIN(Annahmen!$B$168,Annahmen!$B$167*D47/10)</f>
        <v>0.00036</v>
      </c>
      <c r="H47" s="17" t="n">
        <f aca="false">C47*(Annahmen!$B$58+G47)</f>
        <v>2.40146921260921</v>
      </c>
      <c r="I47" s="17" t="n">
        <f aca="false">I46*(1-Annahmen!$B$59)+H47</f>
        <v>12.8449356986147</v>
      </c>
      <c r="J47" s="17" t="n">
        <f aca="false">I47*(1-Annahmen!$B$60)</f>
        <v>8.99145498903027</v>
      </c>
      <c r="K47" s="17" t="n">
        <f aca="false">I47*Annahmen!$B$60</f>
        <v>3.8534807095844</v>
      </c>
      <c r="L47" s="23" t="n">
        <f aca="false">J47*Annahmen!$B$78+K47*Annahmen!$B$79</f>
        <v>80.444621046499</v>
      </c>
      <c r="M47" s="23" t="n">
        <f aca="false">IF($A47&gt;=Annahmen!$B$54,Annahmen!$B$63*((1-Annahmen!$B$64)*Annahmen!$B$71+Annahmen!$B$64*Annahmen!$B$72)+Annahmen!$B$65*Annahmen!$B$73,0)</f>
        <v>32.245</v>
      </c>
      <c r="N47" s="23" t="n">
        <f aca="false">(L47+M47)/(1+Annahmen!$B$8)</f>
        <v>94.6971605432765</v>
      </c>
      <c r="O47" s="23" t="n">
        <f aca="false">L47/(1+Annahmen!$B$8)</f>
        <v>67.6005218878143</v>
      </c>
      <c r="P47" s="23" t="n">
        <f aca="false">N47*(Annahmen!$B$62*Annahmen!$B$74+(1-Annahmen!$B$62)*Annahmen!$B$75)+(I47*Annahmen!$B$61+I47*(1-Annahmen!$B$61)/12+IF($A47&gt;=Annahmen!$B$54,Annahmen!$B$63+Annahmen!$B$65,0))*(1-Annahmen!$B$62)*Annahmen!$B$76</f>
        <v>10.0721852503041</v>
      </c>
      <c r="Q47" s="24" t="n">
        <f aca="false">IF(D47=0,0,MIN(Annahmen!$B$170,Annahmen!$B$169*D47/(Annahmen!$B$169*D47+E47)))</f>
        <v>0.336448598130841</v>
      </c>
      <c r="R47" s="23" t="n">
        <f aca="false">O47*Q47*Annahmen!$B$177</f>
        <v>13.5327399891307</v>
      </c>
      <c r="S47" s="23" t="n">
        <f aca="false">Annahmen!$B$66*Annahmen!$B$42</f>
        <v>115.483850895744</v>
      </c>
      <c r="T47" s="23" t="n">
        <f aca="false">IF($A47&gt;=Annahmen!$B$54,Annahmen!$B$63*(1-Annahmen!$B$64)*Annahmen!$B$43+(Annahmen!$B$63*Annahmen!$B$64+Annahmen!$B$65)*Annahmen!$B$44,0)</f>
        <v>15.6845378437918</v>
      </c>
      <c r="U47" s="23" t="n">
        <f aca="false">C47*Annahmen!$B$77</f>
        <v>4.48035300859927</v>
      </c>
      <c r="V47" s="23" t="n">
        <f aca="false">SUMPRODUCT((((Annahmen!$C$145:$C$155="monatlich")*(Annahmen!$D$145:$D$155&lt;=$A47))+((Annahmen!$C$145:$C$155="einmalig")*(Annahmen!$D$145:$D$155=$A47)))*Annahmen!$B$145:$B$155*Annahmen!$E$145:$E$155)</f>
        <v>69.9850799606897</v>
      </c>
      <c r="W47" s="23" t="n">
        <f aca="false">IF($A47&gt;=Annahmen!$B$54,Annahmen!$B$134,0)</f>
        <v>200</v>
      </c>
      <c r="X47" s="35" t="n">
        <f aca="false">MAX(0,(I47-Annahmen!$B$138)/Annahmen!$B$139)</f>
        <v>0</v>
      </c>
      <c r="Y47" s="23" t="n">
        <f aca="false">X47*Annahmen!$B$137</f>
        <v>0</v>
      </c>
      <c r="Z47" s="23" t="n">
        <f aca="false">N47-P47-R47-S47-T47-U47-V47-W47-Y47</f>
        <v>-334.541586404983</v>
      </c>
      <c r="AA47" s="23" t="n">
        <f aca="false">AA46+Z47</f>
        <v>-4882.37189725101</v>
      </c>
      <c r="AB47" s="17" t="n">
        <f aca="false">IF($A47&gt;=Annahmen!$B$161,Annahmen!$B$162,0)</f>
        <v>2</v>
      </c>
      <c r="AC47" s="17" t="n">
        <f aca="false">AB47*(1-Annahmen!$B$180)</f>
        <v>1.6</v>
      </c>
      <c r="AD47" s="23" t="n">
        <f aca="false">AC47*(Annahmen!$B$178+Annahmen!$B$179)</f>
        <v>560</v>
      </c>
      <c r="AE47" s="23" t="n">
        <f aca="false">AB47*(Annahmen!$B$47+Annahmen!$B$163*Annahmen!$B$10)</f>
        <v>17.3434865427531</v>
      </c>
      <c r="AF47" s="23" t="n">
        <f aca="false">AD47-AE47</f>
        <v>542.656513457247</v>
      </c>
      <c r="AG47" s="23" t="n">
        <f aca="false">Gesamt!J31-TÆLLA!Y31+Z47+AF47</f>
        <v>398.131236515379</v>
      </c>
      <c r="AH47" s="23" t="n">
        <f aca="false">AH46+AG47</f>
        <v>-458.909415738193</v>
      </c>
      <c r="AI47" s="15" t="n">
        <f aca="false">IF(AG47&gt;0,1,0)</f>
        <v>1</v>
      </c>
      <c r="AJ47" s="15" t="n">
        <f aca="false">IF(AH47&gt;=0,1,0)</f>
        <v>0</v>
      </c>
      <c r="AK47" s="7" t="n">
        <f aca="false">IF(Z47&gt;0,1,0)</f>
        <v>0</v>
      </c>
      <c r="AL47" s="7" t="n">
        <f aca="false">IF(AA47&gt;=0,1,0)</f>
        <v>0</v>
      </c>
    </row>
    <row r="48" customFormat="false" ht="15" hidden="false" customHeight="false" outlineLevel="0" collapsed="false">
      <c r="A48" s="7" t="n">
        <v>15</v>
      </c>
      <c r="B48" s="7" t="s">
        <v>364</v>
      </c>
      <c r="C48" s="15" t="n">
        <f aca="false">IF($A48&lt;Annahmen!$B$54,0,IF($A48=Annahmen!$B$54,Annahmen!$B$55,C47*(1+(Annahmen!$B$56+F48)*(1-C47/Annahmen!$B$57))))</f>
        <v>487.997153801851</v>
      </c>
      <c r="D48" s="17" t="n">
        <f aca="false">D47+IF($A48&gt;=Annahmen!$B$161,Annahmen!$B$162,0)</f>
        <v>20</v>
      </c>
      <c r="E48" s="17" t="n">
        <f aca="false">E47+Annahmen!$B$66</f>
        <v>75</v>
      </c>
      <c r="F48" s="24" t="n">
        <f aca="false">MIN(Annahmen!$B$166,Annahmen!$B$165*D48/10)</f>
        <v>0.01</v>
      </c>
      <c r="G48" s="41" t="n">
        <f aca="false">MIN(Annahmen!$B$168,Annahmen!$B$167*D48/10)</f>
        <v>0.0004</v>
      </c>
      <c r="H48" s="17" t="n">
        <f aca="false">C48*(Annahmen!$B$58+G48)</f>
        <v>2.63518463053</v>
      </c>
      <c r="I48" s="17" t="n">
        <f aca="false">I47*(1-Annahmen!$B$59)+H48</f>
        <v>14.4525254732555</v>
      </c>
      <c r="J48" s="17" t="n">
        <f aca="false">I48*(1-Annahmen!$B$60)</f>
        <v>10.1167678312788</v>
      </c>
      <c r="K48" s="17" t="n">
        <f aca="false">I48*Annahmen!$B$60</f>
        <v>4.33575764197665</v>
      </c>
      <c r="L48" s="23" t="n">
        <f aca="false">J48*Annahmen!$B$78+K48*Annahmen!$B$79</f>
        <v>90.5125539076308</v>
      </c>
      <c r="M48" s="23" t="n">
        <f aca="false">IF($A48&gt;=Annahmen!$B$54,Annahmen!$B$63*((1-Annahmen!$B$64)*Annahmen!$B$71+Annahmen!$B$64*Annahmen!$B$72)+Annahmen!$B$65*Annahmen!$B$73,0)</f>
        <v>32.245</v>
      </c>
      <c r="N48" s="23" t="n">
        <f aca="false">(L48+M48)/(1+Annahmen!$B$8)</f>
        <v>103.15760832574</v>
      </c>
      <c r="O48" s="23" t="n">
        <f aca="false">L48/(1+Annahmen!$B$8)</f>
        <v>76.060969670278</v>
      </c>
      <c r="P48" s="23" t="n">
        <f aca="false">N48*(Annahmen!$B$62*Annahmen!$B$74+(1-Annahmen!$B$62)*Annahmen!$B$75)+(I48*Annahmen!$B$61+I48*(1-Annahmen!$B$61)/12+IF($A48&gt;=Annahmen!$B$54,Annahmen!$B$63+Annahmen!$B$65,0))*(1-Annahmen!$B$62)*Annahmen!$B$76</f>
        <v>11.0009384960821</v>
      </c>
      <c r="Q48" s="24" t="n">
        <f aca="false">IF(D48=0,0,MIN(Annahmen!$B$170,Annahmen!$B$169*D48/(Annahmen!$B$169*D48+E48)))</f>
        <v>0.347826086956522</v>
      </c>
      <c r="R48" s="23" t="n">
        <f aca="false">O48*Q48*Annahmen!$B$177</f>
        <v>15.7413137230662</v>
      </c>
      <c r="S48" s="23" t="n">
        <f aca="false">Annahmen!$B$66*Annahmen!$B$42</f>
        <v>115.483850895744</v>
      </c>
      <c r="T48" s="23" t="n">
        <f aca="false">IF($A48&gt;=Annahmen!$B$54,Annahmen!$B$63*(1-Annahmen!$B$64)*Annahmen!$B$43+(Annahmen!$B$63*Annahmen!$B$64+Annahmen!$B$65)*Annahmen!$B$44,0)</f>
        <v>15.6845378437918</v>
      </c>
      <c r="U48" s="23" t="n">
        <f aca="false">C48*Annahmen!$B$77</f>
        <v>4.87997153801851</v>
      </c>
      <c r="V48" s="23" t="n">
        <f aca="false">SUMPRODUCT((((Annahmen!$C$145:$C$155="monatlich")*(Annahmen!$D$145:$D$155&lt;=$A48))+((Annahmen!$C$145:$C$155="einmalig")*(Annahmen!$D$145:$D$155=$A48)))*Annahmen!$B$145:$B$155*Annahmen!$E$145:$E$155)</f>
        <v>69.9850799606897</v>
      </c>
      <c r="W48" s="23" t="n">
        <f aca="false">IF($A48&gt;=Annahmen!$B$54,Annahmen!$B$134,0)</f>
        <v>200</v>
      </c>
      <c r="X48" s="35" t="n">
        <f aca="false">MAX(0,(I48-Annahmen!$B$138)/Annahmen!$B$139)</f>
        <v>0</v>
      </c>
      <c r="Y48" s="23" t="n">
        <f aca="false">X48*Annahmen!$B$137</f>
        <v>0</v>
      </c>
      <c r="Z48" s="23" t="n">
        <f aca="false">N48-P48-R48-S48-T48-U48-V48-W48-Y48</f>
        <v>-329.618084131652</v>
      </c>
      <c r="AA48" s="23" t="n">
        <f aca="false">AA47+Z48</f>
        <v>-5211.98998138267</v>
      </c>
      <c r="AB48" s="17" t="n">
        <f aca="false">IF($A48&gt;=Annahmen!$B$161,Annahmen!$B$162,0)</f>
        <v>2</v>
      </c>
      <c r="AC48" s="17" t="n">
        <f aca="false">AB48*(1-Annahmen!$B$180)</f>
        <v>1.6</v>
      </c>
      <c r="AD48" s="23" t="n">
        <f aca="false">AC48*(Annahmen!$B$178+Annahmen!$B$179)</f>
        <v>560</v>
      </c>
      <c r="AE48" s="23" t="n">
        <f aca="false">AB48*(Annahmen!$B$47+Annahmen!$B$163*Annahmen!$B$10)</f>
        <v>17.3434865427531</v>
      </c>
      <c r="AF48" s="23" t="n">
        <f aca="false">AD48-AE48</f>
        <v>542.656513457247</v>
      </c>
      <c r="AG48" s="23" t="n">
        <f aca="false">Gesamt!J32-TÆLLA!Y32+Z48+AF48</f>
        <v>404.541935050392</v>
      </c>
      <c r="AH48" s="23" t="n">
        <f aca="false">AH47+AG48</f>
        <v>-54.3674806878005</v>
      </c>
      <c r="AI48" s="15" t="n">
        <f aca="false">IF(AG48&gt;0,1,0)</f>
        <v>1</v>
      </c>
      <c r="AJ48" s="15" t="n">
        <f aca="false">IF(AH48&gt;=0,1,0)</f>
        <v>0</v>
      </c>
      <c r="AK48" s="7" t="n">
        <f aca="false">IF(Z48&gt;0,1,0)</f>
        <v>0</v>
      </c>
      <c r="AL48" s="7" t="n">
        <f aca="false">IF(AA48&gt;=0,1,0)</f>
        <v>0</v>
      </c>
    </row>
    <row r="49" customFormat="false" ht="15" hidden="false" customHeight="false" outlineLevel="0" collapsed="false">
      <c r="A49" s="7" t="n">
        <v>16</v>
      </c>
      <c r="B49" s="7" t="s">
        <v>365</v>
      </c>
      <c r="C49" s="15" t="n">
        <f aca="false">IF($A49&lt;Annahmen!$B$54,0,IF($A49=Annahmen!$B$54,Annahmen!$B$55,C48*(1+(Annahmen!$B$56+F49)*(1-C48/Annahmen!$B$57))))</f>
        <v>531.971477773563</v>
      </c>
      <c r="D49" s="17" t="n">
        <f aca="false">D48+IF($A49&gt;=Annahmen!$B$161,Annahmen!$B$162,0)</f>
        <v>22</v>
      </c>
      <c r="E49" s="17" t="n">
        <f aca="false">E48+Annahmen!$B$66</f>
        <v>79</v>
      </c>
      <c r="F49" s="24" t="n">
        <f aca="false">MIN(Annahmen!$B$166,Annahmen!$B$165*D49/10)</f>
        <v>0.011</v>
      </c>
      <c r="G49" s="41" t="n">
        <f aca="false">MIN(Annahmen!$B$168,Annahmen!$B$167*D49/10)</f>
        <v>0.00044</v>
      </c>
      <c r="H49" s="17" t="n">
        <f aca="false">C49*(Annahmen!$B$58+G49)</f>
        <v>2.89392483908819</v>
      </c>
      <c r="I49" s="17" t="n">
        <f aca="false">I48*(1-Annahmen!$B$59)+H49</f>
        <v>16.1902482744832</v>
      </c>
      <c r="J49" s="17" t="n">
        <f aca="false">I49*(1-Annahmen!$B$60)</f>
        <v>11.3331737921383</v>
      </c>
      <c r="K49" s="17" t="n">
        <f aca="false">I49*Annahmen!$B$60</f>
        <v>4.85707448234497</v>
      </c>
      <c r="L49" s="23" t="n">
        <f aca="false">J49*Annahmen!$B$78+K49*Annahmen!$B$79</f>
        <v>101.39547738102</v>
      </c>
      <c r="M49" s="23" t="n">
        <f aca="false">IF($A49&gt;=Annahmen!$B$54,Annahmen!$B$63*((1-Annahmen!$B$64)*Annahmen!$B$71+Annahmen!$B$64*Annahmen!$B$72)+Annahmen!$B$65*Annahmen!$B$73,0)</f>
        <v>32.245</v>
      </c>
      <c r="N49" s="23" t="n">
        <f aca="false">(L49+M49)/(1+Annahmen!$B$8)</f>
        <v>112.302922168924</v>
      </c>
      <c r="O49" s="23" t="n">
        <f aca="false">L49/(1+Annahmen!$B$8)</f>
        <v>85.2062835134621</v>
      </c>
      <c r="P49" s="23" t="n">
        <f aca="false">N49*(Annahmen!$B$62*Annahmen!$B$74+(1-Annahmen!$B$62)*Annahmen!$B$75)+(I49*Annahmen!$B$61+I49*(1-Annahmen!$B$61)/12+IF($A49&gt;=Annahmen!$B$54,Annahmen!$B$63+Annahmen!$B$65,0))*(1-Annahmen!$B$62)*Annahmen!$B$76</f>
        <v>12.0048735281168</v>
      </c>
      <c r="Q49" s="24" t="n">
        <f aca="false">IF(D49=0,0,MIN(Annahmen!$B$170,Annahmen!$B$169*D49/(Annahmen!$B$169*D49+E49)))</f>
        <v>0.357723577235772</v>
      </c>
      <c r="R49" s="23" t="n">
        <f aca="false">O49*Q49*Annahmen!$B$177</f>
        <v>18.1357764421336</v>
      </c>
      <c r="S49" s="23" t="n">
        <f aca="false">Annahmen!$B$66*Annahmen!$B$42</f>
        <v>115.483850895744</v>
      </c>
      <c r="T49" s="23" t="n">
        <f aca="false">IF($A49&gt;=Annahmen!$B$54,Annahmen!$B$63*(1-Annahmen!$B$64)*Annahmen!$B$43+(Annahmen!$B$63*Annahmen!$B$64+Annahmen!$B$65)*Annahmen!$B$44,0)</f>
        <v>15.6845378437918</v>
      </c>
      <c r="U49" s="23" t="n">
        <f aca="false">C49*Annahmen!$B$77</f>
        <v>5.31971477773563</v>
      </c>
      <c r="V49" s="23" t="n">
        <f aca="false">SUMPRODUCT((((Annahmen!$C$145:$C$155="monatlich")*(Annahmen!$D$145:$D$155&lt;=$A49))+((Annahmen!$C$145:$C$155="einmalig")*(Annahmen!$D$145:$D$155=$A49)))*Annahmen!$B$145:$B$155*Annahmen!$E$145:$E$155)</f>
        <v>69.9850799606897</v>
      </c>
      <c r="W49" s="23" t="n">
        <f aca="false">IF($A49&gt;=Annahmen!$B$54,Annahmen!$B$134,0)</f>
        <v>200</v>
      </c>
      <c r="X49" s="35" t="n">
        <f aca="false">MAX(0,(I49-Annahmen!$B$138)/Annahmen!$B$139)</f>
        <v>0</v>
      </c>
      <c r="Y49" s="23" t="n">
        <f aca="false">X49*Annahmen!$B$137</f>
        <v>0</v>
      </c>
      <c r="Z49" s="23" t="n">
        <f aca="false">N49-P49-R49-S49-T49-U49-V49-W49-Y49</f>
        <v>-324.310911279287</v>
      </c>
      <c r="AA49" s="23" t="n">
        <f aca="false">AA48+Z49</f>
        <v>-5536.30089266195</v>
      </c>
      <c r="AB49" s="17" t="n">
        <f aca="false">IF($A49&gt;=Annahmen!$B$161,Annahmen!$B$162,0)</f>
        <v>2</v>
      </c>
      <c r="AC49" s="17" t="n">
        <f aca="false">AB49*(1-Annahmen!$B$180)</f>
        <v>1.6</v>
      </c>
      <c r="AD49" s="23" t="n">
        <f aca="false">AC49*(Annahmen!$B$178+Annahmen!$B$179)</f>
        <v>560</v>
      </c>
      <c r="AE49" s="23" t="n">
        <f aca="false">AB49*(Annahmen!$B$47+Annahmen!$B$163*Annahmen!$B$10)</f>
        <v>17.3434865427531</v>
      </c>
      <c r="AF49" s="23" t="n">
        <f aca="false">AD49-AE49</f>
        <v>542.656513457247</v>
      </c>
      <c r="AG49" s="23" t="n">
        <f aca="false">Gesamt!J33-TÆLLA!Y33+Z49+AF49</f>
        <v>411.336304164439</v>
      </c>
      <c r="AH49" s="23" t="n">
        <f aca="false">AH48+AG49</f>
        <v>356.968823476639</v>
      </c>
      <c r="AI49" s="15" t="n">
        <f aca="false">IF(AG49&gt;0,1,0)</f>
        <v>1</v>
      </c>
      <c r="AJ49" s="15" t="n">
        <f aca="false">IF(AH49&gt;=0,1,0)</f>
        <v>1</v>
      </c>
      <c r="AK49" s="7" t="n">
        <f aca="false">IF(Z49&gt;0,1,0)</f>
        <v>0</v>
      </c>
      <c r="AL49" s="7" t="n">
        <f aca="false">IF(AA49&gt;=0,1,0)</f>
        <v>0</v>
      </c>
    </row>
    <row r="50" customFormat="false" ht="15" hidden="false" customHeight="false" outlineLevel="0" collapsed="false">
      <c r="A50" s="7" t="n">
        <v>17</v>
      </c>
      <c r="B50" s="7" t="s">
        <v>366</v>
      </c>
      <c r="C50" s="15" t="n">
        <f aca="false">IF($A50&lt;Annahmen!$B$54,0,IF($A50=Annahmen!$B$54,Annahmen!$B$55,C49*(1+(Annahmen!$B$56+F50)*(1-C49/Annahmen!$B$57))))</f>
        <v>580.392145406908</v>
      </c>
      <c r="D50" s="17" t="n">
        <f aca="false">D49+IF($A50&gt;=Annahmen!$B$161,Annahmen!$B$162,0)</f>
        <v>24</v>
      </c>
      <c r="E50" s="17" t="n">
        <f aca="false">E49+Annahmen!$B$66</f>
        <v>83</v>
      </c>
      <c r="F50" s="24" t="n">
        <f aca="false">MIN(Annahmen!$B$166,Annahmen!$B$165*D50/10)</f>
        <v>0.012</v>
      </c>
      <c r="G50" s="41" t="n">
        <f aca="false">MIN(Annahmen!$B$168,Annahmen!$B$167*D50/10)</f>
        <v>0.00048</v>
      </c>
      <c r="H50" s="17" t="n">
        <f aca="false">C50*(Annahmen!$B$58+G50)</f>
        <v>3.18054895682986</v>
      </c>
      <c r="I50" s="17" t="n">
        <f aca="false">I49*(1-Annahmen!$B$59)+H50</f>
        <v>18.0755773693544</v>
      </c>
      <c r="J50" s="17" t="n">
        <f aca="false">I50*(1-Annahmen!$B$60)</f>
        <v>12.6529041585481</v>
      </c>
      <c r="K50" s="17" t="n">
        <f aca="false">I50*Annahmen!$B$60</f>
        <v>5.42267321080633</v>
      </c>
      <c r="L50" s="23" t="n">
        <f aca="false">J50*Annahmen!$B$78+K50*Annahmen!$B$79</f>
        <v>113.202822169925</v>
      </c>
      <c r="M50" s="23" t="n">
        <f aca="false">IF($A50&gt;=Annahmen!$B$54,Annahmen!$B$63*((1-Annahmen!$B$64)*Annahmen!$B$71+Annahmen!$B$64*Annahmen!$B$72)+Annahmen!$B$65*Annahmen!$B$73,0)</f>
        <v>32.245</v>
      </c>
      <c r="N50" s="23" t="n">
        <f aca="false">(L50+M50)/(1+Annahmen!$B$8)</f>
        <v>122.225060646995</v>
      </c>
      <c r="O50" s="23" t="n">
        <f aca="false">L50/(1+Annahmen!$B$8)</f>
        <v>95.1284219915332</v>
      </c>
      <c r="P50" s="23" t="n">
        <f aca="false">N50*(Annahmen!$B$62*Annahmen!$B$74+(1-Annahmen!$B$62)*Annahmen!$B$75)+(I50*Annahmen!$B$61+I50*(1-Annahmen!$B$61)/12+IF($A50&gt;=Annahmen!$B$54,Annahmen!$B$63+Annahmen!$B$65,0))*(1-Annahmen!$B$62)*Annahmen!$B$76</f>
        <v>13.0940851813898</v>
      </c>
      <c r="Q50" s="24" t="n">
        <f aca="false">IF(D50=0,0,MIN(Annahmen!$B$170,Annahmen!$B$169*D50/(Annahmen!$B$169*D50+E50)))</f>
        <v>0.366412213740458</v>
      </c>
      <c r="R50" s="23" t="n">
        <f aca="false">O50*Q50*Annahmen!$B$177</f>
        <v>20.7394483364747</v>
      </c>
      <c r="S50" s="23" t="n">
        <f aca="false">Annahmen!$B$66*Annahmen!$B$42</f>
        <v>115.483850895744</v>
      </c>
      <c r="T50" s="23" t="n">
        <f aca="false">IF($A50&gt;=Annahmen!$B$54,Annahmen!$B$63*(1-Annahmen!$B$64)*Annahmen!$B$43+(Annahmen!$B$63*Annahmen!$B$64+Annahmen!$B$65)*Annahmen!$B$44,0)</f>
        <v>15.6845378437918</v>
      </c>
      <c r="U50" s="23" t="n">
        <f aca="false">C50*Annahmen!$B$77</f>
        <v>5.80392145406908</v>
      </c>
      <c r="V50" s="23" t="n">
        <f aca="false">SUMPRODUCT((((Annahmen!$C$145:$C$155="monatlich")*(Annahmen!$D$145:$D$155&lt;=$A50))+((Annahmen!$C$145:$C$155="einmalig")*(Annahmen!$D$145:$D$155=$A50)))*Annahmen!$B$145:$B$155*Annahmen!$E$145:$E$155)</f>
        <v>69.9850799606897</v>
      </c>
      <c r="W50" s="23" t="n">
        <f aca="false">IF($A50&gt;=Annahmen!$B$54,Annahmen!$B$134,0)</f>
        <v>200</v>
      </c>
      <c r="X50" s="35" t="n">
        <f aca="false">MAX(0,(I50-Annahmen!$B$138)/Annahmen!$B$139)</f>
        <v>0</v>
      </c>
      <c r="Y50" s="23" t="n">
        <f aca="false">X50*Annahmen!$B$137</f>
        <v>0</v>
      </c>
      <c r="Z50" s="23" t="n">
        <f aca="false">N50-P50-R50-S50-T50-U50-V50-W50-Y50</f>
        <v>-318.565863025164</v>
      </c>
      <c r="AA50" s="23" t="n">
        <f aca="false">AA49+Z50</f>
        <v>-5854.86675568712</v>
      </c>
      <c r="AB50" s="17" t="n">
        <f aca="false">IF($A50&gt;=Annahmen!$B$161,Annahmen!$B$162,0)</f>
        <v>2</v>
      </c>
      <c r="AC50" s="17" t="n">
        <f aca="false">AB50*(1-Annahmen!$B$180)</f>
        <v>1.6</v>
      </c>
      <c r="AD50" s="23" t="n">
        <f aca="false">AC50*(Annahmen!$B$178+Annahmen!$B$179)</f>
        <v>560</v>
      </c>
      <c r="AE50" s="23" t="n">
        <f aca="false">AB50*(Annahmen!$B$47+Annahmen!$B$163*Annahmen!$B$10)</f>
        <v>17.3434865427531</v>
      </c>
      <c r="AF50" s="23" t="n">
        <f aca="false">AD50-AE50</f>
        <v>542.656513457247</v>
      </c>
      <c r="AG50" s="23" t="n">
        <f aca="false">Gesamt!J34-TÆLLA!Y34+Z50+AF50</f>
        <v>418.568548680245</v>
      </c>
      <c r="AH50" s="23" t="n">
        <f aca="false">AH49+AG50</f>
        <v>775.537372156884</v>
      </c>
      <c r="AI50" s="15" t="n">
        <f aca="false">IF(AG50&gt;0,1,0)</f>
        <v>1</v>
      </c>
      <c r="AJ50" s="15" t="n">
        <f aca="false">IF(AH50&gt;=0,1,0)</f>
        <v>1</v>
      </c>
      <c r="AK50" s="7" t="n">
        <f aca="false">IF(Z50&gt;0,1,0)</f>
        <v>0</v>
      </c>
      <c r="AL50" s="7" t="n">
        <f aca="false">IF(AA50&gt;=0,1,0)</f>
        <v>0</v>
      </c>
    </row>
    <row r="51" customFormat="false" ht="15" hidden="false" customHeight="false" outlineLevel="0" collapsed="false">
      <c r="A51" s="7" t="n">
        <v>18</v>
      </c>
      <c r="B51" s="7" t="s">
        <v>367</v>
      </c>
      <c r="C51" s="15" t="n">
        <f aca="false">IF($A51&lt;Annahmen!$B$54,0,IF($A51=Annahmen!$B$54,Annahmen!$B$55,C50*(1+(Annahmen!$B$56+F51)*(1-C50/Annahmen!$B$57))))</f>
        <v>633.742064550794</v>
      </c>
      <c r="D51" s="17" t="n">
        <f aca="false">D50+IF($A51&gt;=Annahmen!$B$161,Annahmen!$B$162,0)</f>
        <v>26</v>
      </c>
      <c r="E51" s="17" t="n">
        <f aca="false">E50+Annahmen!$B$66</f>
        <v>87</v>
      </c>
      <c r="F51" s="24" t="n">
        <f aca="false">MIN(Annahmen!$B$166,Annahmen!$B$165*D51/10)</f>
        <v>0.013</v>
      </c>
      <c r="G51" s="41" t="n">
        <f aca="false">MIN(Annahmen!$B$168,Annahmen!$B$167*D51/10)</f>
        <v>0.00052</v>
      </c>
      <c r="H51" s="17" t="n">
        <f aca="false">C51*(Annahmen!$B$58+G51)</f>
        <v>3.49825619632038</v>
      </c>
      <c r="I51" s="17" t="n">
        <f aca="false">I50*(1-Annahmen!$B$59)+H51</f>
        <v>20.1277873761265</v>
      </c>
      <c r="J51" s="17" t="n">
        <f aca="false">I51*(1-Annahmen!$B$60)</f>
        <v>14.0894511632885</v>
      </c>
      <c r="K51" s="17" t="n">
        <f aca="false">I51*Annahmen!$B$60</f>
        <v>6.03833621283794</v>
      </c>
      <c r="L51" s="23" t="n">
        <f aca="false">J51*Annahmen!$B$78+K51*Annahmen!$B$79</f>
        <v>126.055300389836</v>
      </c>
      <c r="M51" s="23" t="n">
        <f aca="false">IF($A51&gt;=Annahmen!$B$54,Annahmen!$B$63*((1-Annahmen!$B$64)*Annahmen!$B$71+Annahmen!$B$64*Annahmen!$B$72)+Annahmen!$B$65*Annahmen!$B$73,0)</f>
        <v>32.245</v>
      </c>
      <c r="N51" s="23" t="n">
        <f aca="false">(L51+M51)/(1+Annahmen!$B$8)</f>
        <v>133.025462512467</v>
      </c>
      <c r="O51" s="23" t="n">
        <f aca="false">L51/(1+Annahmen!$B$8)</f>
        <v>105.928823857005</v>
      </c>
      <c r="P51" s="23" t="n">
        <f aca="false">N51*(Annahmen!$B$62*Annahmen!$B$74+(1-Annahmen!$B$62)*Annahmen!$B$75)+(I51*Annahmen!$B$61+I51*(1-Annahmen!$B$61)/12+IF($A51&gt;=Annahmen!$B$54,Annahmen!$B$63+Annahmen!$B$65,0))*(1-Annahmen!$B$62)*Annahmen!$B$76</f>
        <v>14.279708985966</v>
      </c>
      <c r="Q51" s="24" t="n">
        <f aca="false">IF(D51=0,0,MIN(Annahmen!$B$170,Annahmen!$B$169*D51/(Annahmen!$B$169*D51+E51)))</f>
        <v>0.37410071942446</v>
      </c>
      <c r="R51" s="23" t="n">
        <f aca="false">O51*Q51*Annahmen!$B$177</f>
        <v>23.5786892815521</v>
      </c>
      <c r="S51" s="23" t="n">
        <f aca="false">Annahmen!$B$66*Annahmen!$B$42</f>
        <v>115.483850895744</v>
      </c>
      <c r="T51" s="23" t="n">
        <f aca="false">IF($A51&gt;=Annahmen!$B$54,Annahmen!$B$63*(1-Annahmen!$B$64)*Annahmen!$B$43+(Annahmen!$B$63*Annahmen!$B$64+Annahmen!$B$65)*Annahmen!$B$44,0)</f>
        <v>15.6845378437918</v>
      </c>
      <c r="U51" s="23" t="n">
        <f aca="false">C51*Annahmen!$B$77</f>
        <v>6.33742064550794</v>
      </c>
      <c r="V51" s="23" t="n">
        <f aca="false">SUMPRODUCT((((Annahmen!$C$145:$C$155="monatlich")*(Annahmen!$D$145:$D$155&lt;=$A51))+((Annahmen!$C$145:$C$155="einmalig")*(Annahmen!$D$145:$D$155=$A51)))*Annahmen!$B$145:$B$155*Annahmen!$E$145:$E$155)</f>
        <v>69.9850799606897</v>
      </c>
      <c r="W51" s="23" t="n">
        <f aca="false">IF($A51&gt;=Annahmen!$B$54,Annahmen!$B$134,0)</f>
        <v>200</v>
      </c>
      <c r="X51" s="35" t="n">
        <f aca="false">MAX(0,(I51-Annahmen!$B$138)/Annahmen!$B$139)</f>
        <v>0</v>
      </c>
      <c r="Y51" s="23" t="n">
        <f aca="false">X51*Annahmen!$B$137</f>
        <v>0</v>
      </c>
      <c r="Z51" s="23" t="n">
        <f aca="false">N51-P51-R51-S51-T51-U51-V51-W51-Y51</f>
        <v>-312.323825100784</v>
      </c>
      <c r="AA51" s="23" t="n">
        <f aca="false">AA50+Z51</f>
        <v>-6167.1905807879</v>
      </c>
      <c r="AB51" s="17" t="n">
        <f aca="false">IF($A51&gt;=Annahmen!$B$161,Annahmen!$B$162,0)</f>
        <v>2</v>
      </c>
      <c r="AC51" s="17" t="n">
        <f aca="false">AB51*(1-Annahmen!$B$180)</f>
        <v>1.6</v>
      </c>
      <c r="AD51" s="23" t="n">
        <f aca="false">AC51*(Annahmen!$B$178+Annahmen!$B$179)</f>
        <v>560</v>
      </c>
      <c r="AE51" s="23" t="n">
        <f aca="false">AB51*(Annahmen!$B$47+Annahmen!$B$163*Annahmen!$B$10)</f>
        <v>17.3434865427531</v>
      </c>
      <c r="AF51" s="23" t="n">
        <f aca="false">AD51-AE51</f>
        <v>542.656513457247</v>
      </c>
      <c r="AG51" s="23" t="n">
        <f aca="false">Gesamt!J35-TÆLLA!Y35+Z51+AF51</f>
        <v>426.297782866307</v>
      </c>
      <c r="AH51" s="23" t="n">
        <f aca="false">AH50+AG51</f>
        <v>1201.83515502319</v>
      </c>
      <c r="AI51" s="15" t="n">
        <f aca="false">IF(AG51&gt;0,1,0)</f>
        <v>1</v>
      </c>
      <c r="AJ51" s="15" t="n">
        <f aca="false">IF(AH51&gt;=0,1,0)</f>
        <v>1</v>
      </c>
      <c r="AK51" s="7" t="n">
        <f aca="false">IF(Z51&gt;0,1,0)</f>
        <v>0</v>
      </c>
      <c r="AL51" s="7" t="n">
        <f aca="false">IF(AA51&gt;=0,1,0)</f>
        <v>0</v>
      </c>
    </row>
    <row r="52" customFormat="false" ht="15" hidden="false" customHeight="false" outlineLevel="0" collapsed="false">
      <c r="A52" s="7" t="n">
        <v>19</v>
      </c>
      <c r="B52" s="7" t="s">
        <v>368</v>
      </c>
      <c r="C52" s="15" t="n">
        <f aca="false">IF($A52&lt;Annahmen!$B$54,0,IF($A52=Annahmen!$B$54,Annahmen!$B$55,C51*(1+(Annahmen!$B$56+F52)*(1-C51/Annahmen!$B$57))))</f>
        <v>692.558756090332</v>
      </c>
      <c r="D52" s="17" t="n">
        <f aca="false">D51+IF($A52&gt;=Annahmen!$B$161,Annahmen!$B$162,0)</f>
        <v>28</v>
      </c>
      <c r="E52" s="17" t="n">
        <f aca="false">E51+Annahmen!$B$66</f>
        <v>91</v>
      </c>
      <c r="F52" s="24" t="n">
        <f aca="false">MIN(Annahmen!$B$166,Annahmen!$B$165*D52/10)</f>
        <v>0.014</v>
      </c>
      <c r="G52" s="41" t="n">
        <f aca="false">MIN(Annahmen!$B$168,Annahmen!$B$167*D52/10)</f>
        <v>0.00056</v>
      </c>
      <c r="H52" s="17" t="n">
        <f aca="false">C52*(Annahmen!$B$58+G52)</f>
        <v>3.85062668386225</v>
      </c>
      <c r="I52" s="17" t="n">
        <f aca="false">I51*(1-Annahmen!$B$59)+H52</f>
        <v>22.3681910698986</v>
      </c>
      <c r="J52" s="17" t="n">
        <f aca="false">I52*(1-Annahmen!$B$60)</f>
        <v>15.657733748929</v>
      </c>
      <c r="K52" s="17" t="n">
        <f aca="false">I52*Annahmen!$B$60</f>
        <v>6.71045732096958</v>
      </c>
      <c r="L52" s="23" t="n">
        <f aca="false">J52*Annahmen!$B$78+K52*Annahmen!$B$79</f>
        <v>140.086388623007</v>
      </c>
      <c r="M52" s="23" t="n">
        <f aca="false">IF($A52&gt;=Annahmen!$B$54,Annahmen!$B$63*((1-Annahmen!$B$64)*Annahmen!$B$71+Annahmen!$B$64*Annahmen!$B$72)+Annahmen!$B$65*Annahmen!$B$73,0)</f>
        <v>32.245</v>
      </c>
      <c r="N52" s="23" t="n">
        <f aca="false">(L52+M52)/(1+Annahmen!$B$8)</f>
        <v>144.81629296051</v>
      </c>
      <c r="O52" s="23" t="n">
        <f aca="false">L52/(1+Annahmen!$B$8)</f>
        <v>117.719654305048</v>
      </c>
      <c r="P52" s="23" t="n">
        <f aca="false">N52*(Annahmen!$B$62*Annahmen!$B$74+(1-Annahmen!$B$62)*Annahmen!$B$75)+(I52*Annahmen!$B$61+I52*(1-Annahmen!$B$61)/12+IF($A52&gt;=Annahmen!$B$54,Annahmen!$B$63+Annahmen!$B$65,0))*(1-Annahmen!$B$62)*Annahmen!$B$76</f>
        <v>15.5740579767767</v>
      </c>
      <c r="Q52" s="24" t="n">
        <f aca="false">IF(D52=0,0,MIN(Annahmen!$B$170,Annahmen!$B$169*D52/(Annahmen!$B$169*D52+E52)))</f>
        <v>0.380952380952381</v>
      </c>
      <c r="R52" s="23" t="n">
        <f aca="false">O52*Q52*Annahmen!$B$177</f>
        <v>26.6831216424776</v>
      </c>
      <c r="S52" s="23" t="n">
        <f aca="false">Annahmen!$B$66*Annahmen!$B$42</f>
        <v>115.483850895744</v>
      </c>
      <c r="T52" s="23" t="n">
        <f aca="false">IF($A52&gt;=Annahmen!$B$54,Annahmen!$B$63*(1-Annahmen!$B$64)*Annahmen!$B$43+(Annahmen!$B$63*Annahmen!$B$64+Annahmen!$B$65)*Annahmen!$B$44,0)</f>
        <v>15.6845378437918</v>
      </c>
      <c r="U52" s="23" t="n">
        <f aca="false">C52*Annahmen!$B$77</f>
        <v>6.92558756090332</v>
      </c>
      <c r="V52" s="23" t="n">
        <f aca="false">SUMPRODUCT((((Annahmen!$C$145:$C$155="monatlich")*(Annahmen!$D$145:$D$155&lt;=$A52))+((Annahmen!$C$145:$C$155="einmalig")*(Annahmen!$D$145:$D$155=$A52)))*Annahmen!$B$145:$B$155*Annahmen!$E$145:$E$155)</f>
        <v>69.9850799606897</v>
      </c>
      <c r="W52" s="23" t="n">
        <f aca="false">IF($A52&gt;=Annahmen!$B$54,Annahmen!$B$134,0)</f>
        <v>200</v>
      </c>
      <c r="X52" s="35" t="n">
        <f aca="false">MAX(0,(I52-Annahmen!$B$138)/Annahmen!$B$139)</f>
        <v>0</v>
      </c>
      <c r="Y52" s="23" t="n">
        <f aca="false">X52*Annahmen!$B$137</f>
        <v>0</v>
      </c>
      <c r="Z52" s="23" t="n">
        <f aca="false">N52-P52-R52-S52-T52-U52-V52-W52-Y52</f>
        <v>-305.519942919873</v>
      </c>
      <c r="AA52" s="23" t="n">
        <f aca="false">AA51+Z52</f>
        <v>-6472.71052370777</v>
      </c>
      <c r="AB52" s="17" t="n">
        <f aca="false">IF($A52&gt;=Annahmen!$B$161,Annahmen!$B$162,0)</f>
        <v>2</v>
      </c>
      <c r="AC52" s="17" t="n">
        <f aca="false">AB52*(1-Annahmen!$B$180)</f>
        <v>1.6</v>
      </c>
      <c r="AD52" s="23" t="n">
        <f aca="false">AC52*(Annahmen!$B$178+Annahmen!$B$179)</f>
        <v>560</v>
      </c>
      <c r="AE52" s="23" t="n">
        <f aca="false">AB52*(Annahmen!$B$47+Annahmen!$B$163*Annahmen!$B$10)</f>
        <v>17.3434865427531</v>
      </c>
      <c r="AF52" s="23" t="n">
        <f aca="false">AD52-AE52</f>
        <v>542.656513457247</v>
      </c>
      <c r="AG52" s="23" t="n">
        <f aca="false">Gesamt!J36-TÆLLA!Y36+Z52+AF52</f>
        <v>434.5888613089</v>
      </c>
      <c r="AH52" s="23" t="n">
        <f aca="false">AH51+AG52</f>
        <v>1636.42401633209</v>
      </c>
      <c r="AI52" s="15" t="n">
        <f aca="false">IF(AG52&gt;0,1,0)</f>
        <v>1</v>
      </c>
      <c r="AJ52" s="15" t="n">
        <f aca="false">IF(AH52&gt;=0,1,0)</f>
        <v>1</v>
      </c>
      <c r="AK52" s="7" t="n">
        <f aca="false">IF(Z52&gt;0,1,0)</f>
        <v>0</v>
      </c>
      <c r="AL52" s="7" t="n">
        <f aca="false">IF(AA52&gt;=0,1,0)</f>
        <v>0</v>
      </c>
    </row>
    <row r="53" customFormat="false" ht="15" hidden="false" customHeight="false" outlineLevel="0" collapsed="false">
      <c r="A53" s="7" t="n">
        <v>20</v>
      </c>
      <c r="B53" s="7" t="s">
        <v>369</v>
      </c>
      <c r="C53" s="15" t="n">
        <f aca="false">IF($A53&lt;Annahmen!$B$54,0,IF($A53=Annahmen!$B$54,Annahmen!$B$55,C52*(1+(Annahmen!$B$56+F53)*(1-C52/Annahmen!$B$57))))</f>
        <v>757.440526420702</v>
      </c>
      <c r="D53" s="17" t="n">
        <f aca="false">D52+IF($A53&gt;=Annahmen!$B$161,Annahmen!$B$162,0)</f>
        <v>30</v>
      </c>
      <c r="E53" s="17" t="n">
        <f aca="false">E52+Annahmen!$B$66</f>
        <v>95</v>
      </c>
      <c r="F53" s="24" t="n">
        <f aca="false">MIN(Annahmen!$B$166,Annahmen!$B$165*D53/10)</f>
        <v>0.015</v>
      </c>
      <c r="G53" s="41" t="n">
        <f aca="false">MIN(Annahmen!$B$168,Annahmen!$B$167*D53/10)</f>
        <v>0.0006</v>
      </c>
      <c r="H53" s="17" t="n">
        <f aca="false">C53*(Annahmen!$B$58+G53)</f>
        <v>4.24166694795593</v>
      </c>
      <c r="I53" s="17" t="n">
        <f aca="false">I52*(1-Annahmen!$B$59)+H53</f>
        <v>24.8204027322626</v>
      </c>
      <c r="J53" s="17" t="n">
        <f aca="false">I53*(1-Annahmen!$B$60)</f>
        <v>17.3742819125839</v>
      </c>
      <c r="K53" s="17" t="n">
        <f aca="false">I53*Annahmen!$B$60</f>
        <v>7.44612081967879</v>
      </c>
      <c r="L53" s="23" t="n">
        <f aca="false">J53*Annahmen!$B$78+K53*Annahmen!$B$79</f>
        <v>155.443977211478</v>
      </c>
      <c r="M53" s="23" t="n">
        <f aca="false">IF($A53&gt;=Annahmen!$B$54,Annahmen!$B$63*((1-Annahmen!$B$64)*Annahmen!$B$71+Annahmen!$B$64*Annahmen!$B$72)+Annahmen!$B$65*Annahmen!$B$73,0)</f>
        <v>32.245</v>
      </c>
      <c r="N53" s="23" t="n">
        <f aca="false">(L53+M53)/(1+Annahmen!$B$8)</f>
        <v>157.721829589477</v>
      </c>
      <c r="O53" s="23" t="n">
        <f aca="false">L53/(1+Annahmen!$B$8)</f>
        <v>130.625190934015</v>
      </c>
      <c r="P53" s="23" t="n">
        <f aca="false">N53*(Annahmen!$B$62*Annahmen!$B$74+(1-Annahmen!$B$62)*Annahmen!$B$75)+(I53*Annahmen!$B$61+I53*(1-Annahmen!$B$61)/12+IF($A53&gt;=Annahmen!$B$54,Annahmen!$B$63+Annahmen!$B$65,0))*(1-Annahmen!$B$62)*Annahmen!$B$76</f>
        <v>16.9907748386789</v>
      </c>
      <c r="Q53" s="24" t="n">
        <f aca="false">IF(D53=0,0,MIN(Annahmen!$B$170,Annahmen!$B$169*D53/(Annahmen!$B$169*D53+E53)))</f>
        <v>0.387096774193548</v>
      </c>
      <c r="R53" s="23" t="n">
        <f aca="false">O53*Q53*Annahmen!$B$177</f>
        <v>30.0859310731893</v>
      </c>
      <c r="S53" s="23" t="n">
        <f aca="false">Annahmen!$B$66*Annahmen!$B$42</f>
        <v>115.483850895744</v>
      </c>
      <c r="T53" s="23" t="n">
        <f aca="false">IF($A53&gt;=Annahmen!$B$54,Annahmen!$B$63*(1-Annahmen!$B$64)*Annahmen!$B$43+(Annahmen!$B$63*Annahmen!$B$64+Annahmen!$B$65)*Annahmen!$B$44,0)</f>
        <v>15.6845378437918</v>
      </c>
      <c r="U53" s="23" t="n">
        <f aca="false">C53*Annahmen!$B$77</f>
        <v>7.57440526420703</v>
      </c>
      <c r="V53" s="23" t="n">
        <f aca="false">SUMPRODUCT((((Annahmen!$C$145:$C$155="monatlich")*(Annahmen!$D$145:$D$155&lt;=$A53))+((Annahmen!$C$145:$C$155="einmalig")*(Annahmen!$D$145:$D$155=$A53)))*Annahmen!$B$145:$B$155*Annahmen!$E$145:$E$155)</f>
        <v>69.9850799606897</v>
      </c>
      <c r="W53" s="23" t="n">
        <f aca="false">IF($A53&gt;=Annahmen!$B$54,Annahmen!$B$134,0)</f>
        <v>200</v>
      </c>
      <c r="X53" s="35" t="n">
        <f aca="false">MAX(0,(I53-Annahmen!$B$138)/Annahmen!$B$139)</f>
        <v>0</v>
      </c>
      <c r="Y53" s="23" t="n">
        <f aca="false">X53*Annahmen!$B$137</f>
        <v>0</v>
      </c>
      <c r="Z53" s="23" t="n">
        <f aca="false">N53-P53-R53-S53-T53-U53-V53-W53-Y53</f>
        <v>-298.082750286824</v>
      </c>
      <c r="AA53" s="23" t="n">
        <f aca="false">AA52+Z53</f>
        <v>-6770.7932739946</v>
      </c>
      <c r="AB53" s="17" t="n">
        <f aca="false">IF($A53&gt;=Annahmen!$B$161,Annahmen!$B$162,0)</f>
        <v>2</v>
      </c>
      <c r="AC53" s="17" t="n">
        <f aca="false">AB53*(1-Annahmen!$B$180)</f>
        <v>1.6</v>
      </c>
      <c r="AD53" s="23" t="n">
        <f aca="false">AC53*(Annahmen!$B$178+Annahmen!$B$179)</f>
        <v>560</v>
      </c>
      <c r="AE53" s="23" t="n">
        <f aca="false">AB53*(Annahmen!$B$47+Annahmen!$B$163*Annahmen!$B$10)</f>
        <v>17.3434865427531</v>
      </c>
      <c r="AF53" s="23" t="n">
        <f aca="false">AD53-AE53</f>
        <v>542.656513457247</v>
      </c>
      <c r="AG53" s="23" t="n">
        <f aca="false">Gesamt!J37-TÆLLA!Y37+Z53+AF53</f>
        <v>443.513250203632</v>
      </c>
      <c r="AH53" s="23" t="n">
        <f aca="false">AH52+AG53</f>
        <v>2079.93726653572</v>
      </c>
      <c r="AI53" s="15" t="n">
        <f aca="false">IF(AG53&gt;0,1,0)</f>
        <v>1</v>
      </c>
      <c r="AJ53" s="15" t="n">
        <f aca="false">IF(AH53&gt;=0,1,0)</f>
        <v>1</v>
      </c>
      <c r="AK53" s="7" t="n">
        <f aca="false">IF(Z53&gt;0,1,0)</f>
        <v>0</v>
      </c>
      <c r="AL53" s="7" t="n">
        <f aca="false">IF(AA53&gt;=0,1,0)</f>
        <v>0</v>
      </c>
    </row>
    <row r="54" customFormat="false" ht="15" hidden="false" customHeight="false" outlineLevel="0" collapsed="false">
      <c r="A54" s="7" t="n">
        <v>21</v>
      </c>
      <c r="B54" s="7" t="s">
        <v>370</v>
      </c>
      <c r="C54" s="15" t="n">
        <f aca="false">IF($A54&lt;Annahmen!$B$54,0,IF($A54=Annahmen!$B$54,Annahmen!$B$55,C53*(1+(Annahmen!$B$56+F54)*(1-C53/Annahmen!$B$57))))</f>
        <v>829.053281947046</v>
      </c>
      <c r="D54" s="17" t="n">
        <f aca="false">D53+IF($A54&gt;=Annahmen!$B$161,Annahmen!$B$162,0)</f>
        <v>32</v>
      </c>
      <c r="E54" s="17" t="n">
        <f aca="false">E53+Annahmen!$B$66</f>
        <v>99</v>
      </c>
      <c r="F54" s="24" t="n">
        <f aca="false">MIN(Annahmen!$B$166,Annahmen!$B$165*D54/10)</f>
        <v>0.016</v>
      </c>
      <c r="G54" s="41" t="n">
        <f aca="false">MIN(Annahmen!$B$168,Annahmen!$B$167*D54/10)</f>
        <v>0.00064</v>
      </c>
      <c r="H54" s="17" t="n">
        <f aca="false">C54*(Annahmen!$B$58+G54)</f>
        <v>4.67586051018134</v>
      </c>
      <c r="I54" s="17" t="n">
        <f aca="false">I53*(1-Annahmen!$B$59)+H54</f>
        <v>27.510631023863</v>
      </c>
      <c r="J54" s="17" t="n">
        <f aca="false">I54*(1-Annahmen!$B$60)</f>
        <v>19.2574417167041</v>
      </c>
      <c r="K54" s="17" t="n">
        <f aca="false">I54*Annahmen!$B$60</f>
        <v>8.25318930715889</v>
      </c>
      <c r="L54" s="23" t="n">
        <f aca="false">J54*Annahmen!$B$78+K54*Annahmen!$B$79</f>
        <v>172.292204444698</v>
      </c>
      <c r="M54" s="23" t="n">
        <f aca="false">IF($A54&gt;=Annahmen!$B$54,Annahmen!$B$63*((1-Annahmen!$B$64)*Annahmen!$B$71+Annahmen!$B$64*Annahmen!$B$72)+Annahmen!$B$65*Annahmen!$B$73,0)</f>
        <v>32.245</v>
      </c>
      <c r="N54" s="23" t="n">
        <f aca="false">(L54+M54)/(1+Annahmen!$B$8)</f>
        <v>171.88000373504</v>
      </c>
      <c r="O54" s="23" t="n">
        <f aca="false">L54/(1+Annahmen!$B$8)</f>
        <v>144.783365079578</v>
      </c>
      <c r="P54" s="23" t="n">
        <f aca="false">N54*(Annahmen!$B$62*Annahmen!$B$74+(1-Annahmen!$B$62)*Annahmen!$B$75)+(I54*Annahmen!$B$61+I54*(1-Annahmen!$B$61)/12+IF($A54&gt;=Annahmen!$B$54,Annahmen!$B$63+Annahmen!$B$65,0))*(1-Annahmen!$B$62)*Annahmen!$B$76</f>
        <v>18.5450011077939</v>
      </c>
      <c r="Q54" s="24" t="n">
        <f aca="false">IF(D54=0,0,MIN(Annahmen!$B$170,Annahmen!$B$169*D54/(Annahmen!$B$169*D54+E54)))</f>
        <v>0.392638036809816</v>
      </c>
      <c r="R54" s="23" t="n">
        <f aca="false">O54*Q54*Annahmen!$B$177</f>
        <v>33.8242364554008</v>
      </c>
      <c r="S54" s="23" t="n">
        <f aca="false">Annahmen!$B$66*Annahmen!$B$42</f>
        <v>115.483850895744</v>
      </c>
      <c r="T54" s="23" t="n">
        <f aca="false">IF($A54&gt;=Annahmen!$B$54,Annahmen!$B$63*(1-Annahmen!$B$64)*Annahmen!$B$43+(Annahmen!$B$63*Annahmen!$B$64+Annahmen!$B$65)*Annahmen!$B$44,0)</f>
        <v>15.6845378437918</v>
      </c>
      <c r="U54" s="23" t="n">
        <f aca="false">C54*Annahmen!$B$77</f>
        <v>8.29053281947046</v>
      </c>
      <c r="V54" s="23" t="n">
        <f aca="false">SUMPRODUCT((((Annahmen!$C$145:$C$155="monatlich")*(Annahmen!$D$145:$D$155&lt;=$A54))+((Annahmen!$C$145:$C$155="einmalig")*(Annahmen!$D$145:$D$155=$A54)))*Annahmen!$B$145:$B$155*Annahmen!$E$145:$E$155)</f>
        <v>69.9850799606897</v>
      </c>
      <c r="W54" s="23" t="n">
        <f aca="false">IF($A54&gt;=Annahmen!$B$54,Annahmen!$B$134,0)</f>
        <v>200</v>
      </c>
      <c r="X54" s="35" t="n">
        <f aca="false">MAX(0,(I54-Annahmen!$B$138)/Annahmen!$B$139)</f>
        <v>0</v>
      </c>
      <c r="Y54" s="23" t="n">
        <f aca="false">X54*Annahmen!$B$137</f>
        <v>0</v>
      </c>
      <c r="Z54" s="23" t="n">
        <f aca="false">N54-P54-R54-S54-T54-U54-V54-W54-Y54</f>
        <v>-289.933235347851</v>
      </c>
      <c r="AA54" s="23" t="n">
        <f aca="false">AA53+Z54</f>
        <v>-7060.72650934245</v>
      </c>
      <c r="AB54" s="17" t="n">
        <f aca="false">IF($A54&gt;=Annahmen!$B$161,Annahmen!$B$162,0)</f>
        <v>2</v>
      </c>
      <c r="AC54" s="17" t="n">
        <f aca="false">AB54*(1-Annahmen!$B$180)</f>
        <v>1.6</v>
      </c>
      <c r="AD54" s="23" t="n">
        <f aca="false">AC54*(Annahmen!$B$178+Annahmen!$B$179)</f>
        <v>560</v>
      </c>
      <c r="AE54" s="23" t="n">
        <f aca="false">AB54*(Annahmen!$B$47+Annahmen!$B$163*Annahmen!$B$10)</f>
        <v>17.3434865427531</v>
      </c>
      <c r="AF54" s="23" t="n">
        <f aca="false">AD54-AE54</f>
        <v>542.656513457247</v>
      </c>
      <c r="AG54" s="23" t="n">
        <f aca="false">Gesamt!J38-TÆLLA!Y38+Z54+AF54</f>
        <v>453.149961404287</v>
      </c>
      <c r="AH54" s="23" t="n">
        <f aca="false">AH53+AG54</f>
        <v>2533.08722794001</v>
      </c>
      <c r="AI54" s="15" t="n">
        <f aca="false">IF(AG54&gt;0,1,0)</f>
        <v>1</v>
      </c>
      <c r="AJ54" s="15" t="n">
        <f aca="false">IF(AH54&gt;=0,1,0)</f>
        <v>1</v>
      </c>
      <c r="AK54" s="7" t="n">
        <f aca="false">IF(Z54&gt;0,1,0)</f>
        <v>0</v>
      </c>
      <c r="AL54" s="7" t="n">
        <f aca="false">IF(AA54&gt;=0,1,0)</f>
        <v>0</v>
      </c>
    </row>
    <row r="55" customFormat="false" ht="15" hidden="false" customHeight="false" outlineLevel="0" collapsed="false">
      <c r="A55" s="7" t="n">
        <v>22</v>
      </c>
      <c r="B55" s="7" t="s">
        <v>371</v>
      </c>
      <c r="C55" s="15" t="n">
        <f aca="false">IF($A55&lt;Annahmen!$B$54,0,IF($A55=Annahmen!$B$54,Annahmen!$B$55,C54*(1+(Annahmen!$B$56+F55)*(1-C54/Annahmen!$B$57))))</f>
        <v>908.138031367954</v>
      </c>
      <c r="D55" s="17" t="n">
        <f aca="false">D54+IF($A55&gt;=Annahmen!$B$161,Annahmen!$B$162,0)</f>
        <v>34</v>
      </c>
      <c r="E55" s="17" t="n">
        <f aca="false">E54+Annahmen!$B$66</f>
        <v>103</v>
      </c>
      <c r="F55" s="24" t="n">
        <f aca="false">MIN(Annahmen!$B$166,Annahmen!$B$165*D55/10)</f>
        <v>0.017</v>
      </c>
      <c r="G55" s="41" t="n">
        <f aca="false">MIN(Annahmen!$B$168,Annahmen!$B$167*D55/10)</f>
        <v>0.00068</v>
      </c>
      <c r="H55" s="17" t="n">
        <f aca="false">C55*(Annahmen!$B$58+G55)</f>
        <v>5.15822401816998</v>
      </c>
      <c r="I55" s="17" t="n">
        <f aca="false">I54*(1-Annahmen!$B$59)+H55</f>
        <v>30.4680045601239</v>
      </c>
      <c r="J55" s="17" t="n">
        <f aca="false">I55*(1-Annahmen!$B$60)</f>
        <v>21.3276031920867</v>
      </c>
      <c r="K55" s="17" t="n">
        <f aca="false">I55*Annahmen!$B$60</f>
        <v>9.14040136803718</v>
      </c>
      <c r="L55" s="23" t="n">
        <f aca="false">J55*Annahmen!$B$78+K55*Annahmen!$B$79</f>
        <v>190.813495558916</v>
      </c>
      <c r="M55" s="23" t="n">
        <f aca="false">IF($A55&gt;=Annahmen!$B$54,Annahmen!$B$63*((1-Annahmen!$B$64)*Annahmen!$B$71+Annahmen!$B$64*Annahmen!$B$72)+Annahmen!$B$65*Annahmen!$B$73,0)</f>
        <v>32.245</v>
      </c>
      <c r="N55" s="23" t="n">
        <f aca="false">(L55+M55)/(1+Annahmen!$B$8)</f>
        <v>187.444113915056</v>
      </c>
      <c r="O55" s="23" t="n">
        <f aca="false">L55/(1+Annahmen!$B$8)</f>
        <v>160.347475259593</v>
      </c>
      <c r="P55" s="23" t="n">
        <f aca="false">N55*(Annahmen!$B$62*Annahmen!$B$74+(1-Annahmen!$B$62)*Annahmen!$B$75)+(I55*Annahmen!$B$61+I55*(1-Annahmen!$B$61)/12+IF($A55&gt;=Annahmen!$B$54,Annahmen!$B$63+Annahmen!$B$65,0))*(1-Annahmen!$B$62)*Annahmen!$B$76</f>
        <v>20.2535652664543</v>
      </c>
      <c r="Q55" s="24" t="n">
        <f aca="false">IF(D55=0,0,MIN(Annahmen!$B$170,Annahmen!$B$169*D55/(Annahmen!$B$169*D55+E55)))</f>
        <v>0.39766081871345</v>
      </c>
      <c r="R55" s="23" t="n">
        <f aca="false">O55*Q55*Annahmen!$B$177</f>
        <v>37.9395254327669</v>
      </c>
      <c r="S55" s="23" t="n">
        <f aca="false">Annahmen!$B$66*Annahmen!$B$42</f>
        <v>115.483850895744</v>
      </c>
      <c r="T55" s="23" t="n">
        <f aca="false">IF($A55&gt;=Annahmen!$B$54,Annahmen!$B$63*(1-Annahmen!$B$64)*Annahmen!$B$43+(Annahmen!$B$63*Annahmen!$B$64+Annahmen!$B$65)*Annahmen!$B$44,0)</f>
        <v>15.6845378437918</v>
      </c>
      <c r="U55" s="23" t="n">
        <f aca="false">C55*Annahmen!$B$77</f>
        <v>9.08138031367954</v>
      </c>
      <c r="V55" s="23" t="n">
        <f aca="false">SUMPRODUCT((((Annahmen!$C$145:$C$155="monatlich")*(Annahmen!$D$145:$D$155&lt;=$A55))+((Annahmen!$C$145:$C$155="einmalig")*(Annahmen!$D$145:$D$155=$A55)))*Annahmen!$B$145:$B$155*Annahmen!$E$145:$E$155)</f>
        <v>69.9850799606897</v>
      </c>
      <c r="W55" s="23" t="n">
        <f aca="false">IF($A55&gt;=Annahmen!$B$54,Annahmen!$B$134,0)</f>
        <v>200</v>
      </c>
      <c r="X55" s="35" t="n">
        <f aca="false">MAX(0,(I55-Annahmen!$B$138)/Annahmen!$B$139)</f>
        <v>0</v>
      </c>
      <c r="Y55" s="23" t="n">
        <f aca="false">X55*Annahmen!$B$137</f>
        <v>0</v>
      </c>
      <c r="Z55" s="23" t="n">
        <f aca="false">N55-P55-R55-S55-T55-U55-V55-W55-Y55</f>
        <v>-280.983825798071</v>
      </c>
      <c r="AA55" s="23" t="n">
        <f aca="false">AA54+Z55</f>
        <v>-7341.71033514052</v>
      </c>
      <c r="AB55" s="17" t="n">
        <f aca="false">IF($A55&gt;=Annahmen!$B$161,Annahmen!$B$162,0)</f>
        <v>2</v>
      </c>
      <c r="AC55" s="17" t="n">
        <f aca="false">AB55*(1-Annahmen!$B$180)</f>
        <v>1.6</v>
      </c>
      <c r="AD55" s="23" t="n">
        <f aca="false">AC55*(Annahmen!$B$178+Annahmen!$B$179)</f>
        <v>560</v>
      </c>
      <c r="AE55" s="23" t="n">
        <f aca="false">AB55*(Annahmen!$B$47+Annahmen!$B$163*Annahmen!$B$10)</f>
        <v>17.3434865427531</v>
      </c>
      <c r="AF55" s="23" t="n">
        <f aca="false">AD55-AE55</f>
        <v>542.656513457247</v>
      </c>
      <c r="AG55" s="23" t="n">
        <f aca="false">Gesamt!J39-TÆLLA!Y39+Z55+AF55</f>
        <v>463.586567215749</v>
      </c>
      <c r="AH55" s="23" t="n">
        <f aca="false">AH54+AG55</f>
        <v>2996.67379515576</v>
      </c>
      <c r="AI55" s="15" t="n">
        <f aca="false">IF(AG55&gt;0,1,0)</f>
        <v>1</v>
      </c>
      <c r="AJ55" s="15" t="n">
        <f aca="false">IF(AH55&gt;=0,1,0)</f>
        <v>1</v>
      </c>
      <c r="AK55" s="7" t="n">
        <f aca="false">IF(Z55&gt;0,1,0)</f>
        <v>0</v>
      </c>
      <c r="AL55" s="7" t="n">
        <f aca="false">IF(AA55&gt;=0,1,0)</f>
        <v>0</v>
      </c>
    </row>
    <row r="56" customFormat="false" ht="15" hidden="false" customHeight="false" outlineLevel="0" collapsed="false">
      <c r="A56" s="7" t="n">
        <v>23</v>
      </c>
      <c r="B56" s="7" t="s">
        <v>372</v>
      </c>
      <c r="C56" s="15" t="n">
        <f aca="false">IF($A56&lt;Annahmen!$B$54,0,IF($A56=Annahmen!$B$54,Annahmen!$B$55,C55*(1+(Annahmen!$B$56+F56)*(1-C55/Annahmen!$B$57))))</f>
        <v>995.51911766134</v>
      </c>
      <c r="D56" s="17" t="n">
        <f aca="false">D55+IF($A56&gt;=Annahmen!$B$161,Annahmen!$B$162,0)</f>
        <v>36</v>
      </c>
      <c r="E56" s="17" t="n">
        <f aca="false">E55+Annahmen!$B$66</f>
        <v>107</v>
      </c>
      <c r="F56" s="24" t="n">
        <f aca="false">MIN(Annahmen!$B$166,Annahmen!$B$165*D56/10)</f>
        <v>0.018</v>
      </c>
      <c r="G56" s="41" t="n">
        <f aca="false">MIN(Annahmen!$B$168,Annahmen!$B$167*D56/10)</f>
        <v>0.00072</v>
      </c>
      <c r="H56" s="17" t="n">
        <f aca="false">C56*(Annahmen!$B$58+G56)</f>
        <v>5.69436935302287</v>
      </c>
      <c r="I56" s="17" t="n">
        <f aca="false">I55*(1-Annahmen!$B$59)+H56</f>
        <v>33.7249335483369</v>
      </c>
      <c r="J56" s="17" t="n">
        <f aca="false">I56*(1-Annahmen!$B$60)</f>
        <v>23.6074534838358</v>
      </c>
      <c r="K56" s="17" t="n">
        <f aca="false">I56*Annahmen!$B$60</f>
        <v>10.1174800645011</v>
      </c>
      <c r="L56" s="23" t="n">
        <f aca="false">J56*Annahmen!$B$78+K56*Annahmen!$B$79</f>
        <v>211.210827579847</v>
      </c>
      <c r="M56" s="23" t="n">
        <f aca="false">IF($A56&gt;=Annahmen!$B$54,Annahmen!$B$63*((1-Annahmen!$B$64)*Annahmen!$B$71+Annahmen!$B$64*Annahmen!$B$72)+Annahmen!$B$65*Annahmen!$B$73,0)</f>
        <v>32.245</v>
      </c>
      <c r="N56" s="23" t="n">
        <f aca="false">(L56+M56)/(1+Annahmen!$B$8)</f>
        <v>204.584729058695</v>
      </c>
      <c r="O56" s="23" t="n">
        <f aca="false">L56/(1+Annahmen!$B$8)</f>
        <v>177.488090403233</v>
      </c>
      <c r="P56" s="23" t="n">
        <f aca="false">N56*(Annahmen!$B$62*Annahmen!$B$74+(1-Annahmen!$B$62)*Annahmen!$B$75)+(I56*Annahmen!$B$61+I56*(1-Annahmen!$B$61)/12+IF($A56&gt;=Annahmen!$B$54,Annahmen!$B$63+Annahmen!$B$65,0))*(1-Annahmen!$B$62)*Annahmen!$B$76</f>
        <v>22.1351916718891</v>
      </c>
      <c r="Q56" s="24" t="n">
        <f aca="false">IF(D56=0,0,MIN(Annahmen!$B$170,Annahmen!$B$169*D56/(Annahmen!$B$169*D56+E56)))</f>
        <v>0.402234636871508</v>
      </c>
      <c r="R56" s="23" t="n">
        <f aca="false">O56*Q56*Annahmen!$B$177</f>
        <v>42.4781552674552</v>
      </c>
      <c r="S56" s="23" t="n">
        <f aca="false">Annahmen!$B$66*Annahmen!$B$42</f>
        <v>115.483850895744</v>
      </c>
      <c r="T56" s="23" t="n">
        <f aca="false">IF($A56&gt;=Annahmen!$B$54,Annahmen!$B$63*(1-Annahmen!$B$64)*Annahmen!$B$43+(Annahmen!$B$63*Annahmen!$B$64+Annahmen!$B$65)*Annahmen!$B$44,0)</f>
        <v>15.6845378437918</v>
      </c>
      <c r="U56" s="23" t="n">
        <f aca="false">C56*Annahmen!$B$77</f>
        <v>9.9551911766134</v>
      </c>
      <c r="V56" s="23" t="n">
        <f aca="false">SUMPRODUCT((((Annahmen!$C$145:$C$155="monatlich")*(Annahmen!$D$145:$D$155&lt;=$A56))+((Annahmen!$C$145:$C$155="einmalig")*(Annahmen!$D$145:$D$155=$A56)))*Annahmen!$B$145:$B$155*Annahmen!$E$145:$E$155)</f>
        <v>69.9850799606897</v>
      </c>
      <c r="W56" s="23" t="n">
        <f aca="false">IF($A56&gt;=Annahmen!$B$54,Annahmen!$B$134,0)</f>
        <v>200</v>
      </c>
      <c r="X56" s="35" t="n">
        <f aca="false">MAX(0,(I56-Annahmen!$B$138)/Annahmen!$B$139)</f>
        <v>0</v>
      </c>
      <c r="Y56" s="23" t="n">
        <f aca="false">X56*Annahmen!$B$137</f>
        <v>0</v>
      </c>
      <c r="Z56" s="23" t="n">
        <f aca="false">N56-P56-R56-S56-T56-U56-V56-W56-Y56</f>
        <v>-271.137277757489</v>
      </c>
      <c r="AA56" s="23" t="n">
        <f aca="false">AA55+Z56</f>
        <v>-7612.84761289801</v>
      </c>
      <c r="AB56" s="17" t="n">
        <f aca="false">IF($A56&gt;=Annahmen!$B$161,Annahmen!$B$162,0)</f>
        <v>2</v>
      </c>
      <c r="AC56" s="17" t="n">
        <f aca="false">AB56*(1-Annahmen!$B$180)</f>
        <v>1.6</v>
      </c>
      <c r="AD56" s="23" t="n">
        <f aca="false">AC56*(Annahmen!$B$178+Annahmen!$B$179)</f>
        <v>560</v>
      </c>
      <c r="AE56" s="23" t="n">
        <f aca="false">AB56*(Annahmen!$B$47+Annahmen!$B$163*Annahmen!$B$10)</f>
        <v>17.3434865427531</v>
      </c>
      <c r="AF56" s="23" t="n">
        <f aca="false">AD56-AE56</f>
        <v>542.656513457247</v>
      </c>
      <c r="AG56" s="23" t="n">
        <f aca="false">Gesamt!J40-TÆLLA!Y40+Z56+AF56</f>
        <v>474.920311518014</v>
      </c>
      <c r="AH56" s="23" t="n">
        <f aca="false">AH55+AG56</f>
        <v>3471.59410667377</v>
      </c>
      <c r="AI56" s="15" t="n">
        <f aca="false">IF(AG56&gt;0,1,0)</f>
        <v>1</v>
      </c>
      <c r="AJ56" s="15" t="n">
        <f aca="false">IF(AH56&gt;=0,1,0)</f>
        <v>1</v>
      </c>
      <c r="AK56" s="7" t="n">
        <f aca="false">IF(Z56&gt;0,1,0)</f>
        <v>0</v>
      </c>
      <c r="AL56" s="7" t="n">
        <f aca="false">IF(AA56&gt;=0,1,0)</f>
        <v>0</v>
      </c>
    </row>
    <row r="57" customFormat="false" ht="15" hidden="false" customHeight="false" outlineLevel="0" collapsed="false">
      <c r="A57" s="7" t="n">
        <v>24</v>
      </c>
      <c r="B57" s="7" t="s">
        <v>373</v>
      </c>
      <c r="C57" s="15" t="n">
        <f aca="false">IF($A57&lt;Annahmen!$B$54,0,IF($A57=Annahmen!$B$54,Annahmen!$B$55,C56*(1+(Annahmen!$B$56+F57)*(1-C56/Annahmen!$B$57))))</f>
        <v>1092.11321484883</v>
      </c>
      <c r="D57" s="17" t="n">
        <f aca="false">D56+IF($A57&gt;=Annahmen!$B$161,Annahmen!$B$162,0)</f>
        <v>38</v>
      </c>
      <c r="E57" s="17" t="n">
        <f aca="false">E56+Annahmen!$B$66</f>
        <v>111</v>
      </c>
      <c r="F57" s="24" t="n">
        <f aca="false">MIN(Annahmen!$B$166,Annahmen!$B$165*D57/10)</f>
        <v>0.019</v>
      </c>
      <c r="G57" s="41" t="n">
        <f aca="false">MIN(Annahmen!$B$168,Annahmen!$B$167*D57/10)</f>
        <v>0.00076</v>
      </c>
      <c r="H57" s="17" t="n">
        <f aca="false">C57*(Annahmen!$B$58+G57)</f>
        <v>6.29057211752924</v>
      </c>
      <c r="I57" s="17" t="n">
        <f aca="false">I56*(1-Annahmen!$B$59)+H57</f>
        <v>37.3175109819992</v>
      </c>
      <c r="J57" s="17" t="n">
        <f aca="false">I57*(1-Annahmen!$B$60)</f>
        <v>26.1222576873994</v>
      </c>
      <c r="K57" s="17" t="n">
        <f aca="false">I57*Annahmen!$B$60</f>
        <v>11.1952532945997</v>
      </c>
      <c r="L57" s="23" t="n">
        <f aca="false">J57*Annahmen!$B$78+K57*Annahmen!$B$79</f>
        <v>233.710241902515</v>
      </c>
      <c r="M57" s="23" t="n">
        <f aca="false">IF($A57&gt;=Annahmen!$B$54,Annahmen!$B$63*((1-Annahmen!$B$64)*Annahmen!$B$71+Annahmen!$B$64*Annahmen!$B$72)+Annahmen!$B$65*Annahmen!$B$73,0)</f>
        <v>32.245</v>
      </c>
      <c r="N57" s="23" t="n">
        <f aca="false">(L57+M57)/(1+Annahmen!$B$8)</f>
        <v>223.49179991808</v>
      </c>
      <c r="O57" s="23" t="n">
        <f aca="false">L57/(1+Annahmen!$B$8)</f>
        <v>196.395161262618</v>
      </c>
      <c r="P57" s="23" t="n">
        <f aca="false">N57*(Annahmen!$B$62*Annahmen!$B$74+(1-Annahmen!$B$62)*Annahmen!$B$75)+(I57*Annahmen!$B$61+I57*(1-Annahmen!$B$61)/12+IF($A57&gt;=Annahmen!$B$54,Annahmen!$B$63+Annahmen!$B$65,0))*(1-Annahmen!$B$62)*Annahmen!$B$76</f>
        <v>24.2107323383306</v>
      </c>
      <c r="Q57" s="24" t="n">
        <f aca="false">IF(D57=0,0,MIN(Annahmen!$B$170,Annahmen!$B$169*D57/(Annahmen!$B$169*D57+E57)))</f>
        <v>0.406417112299465</v>
      </c>
      <c r="R57" s="23" t="n">
        <f aca="false">O57*Q57*Annahmen!$B$177</f>
        <v>47.4919208144149</v>
      </c>
      <c r="S57" s="23" t="n">
        <f aca="false">Annahmen!$B$66*Annahmen!$B$42</f>
        <v>115.483850895744</v>
      </c>
      <c r="T57" s="23" t="n">
        <f aca="false">IF($A57&gt;=Annahmen!$B$54,Annahmen!$B$63*(1-Annahmen!$B$64)*Annahmen!$B$43+(Annahmen!$B$63*Annahmen!$B$64+Annahmen!$B$65)*Annahmen!$B$44,0)</f>
        <v>15.6845378437918</v>
      </c>
      <c r="U57" s="23" t="n">
        <f aca="false">C57*Annahmen!$B$77</f>
        <v>10.9211321484883</v>
      </c>
      <c r="V57" s="23" t="n">
        <f aca="false">SUMPRODUCT((((Annahmen!$C$145:$C$155="monatlich")*(Annahmen!$D$145:$D$155&lt;=$A57))+((Annahmen!$C$145:$C$155="einmalig")*(Annahmen!$D$145:$D$155=$A57)))*Annahmen!$B$145:$B$155*Annahmen!$E$145:$E$155)</f>
        <v>69.9850799606897</v>
      </c>
      <c r="W57" s="23" t="n">
        <f aca="false">IF($A57&gt;=Annahmen!$B$54,Annahmen!$B$134,0)</f>
        <v>200</v>
      </c>
      <c r="X57" s="35" t="n">
        <f aca="false">MAX(0,(I57-Annahmen!$B$138)/Annahmen!$B$139)</f>
        <v>0</v>
      </c>
      <c r="Y57" s="23" t="n">
        <f aca="false">X57*Annahmen!$B$137</f>
        <v>0</v>
      </c>
      <c r="Z57" s="23" t="n">
        <f aca="false">N57-P57-R57-S57-T57-U57-V57-W57-Y57</f>
        <v>-260.285454083379</v>
      </c>
      <c r="AA57" s="23" t="n">
        <f aca="false">AA56+Z57</f>
        <v>-7873.13306698139</v>
      </c>
      <c r="AB57" s="17" t="n">
        <f aca="false">IF($A57&gt;=Annahmen!$B$161,Annahmen!$B$162,0)</f>
        <v>2</v>
      </c>
      <c r="AC57" s="17" t="n">
        <f aca="false">AB57*(1-Annahmen!$B$180)</f>
        <v>1.6</v>
      </c>
      <c r="AD57" s="23" t="n">
        <f aca="false">AC57*(Annahmen!$B$178+Annahmen!$B$179)</f>
        <v>560</v>
      </c>
      <c r="AE57" s="23" t="n">
        <f aca="false">AB57*(Annahmen!$B$47+Annahmen!$B$163*Annahmen!$B$10)</f>
        <v>17.3434865427531</v>
      </c>
      <c r="AF57" s="23" t="n">
        <f aca="false">AD57-AE57</f>
        <v>542.656513457247</v>
      </c>
      <c r="AG57" s="23" t="n">
        <f aca="false">Gesamt!J41-TÆLLA!Y41+Z57+AF57</f>
        <v>487.259331453805</v>
      </c>
      <c r="AH57" s="23" t="n">
        <f aca="false">AH56+AG57</f>
        <v>3958.85343812758</v>
      </c>
      <c r="AI57" s="15" t="n">
        <f aca="false">IF(AG57&gt;0,1,0)</f>
        <v>1</v>
      </c>
      <c r="AJ57" s="15" t="n">
        <f aca="false">IF(AH57&gt;=0,1,0)</f>
        <v>1</v>
      </c>
      <c r="AK57" s="7" t="n">
        <f aca="false">IF(Z57&gt;0,1,0)</f>
        <v>0</v>
      </c>
      <c r="AL57" s="7" t="n">
        <f aca="false">IF(AA57&gt;=0,1,0)</f>
        <v>0</v>
      </c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customFormat="false" ht="15" hidden="false" customHeight="false" outlineLevel="0" collapsed="false">
      <c r="A61" s="5" t="str">
        <f aca="false">"Szenario mittel – "&amp;Annahmen!$C$133</f>
        <v>Szenario mittel – profitabler Nebenerwerb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2"/>
      <c r="AL61" s="2"/>
    </row>
    <row r="62" customFormat="false" ht="42" hidden="false" customHeight="true" outlineLevel="0" collapsed="false">
      <c r="A62" s="34" t="s">
        <v>96</v>
      </c>
      <c r="B62" s="34" t="s">
        <v>323</v>
      </c>
      <c r="C62" s="34" t="s">
        <v>324</v>
      </c>
      <c r="D62" s="34" t="s">
        <v>536</v>
      </c>
      <c r="E62" s="34" t="s">
        <v>537</v>
      </c>
      <c r="F62" s="34" t="s">
        <v>538</v>
      </c>
      <c r="G62" s="34" t="s">
        <v>539</v>
      </c>
      <c r="H62" s="34" t="s">
        <v>325</v>
      </c>
      <c r="I62" s="34" t="s">
        <v>326</v>
      </c>
      <c r="J62" s="34" t="s">
        <v>327</v>
      </c>
      <c r="K62" s="34" t="s">
        <v>328</v>
      </c>
      <c r="L62" s="34" t="s">
        <v>329</v>
      </c>
      <c r="M62" s="34" t="s">
        <v>540</v>
      </c>
      <c r="N62" s="34" t="s">
        <v>336</v>
      </c>
      <c r="O62" s="34" t="s">
        <v>541</v>
      </c>
      <c r="P62" s="34" t="s">
        <v>337</v>
      </c>
      <c r="Q62" s="34" t="s">
        <v>542</v>
      </c>
      <c r="R62" s="34" t="s">
        <v>543</v>
      </c>
      <c r="S62" s="34" t="s">
        <v>544</v>
      </c>
      <c r="T62" s="34" t="s">
        <v>340</v>
      </c>
      <c r="U62" s="34" t="s">
        <v>341</v>
      </c>
      <c r="V62" s="34" t="s">
        <v>342</v>
      </c>
      <c r="W62" s="34" t="s">
        <v>343</v>
      </c>
      <c r="X62" s="34" t="s">
        <v>344</v>
      </c>
      <c r="Y62" s="34" t="s">
        <v>345</v>
      </c>
      <c r="Z62" s="34" t="s">
        <v>436</v>
      </c>
      <c r="AA62" s="34" t="s">
        <v>545</v>
      </c>
      <c r="AB62" s="34" t="s">
        <v>546</v>
      </c>
      <c r="AC62" s="34" t="s">
        <v>547</v>
      </c>
      <c r="AD62" s="34" t="s">
        <v>548</v>
      </c>
      <c r="AE62" s="34" t="s">
        <v>549</v>
      </c>
      <c r="AF62" s="34" t="s">
        <v>550</v>
      </c>
      <c r="AG62" s="34" t="s">
        <v>551</v>
      </c>
      <c r="AH62" s="34" t="s">
        <v>552</v>
      </c>
      <c r="AI62" s="34" t="s">
        <v>553</v>
      </c>
      <c r="AJ62" s="34" t="s">
        <v>554</v>
      </c>
      <c r="AK62" s="34" t="s">
        <v>348</v>
      </c>
      <c r="AL62" s="34" t="s">
        <v>349</v>
      </c>
    </row>
    <row r="63" customFormat="false" ht="15" hidden="false" customHeight="false" outlineLevel="0" collapsed="false">
      <c r="A63" s="7" t="n">
        <v>1</v>
      </c>
      <c r="B63" s="7" t="s">
        <v>350</v>
      </c>
      <c r="C63" s="15" t="n">
        <f aca="false">IF($A63&lt;Annahmen!$C$54,0,Annahmen!$C$55)</f>
        <v>0</v>
      </c>
      <c r="D63" s="17" t="n">
        <f aca="false">IF($A63&gt;=Annahmen!$C$161,Annahmen!$C$162,0)</f>
        <v>0</v>
      </c>
      <c r="E63" s="17" t="n">
        <f aca="false">Annahmen!$B$164+Annahmen!$C$66</f>
        <v>23</v>
      </c>
      <c r="F63" s="24" t="n">
        <f aca="false">MIN(Annahmen!$C$166,Annahmen!$C$165*D63/10)</f>
        <v>0</v>
      </c>
      <c r="G63" s="41" t="n">
        <f aca="false">MIN(Annahmen!$C$168,Annahmen!$C$167*D63/10)</f>
        <v>0</v>
      </c>
      <c r="H63" s="17" t="n">
        <f aca="false">C63*(Annahmen!$C$58+G63)</f>
        <v>0</v>
      </c>
      <c r="I63" s="17" t="n">
        <f aca="false">H63</f>
        <v>0</v>
      </c>
      <c r="J63" s="17" t="n">
        <f aca="false">I63*(1-Annahmen!$C$60)</f>
        <v>0</v>
      </c>
      <c r="K63" s="17" t="n">
        <f aca="false">I63*Annahmen!$C$60</f>
        <v>0</v>
      </c>
      <c r="L63" s="23" t="n">
        <f aca="false">J63*Annahmen!$C$78+K63*Annahmen!$C$79</f>
        <v>0</v>
      </c>
      <c r="M63" s="23" t="n">
        <f aca="false">IF($A63&gt;=Annahmen!$C$54,Annahmen!$C$63*((1-Annahmen!$C$64)*Annahmen!$B$71+Annahmen!$C$64*Annahmen!$B$72)+Annahmen!$C$65*Annahmen!$B$73,0)</f>
        <v>0</v>
      </c>
      <c r="N63" s="23" t="n">
        <f aca="false">(L63+M63)/(1+Annahmen!$B$8)</f>
        <v>0</v>
      </c>
      <c r="O63" s="23" t="n">
        <f aca="false">L63/(1+Annahmen!$B$8)</f>
        <v>0</v>
      </c>
      <c r="P63" s="23" t="n">
        <f aca="false">N63*(Annahmen!$C$62*Annahmen!$B$74+(1-Annahmen!$C$62)*Annahmen!$B$75)+(I63*Annahmen!$C$61+I63*(1-Annahmen!$C$61)/12+IF($A63&gt;=Annahmen!$C$54,Annahmen!$C$63+Annahmen!$C$65,0))*(1-Annahmen!$C$62)*Annahmen!$B$76</f>
        <v>0</v>
      </c>
      <c r="Q63" s="24" t="n">
        <f aca="false">IF(D63=0,0,MIN(Annahmen!$B$170,Annahmen!$C$169*D63/(Annahmen!$C$169*D63+E63)))</f>
        <v>0</v>
      </c>
      <c r="R63" s="23" t="n">
        <f aca="false">O63*Q63*Annahmen!$B$177</f>
        <v>0</v>
      </c>
      <c r="S63" s="23" t="n">
        <f aca="false">Annahmen!$C$66*Annahmen!$B$42</f>
        <v>230.967701791488</v>
      </c>
      <c r="T63" s="23" t="n">
        <f aca="false">IF($A63&gt;=Annahmen!$C$54,Annahmen!$C$63*(1-Annahmen!$C$64)*Annahmen!$B$43+(Annahmen!$C$63*Annahmen!$C$64+Annahmen!$C$65)*Annahmen!$B$44,0)</f>
        <v>0</v>
      </c>
      <c r="U63" s="23" t="n">
        <f aca="false">C63*Annahmen!$B$77</f>
        <v>0</v>
      </c>
      <c r="V63" s="23" t="n">
        <f aca="false">SUMPRODUCT((((Annahmen!$C$145:$C$155="monatlich")*(Annahmen!$D$145:$D$155&lt;=$A63))+((Annahmen!$C$145:$C$155="einmalig")*(Annahmen!$D$145:$D$155=$A63)))*Annahmen!$B$145:$B$155*Annahmen!$E$145:$E$155)</f>
        <v>232.38507996069</v>
      </c>
      <c r="W63" s="23" t="n">
        <f aca="false">IF($A63&gt;=Annahmen!$C$54,Annahmen!$C$134,0)</f>
        <v>0</v>
      </c>
      <c r="X63" s="35" t="n">
        <f aca="false">MAX(0,(I63-Annahmen!$B$138)/Annahmen!$B$139)</f>
        <v>0</v>
      </c>
      <c r="Y63" s="23" t="n">
        <f aca="false">X63*Annahmen!$B$137</f>
        <v>0</v>
      </c>
      <c r="Z63" s="23" t="n">
        <f aca="false">N63-P63-R63-S63-T63-U63-V63-W63-Y63</f>
        <v>-463.352781752178</v>
      </c>
      <c r="AA63" s="23" t="n">
        <f aca="false">Z63</f>
        <v>-463.352781752178</v>
      </c>
      <c r="AB63" s="17" t="n">
        <f aca="false">IF($A63&gt;=Annahmen!$C$161,Annahmen!$C$162,0)</f>
        <v>0</v>
      </c>
      <c r="AC63" s="17" t="n">
        <f aca="false">AB63*(1-Annahmen!$B$180)</f>
        <v>0</v>
      </c>
      <c r="AD63" s="23" t="n">
        <f aca="false">AC63*(Annahmen!$B$178+Annahmen!$B$179)</f>
        <v>0</v>
      </c>
      <c r="AE63" s="23" t="n">
        <f aca="false">AB63*(Annahmen!$B$47+Annahmen!$B$163*Annahmen!$B$10)</f>
        <v>0</v>
      </c>
      <c r="AF63" s="23" t="n">
        <f aca="false">AD63-AE63</f>
        <v>0</v>
      </c>
      <c r="AG63" s="23" t="n">
        <f aca="false">Gesamt!J47-TÆLLA!Y47+Z63+AF63</f>
        <v>-936.14084572073</v>
      </c>
      <c r="AH63" s="23" t="n">
        <f aca="false">AG63</f>
        <v>-936.14084572073</v>
      </c>
      <c r="AI63" s="15" t="n">
        <f aca="false">IF(AG63&gt;0,1,0)</f>
        <v>0</v>
      </c>
      <c r="AJ63" s="15" t="n">
        <f aca="false">IF(AH63&gt;=0,1,0)</f>
        <v>0</v>
      </c>
      <c r="AK63" s="7" t="n">
        <f aca="false">IF(Z63&gt;0,1,0)</f>
        <v>0</v>
      </c>
      <c r="AL63" s="7" t="n">
        <f aca="false">IF(AA63&gt;=0,1,0)</f>
        <v>0</v>
      </c>
    </row>
    <row r="64" customFormat="false" ht="15" hidden="false" customHeight="false" outlineLevel="0" collapsed="false">
      <c r="A64" s="7" t="n">
        <v>2</v>
      </c>
      <c r="B64" s="7" t="s">
        <v>351</v>
      </c>
      <c r="C64" s="15" t="n">
        <f aca="false">IF($A64&lt;Annahmen!$C$54,0,IF($A64=Annahmen!$C$54,Annahmen!$C$55,C63*(1+(Annahmen!$C$56+F64)*(1-C63/Annahmen!$C$57))))</f>
        <v>0</v>
      </c>
      <c r="D64" s="17" t="n">
        <f aca="false">D63+IF($A64&gt;=Annahmen!$C$161,Annahmen!$C$162,0)</f>
        <v>0</v>
      </c>
      <c r="E64" s="17" t="n">
        <f aca="false">E63+Annahmen!$C$66</f>
        <v>31</v>
      </c>
      <c r="F64" s="24" t="n">
        <f aca="false">MIN(Annahmen!$C$166,Annahmen!$C$165*D64/10)</f>
        <v>0</v>
      </c>
      <c r="G64" s="41" t="n">
        <f aca="false">MIN(Annahmen!$C$168,Annahmen!$C$167*D64/10)</f>
        <v>0</v>
      </c>
      <c r="H64" s="17" t="n">
        <f aca="false">C64*(Annahmen!$C$58+G64)</f>
        <v>0</v>
      </c>
      <c r="I64" s="17" t="n">
        <f aca="false">I63*(1-Annahmen!$C$59)+H64</f>
        <v>0</v>
      </c>
      <c r="J64" s="17" t="n">
        <f aca="false">I64*(1-Annahmen!$C$60)</f>
        <v>0</v>
      </c>
      <c r="K64" s="17" t="n">
        <f aca="false">I64*Annahmen!$C$60</f>
        <v>0</v>
      </c>
      <c r="L64" s="23" t="n">
        <f aca="false">J64*Annahmen!$C$78+K64*Annahmen!$C$79</f>
        <v>0</v>
      </c>
      <c r="M64" s="23" t="n">
        <f aca="false">IF($A64&gt;=Annahmen!$C$54,Annahmen!$C$63*((1-Annahmen!$C$64)*Annahmen!$B$71+Annahmen!$C$64*Annahmen!$B$72)+Annahmen!$C$65*Annahmen!$B$73,0)</f>
        <v>0</v>
      </c>
      <c r="N64" s="23" t="n">
        <f aca="false">(L64+M64)/(1+Annahmen!$B$8)</f>
        <v>0</v>
      </c>
      <c r="O64" s="23" t="n">
        <f aca="false">L64/(1+Annahmen!$B$8)</f>
        <v>0</v>
      </c>
      <c r="P64" s="23" t="n">
        <f aca="false">N64*(Annahmen!$C$62*Annahmen!$B$74+(1-Annahmen!$C$62)*Annahmen!$B$75)+(I64*Annahmen!$C$61+I64*(1-Annahmen!$C$61)/12+IF($A64&gt;=Annahmen!$C$54,Annahmen!$C$63+Annahmen!$C$65,0))*(1-Annahmen!$C$62)*Annahmen!$B$76</f>
        <v>0</v>
      </c>
      <c r="Q64" s="24" t="n">
        <f aca="false">IF(D64=0,0,MIN(Annahmen!$B$170,Annahmen!$C$169*D64/(Annahmen!$C$169*D64+E64)))</f>
        <v>0</v>
      </c>
      <c r="R64" s="23" t="n">
        <f aca="false">O64*Q64*Annahmen!$B$177</f>
        <v>0</v>
      </c>
      <c r="S64" s="23" t="n">
        <f aca="false">Annahmen!$C$66*Annahmen!$B$42</f>
        <v>230.967701791488</v>
      </c>
      <c r="T64" s="23" t="n">
        <f aca="false">IF($A64&gt;=Annahmen!$C$54,Annahmen!$C$63*(1-Annahmen!$C$64)*Annahmen!$B$43+(Annahmen!$C$63*Annahmen!$C$64+Annahmen!$C$65)*Annahmen!$B$44,0)</f>
        <v>0</v>
      </c>
      <c r="U64" s="23" t="n">
        <f aca="false">C64*Annahmen!$B$77</f>
        <v>0</v>
      </c>
      <c r="V64" s="23" t="n">
        <f aca="false">SUMPRODUCT((((Annahmen!$C$145:$C$155="monatlich")*(Annahmen!$D$145:$D$155&lt;=$A64))+((Annahmen!$C$145:$C$155="einmalig")*(Annahmen!$D$145:$D$155=$A64)))*Annahmen!$B$145:$B$155*Annahmen!$E$145:$E$155)</f>
        <v>92.3204681497364</v>
      </c>
      <c r="W64" s="23" t="n">
        <f aca="false">IF($A64&gt;=Annahmen!$C$54,Annahmen!$C$134,0)</f>
        <v>0</v>
      </c>
      <c r="X64" s="35" t="n">
        <f aca="false">MAX(0,(I64-Annahmen!$B$138)/Annahmen!$B$139)</f>
        <v>0</v>
      </c>
      <c r="Y64" s="23" t="n">
        <f aca="false">X64*Annahmen!$B$137</f>
        <v>0</v>
      </c>
      <c r="Z64" s="23" t="n">
        <f aca="false">N64-P64-R64-S64-T64-U64-V64-W64-Y64</f>
        <v>-323.288169941225</v>
      </c>
      <c r="AA64" s="23" t="n">
        <f aca="false">AA63+Z64</f>
        <v>-786.640951693403</v>
      </c>
      <c r="AB64" s="17" t="n">
        <f aca="false">IF($A64&gt;=Annahmen!$C$161,Annahmen!$C$162,0)</f>
        <v>0</v>
      </c>
      <c r="AC64" s="17" t="n">
        <f aca="false">AB64*(1-Annahmen!$B$180)</f>
        <v>0</v>
      </c>
      <c r="AD64" s="23" t="n">
        <f aca="false">AC64*(Annahmen!$B$178+Annahmen!$B$179)</f>
        <v>0</v>
      </c>
      <c r="AE64" s="23" t="n">
        <f aca="false">AB64*(Annahmen!$B$47+Annahmen!$B$163*Annahmen!$B$10)</f>
        <v>0</v>
      </c>
      <c r="AF64" s="23" t="n">
        <f aca="false">AD64-AE64</f>
        <v>0</v>
      </c>
      <c r="AG64" s="23" t="n">
        <f aca="false">Gesamt!J48-TÆLLA!Y48+Z64+AF64</f>
        <v>-552.476233909776</v>
      </c>
      <c r="AH64" s="23" t="n">
        <f aca="false">AH63+AG64</f>
        <v>-1488.61707963051</v>
      </c>
      <c r="AI64" s="15" t="n">
        <f aca="false">IF(AG64&gt;0,1,0)</f>
        <v>0</v>
      </c>
      <c r="AJ64" s="15" t="n">
        <f aca="false">IF(AH64&gt;=0,1,0)</f>
        <v>0</v>
      </c>
      <c r="AK64" s="7" t="n">
        <f aca="false">IF(Z64&gt;0,1,0)</f>
        <v>0</v>
      </c>
      <c r="AL64" s="7" t="n">
        <f aca="false">IF(AA64&gt;=0,1,0)</f>
        <v>0</v>
      </c>
    </row>
    <row r="65" customFormat="false" ht="15" hidden="false" customHeight="false" outlineLevel="0" collapsed="false">
      <c r="A65" s="7" t="n">
        <v>3</v>
      </c>
      <c r="B65" s="7" t="s">
        <v>352</v>
      </c>
      <c r="C65" s="15" t="n">
        <f aca="false">IF($A65&lt;Annahmen!$C$54,0,IF($A65=Annahmen!$C$54,Annahmen!$C$55,C64*(1+(Annahmen!$C$56+F65)*(1-C64/Annahmen!$C$57))))</f>
        <v>500</v>
      </c>
      <c r="D65" s="17" t="n">
        <f aca="false">D64+IF($A65&gt;=Annahmen!$C$161,Annahmen!$C$162,0)</f>
        <v>0</v>
      </c>
      <c r="E65" s="17" t="n">
        <f aca="false">E64+Annahmen!$C$66</f>
        <v>39</v>
      </c>
      <c r="F65" s="24" t="n">
        <f aca="false">MIN(Annahmen!$C$166,Annahmen!$C$165*D65/10)</f>
        <v>0</v>
      </c>
      <c r="G65" s="41" t="n">
        <f aca="false">MIN(Annahmen!$C$168,Annahmen!$C$167*D65/10)</f>
        <v>0</v>
      </c>
      <c r="H65" s="17" t="n">
        <f aca="false">C65*(Annahmen!$C$58+G65)</f>
        <v>5</v>
      </c>
      <c r="I65" s="17" t="n">
        <f aca="false">I64*(1-Annahmen!$C$59)+H65</f>
        <v>5</v>
      </c>
      <c r="J65" s="17" t="n">
        <f aca="false">I65*(1-Annahmen!$C$60)</f>
        <v>3</v>
      </c>
      <c r="K65" s="17" t="n">
        <f aca="false">I65*Annahmen!$C$60</f>
        <v>2</v>
      </c>
      <c r="L65" s="23" t="n">
        <f aca="false">J65*Annahmen!$C$78+K65*Annahmen!$C$79</f>
        <v>31.7016666666667</v>
      </c>
      <c r="M65" s="23" t="n">
        <f aca="false">IF($A65&gt;=Annahmen!$C$54,Annahmen!$C$63*((1-Annahmen!$C$64)*Annahmen!$B$71+Annahmen!$C$64*Annahmen!$B$72)+Annahmen!$C$65*Annahmen!$B$73,0)</f>
        <v>206.48</v>
      </c>
      <c r="N65" s="23" t="n">
        <f aca="false">(L65+M65)/(1+Annahmen!$B$8)</f>
        <v>200.152661064426</v>
      </c>
      <c r="O65" s="23" t="n">
        <f aca="false">L65/(1+Annahmen!$B$8)</f>
        <v>26.640056022409</v>
      </c>
      <c r="P65" s="23" t="n">
        <f aca="false">N65*(Annahmen!$C$62*Annahmen!$B$74+(1-Annahmen!$C$62)*Annahmen!$B$75)+(I65*Annahmen!$C$61+I65*(1-Annahmen!$C$61)/12+IF($A65&gt;=Annahmen!$C$54,Annahmen!$C$63+Annahmen!$C$65,0))*(1-Annahmen!$C$62)*Annahmen!$B$76</f>
        <v>17.2209278711485</v>
      </c>
      <c r="Q65" s="24" t="n">
        <f aca="false">IF(D65=0,0,MIN(Annahmen!$B$170,Annahmen!$C$169*D65/(Annahmen!$C$169*D65+E65)))</f>
        <v>0</v>
      </c>
      <c r="R65" s="23" t="n">
        <f aca="false">O65*Q65*Annahmen!$B$177</f>
        <v>0</v>
      </c>
      <c r="S65" s="23" t="n">
        <f aca="false">Annahmen!$C$66*Annahmen!$B$42</f>
        <v>230.967701791488</v>
      </c>
      <c r="T65" s="23" t="n">
        <f aca="false">IF($A65&gt;=Annahmen!$C$54,Annahmen!$C$63*(1-Annahmen!$C$64)*Annahmen!$B$43+(Annahmen!$C$63*Annahmen!$C$64+Annahmen!$C$65)*Annahmen!$B$44,0)</f>
        <v>79.1744983854023</v>
      </c>
      <c r="U65" s="23" t="n">
        <f aca="false">C65*Annahmen!$B$77</f>
        <v>5</v>
      </c>
      <c r="V65" s="23" t="n">
        <f aca="false">SUMPRODUCT((((Annahmen!$C$145:$C$155="monatlich")*(Annahmen!$D$145:$D$155&lt;=$A65))+((Annahmen!$C$145:$C$155="einmalig")*(Annahmen!$D$145:$D$155=$A65)))*Annahmen!$B$145:$B$155*Annahmen!$E$145:$E$155)</f>
        <v>69.9850799606897</v>
      </c>
      <c r="W65" s="23" t="n">
        <f aca="false">IF($A65&gt;=Annahmen!$C$54,Annahmen!$C$134,0)</f>
        <v>500</v>
      </c>
      <c r="X65" s="35" t="n">
        <f aca="false">MAX(0,(I65-Annahmen!$B$138)/Annahmen!$B$139)</f>
        <v>0</v>
      </c>
      <c r="Y65" s="23" t="n">
        <f aca="false">X65*Annahmen!$B$137</f>
        <v>0</v>
      </c>
      <c r="Z65" s="23" t="n">
        <f aca="false">N65-P65-R65-S65-T65-U65-V65-W65-Y65</f>
        <v>-702.195546944303</v>
      </c>
      <c r="AA65" s="23" t="n">
        <f aca="false">AA64+Z65</f>
        <v>-1488.83649863771</v>
      </c>
      <c r="AB65" s="17" t="n">
        <f aca="false">IF($A65&gt;=Annahmen!$C$161,Annahmen!$C$162,0)</f>
        <v>0</v>
      </c>
      <c r="AC65" s="17" t="n">
        <f aca="false">AB65*(1-Annahmen!$B$180)</f>
        <v>0</v>
      </c>
      <c r="AD65" s="23" t="n">
        <f aca="false">AC65*(Annahmen!$B$178+Annahmen!$B$179)</f>
        <v>0</v>
      </c>
      <c r="AE65" s="23" t="n">
        <f aca="false">AB65*(Annahmen!$B$47+Annahmen!$B$163*Annahmen!$B$10)</f>
        <v>0</v>
      </c>
      <c r="AF65" s="23" t="n">
        <f aca="false">AD65-AE65</f>
        <v>0</v>
      </c>
      <c r="AG65" s="23" t="n">
        <f aca="false">Gesamt!J49-TÆLLA!Y49+Z65+AF65</f>
        <v>-1281.38361091285</v>
      </c>
      <c r="AH65" s="23" t="n">
        <f aca="false">AH64+AG65</f>
        <v>-2770.00069054336</v>
      </c>
      <c r="AI65" s="15" t="n">
        <f aca="false">IF(AG65&gt;0,1,0)</f>
        <v>0</v>
      </c>
      <c r="AJ65" s="15" t="n">
        <f aca="false">IF(AH65&gt;=0,1,0)</f>
        <v>0</v>
      </c>
      <c r="AK65" s="7" t="n">
        <f aca="false">IF(Z65&gt;0,1,0)</f>
        <v>0</v>
      </c>
      <c r="AL65" s="7" t="n">
        <f aca="false">IF(AA65&gt;=0,1,0)</f>
        <v>0</v>
      </c>
    </row>
    <row r="66" customFormat="false" ht="15" hidden="false" customHeight="false" outlineLevel="0" collapsed="false">
      <c r="A66" s="7" t="n">
        <v>4</v>
      </c>
      <c r="B66" s="7" t="s">
        <v>353</v>
      </c>
      <c r="C66" s="15" t="n">
        <f aca="false">IF($A66&lt;Annahmen!$C$54,0,IF($A66=Annahmen!$C$54,Annahmen!$C$55,C65*(1+(Annahmen!$C$56+F66)*(1-C65/Annahmen!$C$57))))</f>
        <v>577.30625</v>
      </c>
      <c r="D66" s="17" t="n">
        <f aca="false">D65+IF($A66&gt;=Annahmen!$C$161,Annahmen!$C$162,0)</f>
        <v>5</v>
      </c>
      <c r="E66" s="17" t="n">
        <f aca="false">E65+Annahmen!$C$66</f>
        <v>47</v>
      </c>
      <c r="F66" s="24" t="n">
        <f aca="false">MIN(Annahmen!$C$166,Annahmen!$C$165*D66/10)</f>
        <v>0.005</v>
      </c>
      <c r="G66" s="41" t="n">
        <f aca="false">MIN(Annahmen!$C$168,Annahmen!$C$167*D66/10)</f>
        <v>0.00025</v>
      </c>
      <c r="H66" s="17" t="n">
        <f aca="false">C66*(Annahmen!$C$58+G66)</f>
        <v>5.9173890625</v>
      </c>
      <c r="I66" s="17" t="n">
        <f aca="false">I65*(1-Annahmen!$C$59)+H66</f>
        <v>10.6173890625</v>
      </c>
      <c r="J66" s="17" t="n">
        <f aca="false">I66*(1-Annahmen!$C$60)</f>
        <v>6.3704334375</v>
      </c>
      <c r="K66" s="17" t="n">
        <f aca="false">I66*Annahmen!$C$60</f>
        <v>4.246955625</v>
      </c>
      <c r="L66" s="23" t="n">
        <f aca="false">J66*Annahmen!$C$78+K66*Annahmen!$C$79</f>
        <v>67.3177857859375</v>
      </c>
      <c r="M66" s="23" t="n">
        <f aca="false">IF($A66&gt;=Annahmen!$C$54,Annahmen!$C$63*((1-Annahmen!$C$64)*Annahmen!$B$71+Annahmen!$C$64*Annahmen!$B$72)+Annahmen!$C$65*Annahmen!$B$73,0)</f>
        <v>206.48</v>
      </c>
      <c r="N66" s="23" t="n">
        <f aca="false">(L66+M66)/(1+Annahmen!$B$8)</f>
        <v>230.082172929359</v>
      </c>
      <c r="O66" s="23" t="n">
        <f aca="false">L66/(1+Annahmen!$B$8)</f>
        <v>56.5695678873424</v>
      </c>
      <c r="P66" s="23" t="n">
        <f aca="false">N66*(Annahmen!$C$62*Annahmen!$B$74+(1-Annahmen!$C$62)*Annahmen!$B$75)+(I66*Annahmen!$C$61+I66*(1-Annahmen!$C$61)/12+IF($A66&gt;=Annahmen!$C$54,Annahmen!$C$63+Annahmen!$C$65,0))*(1-Annahmen!$C$62)*Annahmen!$B$76</f>
        <v>20.1348225674534</v>
      </c>
      <c r="Q66" s="24" t="n">
        <f aca="false">IF(D66=0,0,MIN(Annahmen!$B$170,Annahmen!$C$169*D66/(Annahmen!$C$169*D66+E66)))</f>
        <v>0.241935483870968</v>
      </c>
      <c r="R66" s="23" t="n">
        <f aca="false">O66*Q66*Annahmen!$B$177</f>
        <v>8.14328053862147</v>
      </c>
      <c r="S66" s="23" t="n">
        <f aca="false">Annahmen!$C$66*Annahmen!$B$42</f>
        <v>230.967701791488</v>
      </c>
      <c r="T66" s="23" t="n">
        <f aca="false">IF($A66&gt;=Annahmen!$C$54,Annahmen!$C$63*(1-Annahmen!$C$64)*Annahmen!$B$43+(Annahmen!$C$63*Annahmen!$C$64+Annahmen!$C$65)*Annahmen!$B$44,0)</f>
        <v>79.1744983854023</v>
      </c>
      <c r="U66" s="23" t="n">
        <f aca="false">C66*Annahmen!$B$77</f>
        <v>5.7730625</v>
      </c>
      <c r="V66" s="23" t="n">
        <f aca="false">SUMPRODUCT((((Annahmen!$C$145:$C$155="monatlich")*(Annahmen!$D$145:$D$155&lt;=$A66))+((Annahmen!$C$145:$C$155="einmalig")*(Annahmen!$D$145:$D$155=$A66)))*Annahmen!$B$145:$B$155*Annahmen!$E$145:$E$155)</f>
        <v>69.9850799606897</v>
      </c>
      <c r="W66" s="23" t="n">
        <f aca="false">IF($A66&gt;=Annahmen!$C$54,Annahmen!$C$134,0)</f>
        <v>500</v>
      </c>
      <c r="X66" s="35" t="n">
        <f aca="false">MAX(0,(I66-Annahmen!$B$138)/Annahmen!$B$139)</f>
        <v>0</v>
      </c>
      <c r="Y66" s="23" t="n">
        <f aca="false">X66*Annahmen!$B$137</f>
        <v>0</v>
      </c>
      <c r="Z66" s="23" t="n">
        <f aca="false">N66-P66-R66-S66-T66-U66-V66-W66-Y66</f>
        <v>-684.096272814296</v>
      </c>
      <c r="AA66" s="23" t="n">
        <f aca="false">AA65+Z66</f>
        <v>-2172.932771452</v>
      </c>
      <c r="AB66" s="17" t="n">
        <f aca="false">IF($A66&gt;=Annahmen!$C$161,Annahmen!$C$162,0)</f>
        <v>5</v>
      </c>
      <c r="AC66" s="17" t="n">
        <f aca="false">AB66*(1-Annahmen!$B$180)</f>
        <v>4</v>
      </c>
      <c r="AD66" s="23" t="n">
        <f aca="false">AC66*(Annahmen!$B$178+Annahmen!$B$179)</f>
        <v>1400</v>
      </c>
      <c r="AE66" s="23" t="n">
        <f aca="false">AB66*(Annahmen!$B$47+Annahmen!$B$163*Annahmen!$B$10)</f>
        <v>43.3587163568827</v>
      </c>
      <c r="AF66" s="23" t="n">
        <f aca="false">AD66-AE66</f>
        <v>1356.64128364312</v>
      </c>
      <c r="AG66" s="23" t="n">
        <f aca="false">Gesamt!J50-TÆLLA!Y50+Z66+AF66</f>
        <v>1832.82762444492</v>
      </c>
      <c r="AH66" s="23" t="n">
        <f aca="false">AH65+AG66</f>
        <v>-937.173066098441</v>
      </c>
      <c r="AI66" s="15" t="n">
        <f aca="false">IF(AG66&gt;0,1,0)</f>
        <v>1</v>
      </c>
      <c r="AJ66" s="15" t="n">
        <f aca="false">IF(AH66&gt;=0,1,0)</f>
        <v>0</v>
      </c>
      <c r="AK66" s="7" t="n">
        <f aca="false">IF(Z66&gt;0,1,0)</f>
        <v>0</v>
      </c>
      <c r="AL66" s="7" t="n">
        <f aca="false">IF(AA66&gt;=0,1,0)</f>
        <v>0</v>
      </c>
    </row>
    <row r="67" customFormat="false" ht="15" hidden="false" customHeight="false" outlineLevel="0" collapsed="false">
      <c r="A67" s="7" t="n">
        <v>5</v>
      </c>
      <c r="B67" s="7" t="s">
        <v>354</v>
      </c>
      <c r="C67" s="15" t="n">
        <f aca="false">IF($A67&lt;Annahmen!$C$54,0,IF($A67=Annahmen!$C$54,Annahmen!$C$55,C66*(1+(Annahmen!$C$56+F67)*(1-C66/Annahmen!$C$57))))</f>
        <v>669.408623994969</v>
      </c>
      <c r="D67" s="17" t="n">
        <f aca="false">D66+IF($A67&gt;=Annahmen!$C$161,Annahmen!$C$162,0)</f>
        <v>10</v>
      </c>
      <c r="E67" s="17" t="n">
        <f aca="false">E66+Annahmen!$C$66</f>
        <v>55</v>
      </c>
      <c r="F67" s="24" t="n">
        <f aca="false">MIN(Annahmen!$C$166,Annahmen!$C$165*D67/10)</f>
        <v>0.01</v>
      </c>
      <c r="G67" s="41" t="n">
        <f aca="false">MIN(Annahmen!$C$168,Annahmen!$C$167*D67/10)</f>
        <v>0.0005</v>
      </c>
      <c r="H67" s="17" t="n">
        <f aca="false">C67*(Annahmen!$C$58+G67)</f>
        <v>7.02879055194717</v>
      </c>
      <c r="I67" s="17" t="n">
        <f aca="false">I66*(1-Annahmen!$C$59)+H67</f>
        <v>17.0091362706972</v>
      </c>
      <c r="J67" s="17" t="n">
        <f aca="false">I67*(1-Annahmen!$C$60)</f>
        <v>10.2054817624183</v>
      </c>
      <c r="K67" s="17" t="n">
        <f aca="false">I67*Annahmen!$C$60</f>
        <v>6.80365450827887</v>
      </c>
      <c r="L67" s="23" t="n">
        <f aca="false">J67*Annahmen!$C$78+K67*Annahmen!$C$79</f>
        <v>107.84359366831</v>
      </c>
      <c r="M67" s="23" t="n">
        <f aca="false">IF($A67&gt;=Annahmen!$C$54,Annahmen!$C$63*((1-Annahmen!$C$64)*Annahmen!$B$71+Annahmen!$C$64*Annahmen!$B$72)+Annahmen!$C$65*Annahmen!$B$73,0)</f>
        <v>206.48</v>
      </c>
      <c r="N67" s="23" t="n">
        <f aca="false">(L67+M67)/(1+Annahmen!$B$8)</f>
        <v>264.137473670849</v>
      </c>
      <c r="O67" s="23" t="n">
        <f aca="false">L67/(1+Annahmen!$B$8)</f>
        <v>90.6248686288322</v>
      </c>
      <c r="P67" s="23" t="n">
        <f aca="false">N67*(Annahmen!$C$62*Annahmen!$B$74+(1-Annahmen!$C$62)*Annahmen!$B$75)+(I67*Annahmen!$C$61+I67*(1-Annahmen!$C$61)/12+IF($A67&gt;=Annahmen!$C$54,Annahmen!$C$63+Annahmen!$C$65,0))*(1-Annahmen!$C$62)*Annahmen!$B$76</f>
        <v>23.4503981992752</v>
      </c>
      <c r="Q67" s="24" t="n">
        <f aca="false">IF(D67=0,0,MIN(Annahmen!$B$170,Annahmen!$C$169*D67/(Annahmen!$C$169*D67+E67)))</f>
        <v>0.352941176470588</v>
      </c>
      <c r="R67" s="23" t="n">
        <f aca="false">O67*Q67*Annahmen!$B$177</f>
        <v>19.0312224120548</v>
      </c>
      <c r="S67" s="23" t="n">
        <f aca="false">Annahmen!$C$66*Annahmen!$B$42</f>
        <v>230.967701791488</v>
      </c>
      <c r="T67" s="23" t="n">
        <f aca="false">IF($A67&gt;=Annahmen!$C$54,Annahmen!$C$63*(1-Annahmen!$C$64)*Annahmen!$B$43+(Annahmen!$C$63*Annahmen!$C$64+Annahmen!$C$65)*Annahmen!$B$44,0)</f>
        <v>79.1744983854023</v>
      </c>
      <c r="U67" s="23" t="n">
        <f aca="false">C67*Annahmen!$B$77</f>
        <v>6.69408623994969</v>
      </c>
      <c r="V67" s="23" t="n">
        <f aca="false">SUMPRODUCT((((Annahmen!$C$145:$C$155="monatlich")*(Annahmen!$D$145:$D$155&lt;=$A67))+((Annahmen!$C$145:$C$155="einmalig")*(Annahmen!$D$145:$D$155=$A67)))*Annahmen!$B$145:$B$155*Annahmen!$E$145:$E$155)</f>
        <v>309.98507996069</v>
      </c>
      <c r="W67" s="23" t="n">
        <f aca="false">IF($A67&gt;=Annahmen!$C$54,Annahmen!$C$134,0)</f>
        <v>500</v>
      </c>
      <c r="X67" s="35" t="n">
        <f aca="false">MAX(0,(I67-Annahmen!$B$138)/Annahmen!$B$139)</f>
        <v>0</v>
      </c>
      <c r="Y67" s="23" t="n">
        <f aca="false">X67*Annahmen!$B$137</f>
        <v>0</v>
      </c>
      <c r="Z67" s="23" t="n">
        <f aca="false">N67-P67-R67-S67-T67-U67-V67-W67-Y67</f>
        <v>-905.165513318011</v>
      </c>
      <c r="AA67" s="23" t="n">
        <f aca="false">AA66+Z67</f>
        <v>-3078.09828477001</v>
      </c>
      <c r="AB67" s="17" t="n">
        <f aca="false">IF($A67&gt;=Annahmen!$C$161,Annahmen!$C$162,0)</f>
        <v>5</v>
      </c>
      <c r="AC67" s="17" t="n">
        <f aca="false">AB67*(1-Annahmen!$B$180)</f>
        <v>4</v>
      </c>
      <c r="AD67" s="23" t="n">
        <f aca="false">AC67*(Annahmen!$B$178+Annahmen!$B$179)</f>
        <v>1400</v>
      </c>
      <c r="AE67" s="23" t="n">
        <f aca="false">AB67*(Annahmen!$B$47+Annahmen!$B$163*Annahmen!$B$10)</f>
        <v>43.3587163568827</v>
      </c>
      <c r="AF67" s="23" t="n">
        <f aca="false">AD67-AE67</f>
        <v>1356.64128364312</v>
      </c>
      <c r="AG67" s="23" t="n">
        <f aca="false">Gesamt!J51-TÆLLA!Y51+Z67+AF67</f>
        <v>1061.32684188513</v>
      </c>
      <c r="AH67" s="23" t="n">
        <f aca="false">AH66+AG67</f>
        <v>124.153775786688</v>
      </c>
      <c r="AI67" s="15" t="n">
        <f aca="false">IF(AG67&gt;0,1,0)</f>
        <v>1</v>
      </c>
      <c r="AJ67" s="15" t="n">
        <f aca="false">IF(AH67&gt;=0,1,0)</f>
        <v>1</v>
      </c>
      <c r="AK67" s="7" t="n">
        <f aca="false">IF(Z67&gt;0,1,0)</f>
        <v>0</v>
      </c>
      <c r="AL67" s="7" t="n">
        <f aca="false">IF(AA67&gt;=0,1,0)</f>
        <v>0</v>
      </c>
    </row>
    <row r="68" customFormat="false" ht="15" hidden="false" customHeight="false" outlineLevel="0" collapsed="false">
      <c r="A68" s="7" t="n">
        <v>6</v>
      </c>
      <c r="B68" s="7" t="s">
        <v>355</v>
      </c>
      <c r="C68" s="15" t="n">
        <f aca="false">IF($A68&lt;Annahmen!$C$54,0,IF($A68=Annahmen!$C$54,Annahmen!$C$55,C67*(1+(Annahmen!$C$56+F68)*(1-C67/Annahmen!$C$57))))</f>
        <v>779.491357931789</v>
      </c>
      <c r="D68" s="17" t="n">
        <f aca="false">D67+IF($A68&gt;=Annahmen!$C$161,Annahmen!$C$162,0)</f>
        <v>15</v>
      </c>
      <c r="E68" s="17" t="n">
        <f aca="false">E67+Annahmen!$C$66</f>
        <v>63</v>
      </c>
      <c r="F68" s="24" t="n">
        <f aca="false">MIN(Annahmen!$C$166,Annahmen!$C$165*D68/10)</f>
        <v>0.015</v>
      </c>
      <c r="G68" s="41" t="n">
        <f aca="false">MIN(Annahmen!$C$168,Annahmen!$C$167*D68/10)</f>
        <v>0.00075</v>
      </c>
      <c r="H68" s="17" t="n">
        <f aca="false">C68*(Annahmen!$C$58+G68)</f>
        <v>8.37953209776673</v>
      </c>
      <c r="I68" s="17" t="n">
        <f aca="false">I67*(1-Annahmen!$C$59)+H68</f>
        <v>24.3681201922221</v>
      </c>
      <c r="J68" s="17" t="n">
        <f aca="false">I68*(1-Annahmen!$C$60)</f>
        <v>14.6208721153332</v>
      </c>
      <c r="K68" s="17" t="n">
        <f aca="false">I68*Annahmen!$C$60</f>
        <v>9.74724807688883</v>
      </c>
      <c r="L68" s="23" t="n">
        <f aca="false">J68*Annahmen!$C$78+K68*Annahmen!$C$79</f>
        <v>154.502004725419</v>
      </c>
      <c r="M68" s="23" t="n">
        <f aca="false">IF($A68&gt;=Annahmen!$C$54,Annahmen!$C$63*((1-Annahmen!$C$64)*Annahmen!$B$71+Annahmen!$C$64*Annahmen!$B$72)+Annahmen!$C$65*Annahmen!$B$73,0)</f>
        <v>206.48</v>
      </c>
      <c r="N68" s="23" t="n">
        <f aca="false">(L68+M68)/(1+Annahmen!$B$8)</f>
        <v>303.346222458335</v>
      </c>
      <c r="O68" s="23" t="n">
        <f aca="false">L68/(1+Annahmen!$B$8)</f>
        <v>129.833617416318</v>
      </c>
      <c r="P68" s="23" t="n">
        <f aca="false">N68*(Annahmen!$C$62*Annahmen!$B$74+(1-Annahmen!$C$62)*Annahmen!$B$75)+(I68*Annahmen!$C$61+I68*(1-Annahmen!$C$61)/12+IF($A68&gt;=Annahmen!$C$54,Annahmen!$C$63+Annahmen!$C$65,0))*(1-Annahmen!$C$62)*Annahmen!$B$76</f>
        <v>27.2677062013635</v>
      </c>
      <c r="Q68" s="24" t="n">
        <f aca="false">IF(D68=0,0,MIN(Annahmen!$B$170,Annahmen!$C$169*D68/(Annahmen!$C$169*D68+E68)))</f>
        <v>0.416666666666667</v>
      </c>
      <c r="R68" s="23" t="n">
        <f aca="false">O68*Q68*Annahmen!$B$177</f>
        <v>32.1879176511289</v>
      </c>
      <c r="S68" s="23" t="n">
        <f aca="false">Annahmen!$C$66*Annahmen!$B$42</f>
        <v>230.967701791488</v>
      </c>
      <c r="T68" s="23" t="n">
        <f aca="false">IF($A68&gt;=Annahmen!$C$54,Annahmen!$C$63*(1-Annahmen!$C$64)*Annahmen!$B$43+(Annahmen!$C$63*Annahmen!$C$64+Annahmen!$C$65)*Annahmen!$B$44,0)</f>
        <v>79.1744983854023</v>
      </c>
      <c r="U68" s="23" t="n">
        <f aca="false">C68*Annahmen!$B$77</f>
        <v>7.79491357931788</v>
      </c>
      <c r="V68" s="23" t="n">
        <f aca="false">SUMPRODUCT((((Annahmen!$C$145:$C$155="monatlich")*(Annahmen!$D$145:$D$155&lt;=$A68))+((Annahmen!$C$145:$C$155="einmalig")*(Annahmen!$D$145:$D$155=$A68)))*Annahmen!$B$145:$B$155*Annahmen!$E$145:$E$155)</f>
        <v>69.9850799606897</v>
      </c>
      <c r="W68" s="23" t="n">
        <f aca="false">IF($A68&gt;=Annahmen!$C$54,Annahmen!$C$134,0)</f>
        <v>500</v>
      </c>
      <c r="X68" s="35" t="n">
        <f aca="false">MAX(0,(I68-Annahmen!$B$138)/Annahmen!$B$139)</f>
        <v>0</v>
      </c>
      <c r="Y68" s="23" t="n">
        <f aca="false">X68*Annahmen!$B$137</f>
        <v>0</v>
      </c>
      <c r="Z68" s="23" t="n">
        <f aca="false">N68-P68-R68-S68-T68-U68-V68-W68-Y68</f>
        <v>-644.031595111055</v>
      </c>
      <c r="AA68" s="23" t="n">
        <f aca="false">AA67+Z68</f>
        <v>-3722.12987988107</v>
      </c>
      <c r="AB68" s="17" t="n">
        <f aca="false">IF($A68&gt;=Annahmen!$C$161,Annahmen!$C$162,0)</f>
        <v>5</v>
      </c>
      <c r="AC68" s="17" t="n">
        <f aca="false">AB68*(1-Annahmen!$B$180)</f>
        <v>4</v>
      </c>
      <c r="AD68" s="23" t="n">
        <f aca="false">AC68*(Annahmen!$B$178+Annahmen!$B$179)</f>
        <v>1400</v>
      </c>
      <c r="AE68" s="23" t="n">
        <f aca="false">AB68*(Annahmen!$B$47+Annahmen!$B$163*Annahmen!$B$10)</f>
        <v>43.3587163568827</v>
      </c>
      <c r="AF68" s="23" t="n">
        <f aca="false">AD68-AE68</f>
        <v>1356.64128364312</v>
      </c>
      <c r="AG68" s="23" t="n">
        <f aca="false">Gesamt!J52-TÆLLA!Y52+Z68+AF68</f>
        <v>1892.02921803601</v>
      </c>
      <c r="AH68" s="23" t="n">
        <f aca="false">AH67+AG68</f>
        <v>2016.1829938227</v>
      </c>
      <c r="AI68" s="15" t="n">
        <f aca="false">IF(AG68&gt;0,1,0)</f>
        <v>1</v>
      </c>
      <c r="AJ68" s="15" t="n">
        <f aca="false">IF(AH68&gt;=0,1,0)</f>
        <v>1</v>
      </c>
      <c r="AK68" s="7" t="n">
        <f aca="false">IF(Z68&gt;0,1,0)</f>
        <v>0</v>
      </c>
      <c r="AL68" s="7" t="n">
        <f aca="false">IF(AA68&gt;=0,1,0)</f>
        <v>0</v>
      </c>
    </row>
    <row r="69" customFormat="false" ht="15" hidden="false" customHeight="false" outlineLevel="0" collapsed="false">
      <c r="A69" s="7" t="n">
        <v>7</v>
      </c>
      <c r="B69" s="7" t="s">
        <v>356</v>
      </c>
      <c r="C69" s="15" t="n">
        <f aca="false">IF($A69&lt;Annahmen!$C$54,0,IF($A69=Annahmen!$C$54,Annahmen!$C$55,C68*(1+(Annahmen!$C$56+F69)*(1-C68/Annahmen!$C$57))))</f>
        <v>911.488423019666</v>
      </c>
      <c r="D69" s="17" t="n">
        <f aca="false">D68+IF($A69&gt;=Annahmen!$C$161,Annahmen!$C$162,0)</f>
        <v>20</v>
      </c>
      <c r="E69" s="17" t="n">
        <f aca="false">E68+Annahmen!$C$66</f>
        <v>71</v>
      </c>
      <c r="F69" s="24" t="n">
        <f aca="false">MIN(Annahmen!$C$166,Annahmen!$C$165*D69/10)</f>
        <v>0.02</v>
      </c>
      <c r="G69" s="41" t="n">
        <f aca="false">MIN(Annahmen!$C$168,Annahmen!$C$167*D69/10)</f>
        <v>0.001</v>
      </c>
      <c r="H69" s="17" t="n">
        <f aca="false">C69*(Annahmen!$C$58+G69)</f>
        <v>10.0263726532163</v>
      </c>
      <c r="I69" s="17" t="n">
        <f aca="false">I68*(1-Annahmen!$C$59)+H69</f>
        <v>32.9324056339051</v>
      </c>
      <c r="J69" s="17" t="n">
        <f aca="false">I69*(1-Annahmen!$C$60)</f>
        <v>19.759443380343</v>
      </c>
      <c r="K69" s="17" t="n">
        <f aca="false">I69*Annahmen!$C$60</f>
        <v>13.172962253562</v>
      </c>
      <c r="L69" s="23" t="n">
        <f aca="false">J69*Annahmen!$C$78+K69*Annahmen!$C$79</f>
        <v>208.802429187503</v>
      </c>
      <c r="M69" s="23" t="n">
        <f aca="false">IF($A69&gt;=Annahmen!$C$54,Annahmen!$C$63*((1-Annahmen!$C$64)*Annahmen!$B$71+Annahmen!$C$64*Annahmen!$B$72)+Annahmen!$C$65*Annahmen!$B$73,0)</f>
        <v>206.48</v>
      </c>
      <c r="N69" s="23" t="n">
        <f aca="false">(L69+M69)/(1+Annahmen!$B$8)</f>
        <v>348.976831250002</v>
      </c>
      <c r="O69" s="23" t="n">
        <f aca="false">L69/(1+Annahmen!$B$8)</f>
        <v>175.464226207986</v>
      </c>
      <c r="P69" s="23" t="n">
        <f aca="false">N69*(Annahmen!$C$62*Annahmen!$B$74+(1-Annahmen!$C$62)*Annahmen!$B$75)+(I69*Annahmen!$C$61+I69*(1-Annahmen!$C$61)/12+IF($A69&gt;=Annahmen!$C$54,Annahmen!$C$63+Annahmen!$C$65,0))*(1-Annahmen!$C$62)*Annahmen!$B$76</f>
        <v>31.710237357476</v>
      </c>
      <c r="Q69" s="24" t="n">
        <f aca="false">IF(D69=0,0,MIN(Annahmen!$B$170,Annahmen!$C$169*D69/(Annahmen!$C$169*D69+E69)))</f>
        <v>0.458015267175573</v>
      </c>
      <c r="R69" s="23" t="n">
        <f aca="false">O69*Q69*Annahmen!$B$177</f>
        <v>47.8173501956113</v>
      </c>
      <c r="S69" s="23" t="n">
        <f aca="false">Annahmen!$C$66*Annahmen!$B$42</f>
        <v>230.967701791488</v>
      </c>
      <c r="T69" s="23" t="n">
        <f aca="false">IF($A69&gt;=Annahmen!$C$54,Annahmen!$C$63*(1-Annahmen!$C$64)*Annahmen!$B$43+(Annahmen!$C$63*Annahmen!$C$64+Annahmen!$C$65)*Annahmen!$B$44,0)</f>
        <v>79.1744983854023</v>
      </c>
      <c r="U69" s="23" t="n">
        <f aca="false">C69*Annahmen!$B$77</f>
        <v>9.11488423019666</v>
      </c>
      <c r="V69" s="23" t="n">
        <f aca="false">SUMPRODUCT((((Annahmen!$C$145:$C$155="monatlich")*(Annahmen!$D$145:$D$155&lt;=$A69))+((Annahmen!$C$145:$C$155="einmalig")*(Annahmen!$D$145:$D$155=$A69)))*Annahmen!$B$145:$B$155*Annahmen!$E$145:$E$155)</f>
        <v>69.9850799606897</v>
      </c>
      <c r="W69" s="23" t="n">
        <f aca="false">IF($A69&gt;=Annahmen!$C$54,Annahmen!$C$134,0)</f>
        <v>500</v>
      </c>
      <c r="X69" s="35" t="n">
        <f aca="false">MAX(0,(I69-Annahmen!$B$138)/Annahmen!$B$139)</f>
        <v>0</v>
      </c>
      <c r="Y69" s="23" t="n">
        <f aca="false">X69*Annahmen!$B$137</f>
        <v>0</v>
      </c>
      <c r="Z69" s="23" t="n">
        <f aca="false">N69-P69-R69-S69-T69-U69-V69-W69-Y69</f>
        <v>-619.792920670862</v>
      </c>
      <c r="AA69" s="23" t="n">
        <f aca="false">AA68+Z69</f>
        <v>-4341.92280055193</v>
      </c>
      <c r="AB69" s="17" t="n">
        <f aca="false">IF($A69&gt;=Annahmen!$C$161,Annahmen!$C$162,0)</f>
        <v>5</v>
      </c>
      <c r="AC69" s="17" t="n">
        <f aca="false">AB69*(1-Annahmen!$B$180)</f>
        <v>4</v>
      </c>
      <c r="AD69" s="23" t="n">
        <f aca="false">AC69*(Annahmen!$B$178+Annahmen!$B$179)</f>
        <v>1400</v>
      </c>
      <c r="AE69" s="23" t="n">
        <f aca="false">AB69*(Annahmen!$B$47+Annahmen!$B$163*Annahmen!$B$10)</f>
        <v>43.3587163568827</v>
      </c>
      <c r="AF69" s="23" t="n">
        <f aca="false">AD69-AE69</f>
        <v>1356.64128364312</v>
      </c>
      <c r="AG69" s="23" t="n">
        <f aca="false">Gesamt!J53-TÆLLA!Y53+Z69+AF69</f>
        <v>2572.2559098402</v>
      </c>
      <c r="AH69" s="23" t="n">
        <f aca="false">AH68+AG69</f>
        <v>4588.4389036629</v>
      </c>
      <c r="AI69" s="15" t="n">
        <f aca="false">IF(AG69&gt;0,1,0)</f>
        <v>1</v>
      </c>
      <c r="AJ69" s="15" t="n">
        <f aca="false">IF(AH69&gt;=0,1,0)</f>
        <v>1</v>
      </c>
      <c r="AK69" s="7" t="n">
        <f aca="false">IF(Z69&gt;0,1,0)</f>
        <v>0</v>
      </c>
      <c r="AL69" s="7" t="n">
        <f aca="false">IF(AA69&gt;=0,1,0)</f>
        <v>0</v>
      </c>
    </row>
    <row r="70" customFormat="false" ht="15" hidden="false" customHeight="false" outlineLevel="0" collapsed="false">
      <c r="A70" s="7" t="n">
        <v>8</v>
      </c>
      <c r="B70" s="7" t="s">
        <v>357</v>
      </c>
      <c r="C70" s="15" t="n">
        <f aca="false">IF($A70&lt;Annahmen!$C$54,0,IF($A70=Annahmen!$C$54,Annahmen!$C$55,C69*(1+(Annahmen!$C$56+F70)*(1-C69/Annahmen!$C$57))))</f>
        <v>1070.27193729597</v>
      </c>
      <c r="D70" s="17" t="n">
        <f aca="false">D69+IF($A70&gt;=Annahmen!$C$161,Annahmen!$C$162,0)</f>
        <v>25</v>
      </c>
      <c r="E70" s="17" t="n">
        <f aca="false">E69+Annahmen!$C$66</f>
        <v>79</v>
      </c>
      <c r="F70" s="24" t="n">
        <f aca="false">MIN(Annahmen!$C$166,Annahmen!$C$165*D70/10)</f>
        <v>0.025</v>
      </c>
      <c r="G70" s="41" t="n">
        <f aca="false">MIN(Annahmen!$C$168,Annahmen!$C$167*D70/10)</f>
        <v>0.00125</v>
      </c>
      <c r="H70" s="17" t="n">
        <f aca="false">C70*(Annahmen!$C$58+G70)</f>
        <v>12.0405592945797</v>
      </c>
      <c r="I70" s="17" t="n">
        <f aca="false">I69*(1-Annahmen!$C$59)+H70</f>
        <v>42.9970205904504</v>
      </c>
      <c r="J70" s="17" t="n">
        <f aca="false">I70*(1-Annahmen!$C$60)</f>
        <v>25.7982123542703</v>
      </c>
      <c r="K70" s="17" t="n">
        <f aca="false">I70*Annahmen!$C$60</f>
        <v>17.1988082361802</v>
      </c>
      <c r="L70" s="23" t="n">
        <f aca="false">J70*Annahmen!$C$78+K70*Annahmen!$C$79</f>
        <v>272.615442883652</v>
      </c>
      <c r="M70" s="23" t="n">
        <f aca="false">IF($A70&gt;=Annahmen!$C$54,Annahmen!$C$63*((1-Annahmen!$C$64)*Annahmen!$B$71+Annahmen!$C$64*Annahmen!$B$72)+Annahmen!$C$65*Annahmen!$B$73,0)</f>
        <v>206.48</v>
      </c>
      <c r="N70" s="23" t="n">
        <f aca="false">(L70+M70)/(1+Annahmen!$B$8)</f>
        <v>402.601212507271</v>
      </c>
      <c r="O70" s="23" t="n">
        <f aca="false">L70/(1+Annahmen!$B$8)</f>
        <v>229.088607465254</v>
      </c>
      <c r="P70" s="23" t="n">
        <f aca="false">N70*(Annahmen!$C$62*Annahmen!$B$74+(1-Annahmen!$C$62)*Annahmen!$B$75)+(I70*Annahmen!$C$61+I70*(1-Annahmen!$C$61)/12+IF($A70&gt;=Annahmen!$C$54,Annahmen!$C$63+Annahmen!$C$65,0))*(1-Annahmen!$C$62)*Annahmen!$B$76</f>
        <v>36.9310308285939</v>
      </c>
      <c r="Q70" s="24" t="n">
        <f aca="false">IF(D70=0,0,MIN(Annahmen!$B$170,Annahmen!$C$169*D70/(Annahmen!$C$169*D70+E70)))</f>
        <v>0.487012987012987</v>
      </c>
      <c r="R70" s="23" t="n">
        <f aca="false">O70*Q70*Annahmen!$B$177</f>
        <v>66.383630572318</v>
      </c>
      <c r="S70" s="23" t="n">
        <f aca="false">Annahmen!$C$66*Annahmen!$B$42</f>
        <v>230.967701791488</v>
      </c>
      <c r="T70" s="23" t="n">
        <f aca="false">IF($A70&gt;=Annahmen!$C$54,Annahmen!$C$63*(1-Annahmen!$C$64)*Annahmen!$B$43+(Annahmen!$C$63*Annahmen!$C$64+Annahmen!$C$65)*Annahmen!$B$44,0)</f>
        <v>79.1744983854023</v>
      </c>
      <c r="U70" s="23" t="n">
        <f aca="false">C70*Annahmen!$B$77</f>
        <v>10.7027193729597</v>
      </c>
      <c r="V70" s="23" t="n">
        <f aca="false">SUMPRODUCT((((Annahmen!$C$145:$C$155="monatlich")*(Annahmen!$D$145:$D$155&lt;=$A70))+((Annahmen!$C$145:$C$155="einmalig")*(Annahmen!$D$145:$D$155=$A70)))*Annahmen!$B$145:$B$155*Annahmen!$E$145:$E$155)</f>
        <v>69.9850799606897</v>
      </c>
      <c r="W70" s="23" t="n">
        <f aca="false">IF($A70&gt;=Annahmen!$C$54,Annahmen!$C$134,0)</f>
        <v>500</v>
      </c>
      <c r="X70" s="35" t="n">
        <f aca="false">MAX(0,(I70-Annahmen!$B$138)/Annahmen!$B$139)</f>
        <v>0</v>
      </c>
      <c r="Y70" s="23" t="n">
        <f aca="false">X70*Annahmen!$B$137</f>
        <v>0</v>
      </c>
      <c r="Z70" s="23" t="n">
        <f aca="false">N70-P70-R70-S70-T70-U70-V70-W70-Y70</f>
        <v>-591.543448404181</v>
      </c>
      <c r="AA70" s="23" t="n">
        <f aca="false">AA69+Z70</f>
        <v>-4933.46624895611</v>
      </c>
      <c r="AB70" s="17" t="n">
        <f aca="false">IF($A70&gt;=Annahmen!$C$161,Annahmen!$C$162,0)</f>
        <v>5</v>
      </c>
      <c r="AC70" s="17" t="n">
        <f aca="false">AB70*(1-Annahmen!$B$180)</f>
        <v>4</v>
      </c>
      <c r="AD70" s="23" t="n">
        <f aca="false">AC70*(Annahmen!$B$178+Annahmen!$B$179)</f>
        <v>1400</v>
      </c>
      <c r="AE70" s="23" t="n">
        <f aca="false">AB70*(Annahmen!$B$47+Annahmen!$B$163*Annahmen!$B$10)</f>
        <v>43.3587163568827</v>
      </c>
      <c r="AF70" s="23" t="n">
        <f aca="false">AD70-AE70</f>
        <v>1356.64128364312</v>
      </c>
      <c r="AG70" s="23" t="n">
        <f aca="false">Gesamt!J54-TÆLLA!Y54+Z70+AF70</f>
        <v>2610.07384005081</v>
      </c>
      <c r="AH70" s="23" t="n">
        <f aca="false">AH69+AG70</f>
        <v>7198.51274371371</v>
      </c>
      <c r="AI70" s="15" t="n">
        <f aca="false">IF(AG70&gt;0,1,0)</f>
        <v>1</v>
      </c>
      <c r="AJ70" s="15" t="n">
        <f aca="false">IF(AH70&gt;=0,1,0)</f>
        <v>1</v>
      </c>
      <c r="AK70" s="7" t="n">
        <f aca="false">IF(Z70&gt;0,1,0)</f>
        <v>0</v>
      </c>
      <c r="AL70" s="7" t="n">
        <f aca="false">IF(AA70&gt;=0,1,0)</f>
        <v>0</v>
      </c>
    </row>
    <row r="71" customFormat="false" ht="15" hidden="false" customHeight="false" outlineLevel="0" collapsed="false">
      <c r="A71" s="7" t="n">
        <v>9</v>
      </c>
      <c r="B71" s="7" t="s">
        <v>358</v>
      </c>
      <c r="C71" s="15" t="n">
        <f aca="false">IF($A71&lt;Annahmen!$C$54,0,IF($A71=Annahmen!$C$54,Annahmen!$C$55,C70*(1+(Annahmen!$C$56+F71)*(1-C70/Annahmen!$C$57))))</f>
        <v>1261.88995219146</v>
      </c>
      <c r="D71" s="17" t="n">
        <f aca="false">D70+IF($A71&gt;=Annahmen!$C$161,Annahmen!$C$162,0)</f>
        <v>30</v>
      </c>
      <c r="E71" s="17" t="n">
        <f aca="false">E70+Annahmen!$C$66</f>
        <v>87</v>
      </c>
      <c r="F71" s="24" t="n">
        <f aca="false">MIN(Annahmen!$C$166,Annahmen!$C$165*D71/10)</f>
        <v>0.03</v>
      </c>
      <c r="G71" s="41" t="n">
        <f aca="false">MIN(Annahmen!$C$168,Annahmen!$C$167*D71/10)</f>
        <v>0.0015</v>
      </c>
      <c r="H71" s="17" t="n">
        <f aca="false">C71*(Annahmen!$C$58+G71)</f>
        <v>14.5117344502018</v>
      </c>
      <c r="I71" s="17" t="n">
        <f aca="false">I70*(1-Annahmen!$C$59)+H71</f>
        <v>54.9289338052252</v>
      </c>
      <c r="J71" s="17" t="n">
        <f aca="false">I71*(1-Annahmen!$C$60)</f>
        <v>32.9573602831351</v>
      </c>
      <c r="K71" s="17" t="n">
        <f aca="false">I71*Annahmen!$C$60</f>
        <v>21.9715735220901</v>
      </c>
      <c r="L71" s="23" t="n">
        <f aca="false">J71*Annahmen!$C$78+K71*Annahmen!$C$79</f>
        <v>348.267749969729</v>
      </c>
      <c r="M71" s="23" t="n">
        <f aca="false">IF($A71&gt;=Annahmen!$C$54,Annahmen!$C$63*((1-Annahmen!$C$64)*Annahmen!$B$71+Annahmen!$C$64*Annahmen!$B$72)+Annahmen!$C$65*Annahmen!$B$73,0)</f>
        <v>206.48</v>
      </c>
      <c r="N71" s="23" t="n">
        <f aca="false">(L71+M71)/(1+Annahmen!$B$8)</f>
        <v>466.174579806495</v>
      </c>
      <c r="O71" s="23" t="n">
        <f aca="false">L71/(1+Annahmen!$B$8)</f>
        <v>292.661974764478</v>
      </c>
      <c r="P71" s="23" t="n">
        <f aca="false">N71*(Annahmen!$C$62*Annahmen!$B$74+(1-Annahmen!$C$62)*Annahmen!$B$75)+(I71*Annahmen!$C$61+I71*(1-Annahmen!$C$61)/12+IF($A71&gt;=Annahmen!$C$54,Annahmen!$C$63+Annahmen!$C$65,0))*(1-Annahmen!$C$62)*Annahmen!$B$76</f>
        <v>43.1204434269495</v>
      </c>
      <c r="Q71" s="24" t="n">
        <f aca="false">IF(D71=0,0,MIN(Annahmen!$B$170,Annahmen!$C$169*D71/(Annahmen!$C$169*D71+E71)))</f>
        <v>0.508474576271186</v>
      </c>
      <c r="R71" s="23" t="n">
        <f aca="false">O71*Q71*Annahmen!$B$177</f>
        <v>88.5426482973888</v>
      </c>
      <c r="S71" s="23" t="n">
        <f aca="false">Annahmen!$C$66*Annahmen!$B$42</f>
        <v>230.967701791488</v>
      </c>
      <c r="T71" s="23" t="n">
        <f aca="false">IF($A71&gt;=Annahmen!$C$54,Annahmen!$C$63*(1-Annahmen!$C$64)*Annahmen!$B$43+(Annahmen!$C$63*Annahmen!$C$64+Annahmen!$C$65)*Annahmen!$B$44,0)</f>
        <v>79.1744983854023</v>
      </c>
      <c r="U71" s="23" t="n">
        <f aca="false">C71*Annahmen!$B$77</f>
        <v>12.6188995219146</v>
      </c>
      <c r="V71" s="23" t="n">
        <f aca="false">SUMPRODUCT((((Annahmen!$C$145:$C$155="monatlich")*(Annahmen!$D$145:$D$155&lt;=$A71))+((Annahmen!$C$145:$C$155="einmalig")*(Annahmen!$D$145:$D$155=$A71)))*Annahmen!$B$145:$B$155*Annahmen!$E$145:$E$155)</f>
        <v>69.9850799606897</v>
      </c>
      <c r="W71" s="23" t="n">
        <f aca="false">IF($A71&gt;=Annahmen!$C$54,Annahmen!$C$134,0)</f>
        <v>500</v>
      </c>
      <c r="X71" s="35" t="n">
        <f aca="false">MAX(0,(I71-Annahmen!$B$138)/Annahmen!$B$139)</f>
        <v>0</v>
      </c>
      <c r="Y71" s="23" t="n">
        <f aca="false">X71*Annahmen!$B$137</f>
        <v>0</v>
      </c>
      <c r="Z71" s="23" t="n">
        <f aca="false">N71-P71-R71-S71-T71-U71-V71-W71-Y71</f>
        <v>-558.234691577338</v>
      </c>
      <c r="AA71" s="23" t="n">
        <f aca="false">AA70+Z71</f>
        <v>-5491.70094053345</v>
      </c>
      <c r="AB71" s="17" t="n">
        <f aca="false">IF($A71&gt;=Annahmen!$C$161,Annahmen!$C$162,0)</f>
        <v>5</v>
      </c>
      <c r="AC71" s="17" t="n">
        <f aca="false">AB71*(1-Annahmen!$B$180)</f>
        <v>4</v>
      </c>
      <c r="AD71" s="23" t="n">
        <f aca="false">AC71*(Annahmen!$B$178+Annahmen!$B$179)</f>
        <v>1400</v>
      </c>
      <c r="AE71" s="23" t="n">
        <f aca="false">AB71*(Annahmen!$B$47+Annahmen!$B$163*Annahmen!$B$10)</f>
        <v>43.3587163568827</v>
      </c>
      <c r="AF71" s="23" t="n">
        <f aca="false">AD71-AE71</f>
        <v>1356.64128364312</v>
      </c>
      <c r="AG71" s="23" t="n">
        <f aca="false">Gesamt!J55-TÆLLA!Y55+Z71+AF71</f>
        <v>2652.95105482158</v>
      </c>
      <c r="AH71" s="23" t="n">
        <f aca="false">AH70+AG71</f>
        <v>9851.46379853528</v>
      </c>
      <c r="AI71" s="15" t="n">
        <f aca="false">IF(AG71&gt;0,1,0)</f>
        <v>1</v>
      </c>
      <c r="AJ71" s="15" t="n">
        <f aca="false">IF(AH71&gt;=0,1,0)</f>
        <v>1</v>
      </c>
      <c r="AK71" s="7" t="n">
        <f aca="false">IF(Z71&gt;0,1,0)</f>
        <v>0</v>
      </c>
      <c r="AL71" s="7" t="n">
        <f aca="false">IF(AA71&gt;=0,1,0)</f>
        <v>0</v>
      </c>
    </row>
    <row r="72" customFormat="false" ht="15" hidden="false" customHeight="false" outlineLevel="0" collapsed="false">
      <c r="A72" s="7" t="n">
        <v>10</v>
      </c>
      <c r="B72" s="7" t="s">
        <v>359</v>
      </c>
      <c r="C72" s="15" t="n">
        <f aca="false">IF($A72&lt;Annahmen!$C$54,0,IF($A72=Annahmen!$C$54,Annahmen!$C$55,C71*(1+(Annahmen!$C$56+F72)*(1-C71/Annahmen!$C$57))))</f>
        <v>1493.86665456429</v>
      </c>
      <c r="D72" s="17" t="n">
        <f aca="false">D71+IF($A72&gt;=Annahmen!$C$161,Annahmen!$C$162,0)</f>
        <v>35</v>
      </c>
      <c r="E72" s="17" t="n">
        <f aca="false">E71+Annahmen!$C$66</f>
        <v>95</v>
      </c>
      <c r="F72" s="24" t="n">
        <f aca="false">MIN(Annahmen!$C$166,Annahmen!$C$165*D72/10)</f>
        <v>0.035</v>
      </c>
      <c r="G72" s="41" t="n">
        <f aca="false">MIN(Annahmen!$C$168,Annahmen!$C$167*D72/10)</f>
        <v>0.00175</v>
      </c>
      <c r="H72" s="17" t="n">
        <f aca="false">C72*(Annahmen!$C$58+G72)</f>
        <v>17.5529331911305</v>
      </c>
      <c r="I72" s="17" t="n">
        <f aca="false">I71*(1-Annahmen!$C$59)+H72</f>
        <v>69.1861309680421</v>
      </c>
      <c r="J72" s="17" t="n">
        <f aca="false">I72*(1-Annahmen!$C$60)</f>
        <v>41.5116785808253</v>
      </c>
      <c r="K72" s="17" t="n">
        <f aca="false">I72*Annahmen!$C$60</f>
        <v>27.6744523872169</v>
      </c>
      <c r="L72" s="23" t="n">
        <f aca="false">J72*Annahmen!$C$78+K72*Annahmen!$C$79</f>
        <v>438.663132381043</v>
      </c>
      <c r="M72" s="23" t="n">
        <f aca="false">IF($A72&gt;=Annahmen!$C$54,Annahmen!$C$63*((1-Annahmen!$C$64)*Annahmen!$B$71+Annahmen!$C$64*Annahmen!$B$72)+Annahmen!$C$65*Annahmen!$B$73,0)</f>
        <v>206.48</v>
      </c>
      <c r="N72" s="23" t="n">
        <f aca="false">(L72+M72)/(1+Annahmen!$B$8)</f>
        <v>542.13708603449</v>
      </c>
      <c r="O72" s="23" t="n">
        <f aca="false">L72/(1+Annahmen!$B$8)</f>
        <v>368.624480992473</v>
      </c>
      <c r="P72" s="23" t="n">
        <f aca="false">N72*(Annahmen!$C$62*Annahmen!$B$74+(1-Annahmen!$C$62)*Annahmen!$B$75)+(I72*Annahmen!$C$61+I72*(1-Annahmen!$C$61)/12+IF($A72&gt;=Annahmen!$C$54,Annahmen!$C$63+Annahmen!$C$65,0))*(1-Annahmen!$C$62)*Annahmen!$B$76</f>
        <v>50.5160449661488</v>
      </c>
      <c r="Q72" s="24" t="n">
        <f aca="false">IF(D72=0,0,MIN(Annahmen!$B$170,Annahmen!$C$169*D72/(Annahmen!$C$169*D72+E72)))</f>
        <v>0.525</v>
      </c>
      <c r="R72" s="23" t="n">
        <f aca="false">O72*Q72*Annahmen!$B$177</f>
        <v>115.149072250024</v>
      </c>
      <c r="S72" s="23" t="n">
        <f aca="false">Annahmen!$C$66*Annahmen!$B$42</f>
        <v>230.967701791488</v>
      </c>
      <c r="T72" s="23" t="n">
        <f aca="false">IF($A72&gt;=Annahmen!$C$54,Annahmen!$C$63*(1-Annahmen!$C$64)*Annahmen!$B$43+(Annahmen!$C$63*Annahmen!$C$64+Annahmen!$C$65)*Annahmen!$B$44,0)</f>
        <v>79.1744983854023</v>
      </c>
      <c r="U72" s="23" t="n">
        <f aca="false">C72*Annahmen!$B$77</f>
        <v>14.9386665456429</v>
      </c>
      <c r="V72" s="23" t="n">
        <f aca="false">SUMPRODUCT((((Annahmen!$C$145:$C$155="monatlich")*(Annahmen!$D$145:$D$155&lt;=$A72))+((Annahmen!$C$145:$C$155="einmalig")*(Annahmen!$D$145:$D$155=$A72)))*Annahmen!$B$145:$B$155*Annahmen!$E$145:$E$155)</f>
        <v>69.9850799606897</v>
      </c>
      <c r="W72" s="23" t="n">
        <f aca="false">IF($A72&gt;=Annahmen!$C$54,Annahmen!$C$134,0)</f>
        <v>500</v>
      </c>
      <c r="X72" s="35" t="n">
        <f aca="false">MAX(0,(I72-Annahmen!$B$138)/Annahmen!$B$139)</f>
        <v>0</v>
      </c>
      <c r="Y72" s="23" t="n">
        <f aca="false">X72*Annahmen!$B$137</f>
        <v>0</v>
      </c>
      <c r="Z72" s="23" t="n">
        <f aca="false">N72-P72-R72-S72-T72-U72-V72-W72-Y72</f>
        <v>-518.593977864906</v>
      </c>
      <c r="AA72" s="23" t="n">
        <f aca="false">AA71+Z72</f>
        <v>-6010.29491839835</v>
      </c>
      <c r="AB72" s="17" t="n">
        <f aca="false">IF($A72&gt;=Annahmen!$C$161,Annahmen!$C$162,0)</f>
        <v>5</v>
      </c>
      <c r="AC72" s="17" t="n">
        <f aca="false">AB72*(1-Annahmen!$B$180)</f>
        <v>4</v>
      </c>
      <c r="AD72" s="23" t="n">
        <f aca="false">AC72*(Annahmen!$B$178+Annahmen!$B$179)</f>
        <v>1400</v>
      </c>
      <c r="AE72" s="23" t="n">
        <f aca="false">AB72*(Annahmen!$B$47+Annahmen!$B$163*Annahmen!$B$10)</f>
        <v>43.3587163568827</v>
      </c>
      <c r="AF72" s="23" t="n">
        <f aca="false">AD72-AE72</f>
        <v>1356.64128364312</v>
      </c>
      <c r="AG72" s="23" t="n">
        <f aca="false">Gesamt!J56-TÆLLA!Y56+Z72+AF72</f>
        <v>2892.82435484225</v>
      </c>
      <c r="AH72" s="23" t="n">
        <f aca="false">AH71+AG72</f>
        <v>12744.2881533775</v>
      </c>
      <c r="AI72" s="15" t="n">
        <f aca="false">IF(AG72&gt;0,1,0)</f>
        <v>1</v>
      </c>
      <c r="AJ72" s="15" t="n">
        <f aca="false">IF(AH72&gt;=0,1,0)</f>
        <v>1</v>
      </c>
      <c r="AK72" s="7" t="n">
        <f aca="false">IF(Z72&gt;0,1,0)</f>
        <v>0</v>
      </c>
      <c r="AL72" s="7" t="n">
        <f aca="false">IF(AA72&gt;=0,1,0)</f>
        <v>0</v>
      </c>
    </row>
    <row r="73" customFormat="false" ht="15" hidden="false" customHeight="false" outlineLevel="0" collapsed="false">
      <c r="A73" s="7" t="n">
        <v>11</v>
      </c>
      <c r="B73" s="7" t="s">
        <v>360</v>
      </c>
      <c r="C73" s="15" t="n">
        <f aca="false">IF($A73&lt;Annahmen!$C$54,0,IF($A73=Annahmen!$C$54,Annahmen!$C$55,C72*(1+(Annahmen!$C$56+F73)*(1-C72/Annahmen!$C$57))))</f>
        <v>1775.58126322897</v>
      </c>
      <c r="D73" s="17" t="n">
        <f aca="false">D72+IF($A73&gt;=Annahmen!$C$161,Annahmen!$C$162,0)</f>
        <v>40</v>
      </c>
      <c r="E73" s="17" t="n">
        <f aca="false">E72+Annahmen!$C$66</f>
        <v>103</v>
      </c>
      <c r="F73" s="24" t="n">
        <f aca="false">MIN(Annahmen!$C$166,Annahmen!$C$165*D73/10)</f>
        <v>0.04</v>
      </c>
      <c r="G73" s="41" t="n">
        <f aca="false">MIN(Annahmen!$C$168,Annahmen!$C$167*D73/10)</f>
        <v>0.002</v>
      </c>
      <c r="H73" s="17" t="n">
        <f aca="false">C73*(Annahmen!$C$58+G73)</f>
        <v>21.3069751587477</v>
      </c>
      <c r="I73" s="17" t="n">
        <f aca="false">I72*(1-Annahmen!$C$59)+H73</f>
        <v>86.3419382687073</v>
      </c>
      <c r="J73" s="17" t="n">
        <f aca="false">I73*(1-Annahmen!$C$60)</f>
        <v>51.8051629612244</v>
      </c>
      <c r="K73" s="17" t="n">
        <f aca="false">I73*Annahmen!$C$60</f>
        <v>34.5367753074829</v>
      </c>
      <c r="L73" s="23" t="n">
        <f aca="false">J73*Annahmen!$C$78+K73*Annahmen!$C$79</f>
        <v>547.436669269694</v>
      </c>
      <c r="M73" s="23" t="n">
        <f aca="false">IF($A73&gt;=Annahmen!$C$54,Annahmen!$C$63*((1-Annahmen!$C$64)*Annahmen!$B$71+Annahmen!$C$64*Annahmen!$B$72)+Annahmen!$C$65*Annahmen!$B$73,0)</f>
        <v>206.48</v>
      </c>
      <c r="N73" s="23" t="n">
        <f aca="false">(L73+M73)/(1+Annahmen!$B$8)</f>
        <v>633.543419554364</v>
      </c>
      <c r="O73" s="23" t="n">
        <f aca="false">L73/(1+Annahmen!$B$8)</f>
        <v>460.030814512348</v>
      </c>
      <c r="P73" s="23" t="n">
        <f aca="false">N73*(Annahmen!$C$62*Annahmen!$B$74+(1-Annahmen!$C$62)*Annahmen!$B$75)+(I73*Annahmen!$C$61+I73*(1-Annahmen!$C$61)/12+IF($A73&gt;=Annahmen!$C$54,Annahmen!$C$63+Annahmen!$C$65,0))*(1-Annahmen!$C$62)*Annahmen!$B$76</f>
        <v>59.4152355595077</v>
      </c>
      <c r="Q73" s="24" t="n">
        <f aca="false">IF(D73=0,0,MIN(Annahmen!$B$170,Annahmen!$C$169*D73/(Annahmen!$C$169*D73+E73)))</f>
        <v>0.538116591928251</v>
      </c>
      <c r="R73" s="23" t="n">
        <f aca="false">O73*Q73*Annahmen!$B$177</f>
        <v>147.29237738198</v>
      </c>
      <c r="S73" s="23" t="n">
        <f aca="false">Annahmen!$C$66*Annahmen!$B$42</f>
        <v>230.967701791488</v>
      </c>
      <c r="T73" s="23" t="n">
        <f aca="false">IF($A73&gt;=Annahmen!$C$54,Annahmen!$C$63*(1-Annahmen!$C$64)*Annahmen!$B$43+(Annahmen!$C$63*Annahmen!$C$64+Annahmen!$C$65)*Annahmen!$B$44,0)</f>
        <v>79.1744983854023</v>
      </c>
      <c r="U73" s="23" t="n">
        <f aca="false">C73*Annahmen!$B$77</f>
        <v>17.7558126322897</v>
      </c>
      <c r="V73" s="23" t="n">
        <f aca="false">SUMPRODUCT((((Annahmen!$C$145:$C$155="monatlich")*(Annahmen!$D$145:$D$155&lt;=$A73))+((Annahmen!$C$145:$C$155="einmalig")*(Annahmen!$D$145:$D$155=$A73)))*Annahmen!$B$145:$B$155*Annahmen!$E$145:$E$155)</f>
        <v>69.9850799606897</v>
      </c>
      <c r="W73" s="23" t="n">
        <f aca="false">IF($A73&gt;=Annahmen!$C$54,Annahmen!$C$134,0)</f>
        <v>500</v>
      </c>
      <c r="X73" s="35" t="n">
        <f aca="false">MAX(0,(I73-Annahmen!$B$138)/Annahmen!$B$139)</f>
        <v>0</v>
      </c>
      <c r="Y73" s="23" t="n">
        <f aca="false">X73*Annahmen!$B$137</f>
        <v>0</v>
      </c>
      <c r="Z73" s="23" t="n">
        <f aca="false">N73-P73-R73-S73-T73-U73-V73-W73-Y73</f>
        <v>-471.047286156993</v>
      </c>
      <c r="AA73" s="23" t="n">
        <f aca="false">AA72+Z73</f>
        <v>-6481.34220455535</v>
      </c>
      <c r="AB73" s="17" t="n">
        <f aca="false">IF($A73&gt;=Annahmen!$C$161,Annahmen!$C$162,0)</f>
        <v>5</v>
      </c>
      <c r="AC73" s="17" t="n">
        <f aca="false">AB73*(1-Annahmen!$B$180)</f>
        <v>4</v>
      </c>
      <c r="AD73" s="23" t="n">
        <f aca="false">AC73*(Annahmen!$B$178+Annahmen!$B$179)</f>
        <v>1400</v>
      </c>
      <c r="AE73" s="23" t="n">
        <f aca="false">AB73*(Annahmen!$B$47+Annahmen!$B$163*Annahmen!$B$10)</f>
        <v>43.3587163568827</v>
      </c>
      <c r="AF73" s="23" t="n">
        <f aca="false">AD73-AE73</f>
        <v>1356.64128364312</v>
      </c>
      <c r="AG73" s="23" t="n">
        <f aca="false">Gesamt!J57-TÆLLA!Y57+Z73+AF73</f>
        <v>2949.93950449408</v>
      </c>
      <c r="AH73" s="23" t="n">
        <f aca="false">AH72+AG73</f>
        <v>15694.2276578716</v>
      </c>
      <c r="AI73" s="15" t="n">
        <f aca="false">IF(AG73&gt;0,1,0)</f>
        <v>1</v>
      </c>
      <c r="AJ73" s="15" t="n">
        <f aca="false">IF(AH73&gt;=0,1,0)</f>
        <v>1</v>
      </c>
      <c r="AK73" s="7" t="n">
        <f aca="false">IF(Z73&gt;0,1,0)</f>
        <v>0</v>
      </c>
      <c r="AL73" s="7" t="n">
        <f aca="false">IF(AA73&gt;=0,1,0)</f>
        <v>0</v>
      </c>
    </row>
    <row r="74" customFormat="false" ht="15" hidden="false" customHeight="false" outlineLevel="0" collapsed="false">
      <c r="A74" s="7" t="n">
        <v>12</v>
      </c>
      <c r="B74" s="7" t="s">
        <v>361</v>
      </c>
      <c r="C74" s="15" t="n">
        <f aca="false">IF($A74&lt;Annahmen!$C$54,0,IF($A74=Annahmen!$C$54,Annahmen!$C$55,C73*(1+(Annahmen!$C$56+F74)*(1-C73/Annahmen!$C$57))))</f>
        <v>2118.74573795685</v>
      </c>
      <c r="D74" s="17" t="n">
        <f aca="false">D73+IF($A74&gt;=Annahmen!$C$161,Annahmen!$C$162,0)</f>
        <v>45</v>
      </c>
      <c r="E74" s="17" t="n">
        <f aca="false">E73+Annahmen!$C$66</f>
        <v>111</v>
      </c>
      <c r="F74" s="24" t="n">
        <f aca="false">MIN(Annahmen!$C$166,Annahmen!$C$165*D74/10)</f>
        <v>0.045</v>
      </c>
      <c r="G74" s="41" t="n">
        <f aca="false">MIN(Annahmen!$C$168,Annahmen!$C$167*D74/10)</f>
        <v>0.00225</v>
      </c>
      <c r="H74" s="17" t="n">
        <f aca="false">C74*(Annahmen!$C$58+G74)</f>
        <v>25.9546352899714</v>
      </c>
      <c r="I74" s="17" t="n">
        <f aca="false">I73*(1-Annahmen!$C$59)+H74</f>
        <v>107.116057262556</v>
      </c>
      <c r="J74" s="17" t="n">
        <f aca="false">I74*(1-Annahmen!$C$60)</f>
        <v>64.2696343575338</v>
      </c>
      <c r="K74" s="17" t="n">
        <f aca="false">I74*Annahmen!$C$60</f>
        <v>42.8464229050225</v>
      </c>
      <c r="L74" s="23" t="n">
        <f aca="false">J74*Annahmen!$C$78+K74*Annahmen!$C$79</f>
        <v>679.151508397027</v>
      </c>
      <c r="M74" s="23" t="n">
        <f aca="false">IF($A74&gt;=Annahmen!$C$54,Annahmen!$C$63*((1-Annahmen!$C$64)*Annahmen!$B$71+Annahmen!$C$64*Annahmen!$B$72)+Annahmen!$C$65*Annahmen!$B$73,0)</f>
        <v>206.48</v>
      </c>
      <c r="N74" s="23" t="n">
        <f aca="false">(L74+M74)/(1+Annahmen!$B$8)</f>
        <v>744.22815831683</v>
      </c>
      <c r="O74" s="23" t="n">
        <f aca="false">L74/(1+Annahmen!$B$8)</f>
        <v>570.715553274813</v>
      </c>
      <c r="P74" s="23" t="n">
        <f aca="false">N74*(Annahmen!$C$62*Annahmen!$B$74+(1-Annahmen!$C$62)*Annahmen!$B$75)+(I74*Annahmen!$C$61+I74*(1-Annahmen!$C$61)/12+IF($A74&gt;=Annahmen!$C$54,Annahmen!$C$63+Annahmen!$C$65,0))*(1-Annahmen!$C$62)*Annahmen!$B$76</f>
        <v>70.1913442610908</v>
      </c>
      <c r="Q74" s="24" t="n">
        <f aca="false">IF(D74=0,0,MIN(Annahmen!$B$170,Annahmen!$C$169*D74/(Annahmen!$C$169*D74+E74)))</f>
        <v>0.548780487804878</v>
      </c>
      <c r="R74" s="23" t="n">
        <f aca="false">O74*Q74*Annahmen!$B$177</f>
        <v>186.35254803577</v>
      </c>
      <c r="S74" s="23" t="n">
        <f aca="false">Annahmen!$C$66*Annahmen!$B$42</f>
        <v>230.967701791488</v>
      </c>
      <c r="T74" s="23" t="n">
        <f aca="false">IF($A74&gt;=Annahmen!$C$54,Annahmen!$C$63*(1-Annahmen!$C$64)*Annahmen!$B$43+(Annahmen!$C$63*Annahmen!$C$64+Annahmen!$C$65)*Annahmen!$B$44,0)</f>
        <v>79.1744983854023</v>
      </c>
      <c r="U74" s="23" t="n">
        <f aca="false">C74*Annahmen!$B$77</f>
        <v>21.1874573795685</v>
      </c>
      <c r="V74" s="23" t="n">
        <f aca="false">SUMPRODUCT((((Annahmen!$C$145:$C$155="monatlich")*(Annahmen!$D$145:$D$155&lt;=$A74))+((Annahmen!$C$145:$C$155="einmalig")*(Annahmen!$D$145:$D$155=$A74)))*Annahmen!$B$145:$B$155*Annahmen!$E$145:$E$155)</f>
        <v>69.9850799606897</v>
      </c>
      <c r="W74" s="23" t="n">
        <f aca="false">IF($A74&gt;=Annahmen!$C$54,Annahmen!$C$134,0)</f>
        <v>500</v>
      </c>
      <c r="X74" s="35" t="n">
        <f aca="false">MAX(0,(I74-Annahmen!$B$138)/Annahmen!$B$139)</f>
        <v>0</v>
      </c>
      <c r="Y74" s="23" t="n">
        <f aca="false">X74*Annahmen!$B$137</f>
        <v>0</v>
      </c>
      <c r="Z74" s="23" t="n">
        <f aca="false">N74-P74-R74-S74-T74-U74-V74-W74-Y74</f>
        <v>-413.630471497179</v>
      </c>
      <c r="AA74" s="23" t="n">
        <f aca="false">AA73+Z74</f>
        <v>-6894.97267605253</v>
      </c>
      <c r="AB74" s="17" t="n">
        <f aca="false">IF($A74&gt;=Annahmen!$C$161,Annahmen!$C$162,0)</f>
        <v>5</v>
      </c>
      <c r="AC74" s="17" t="n">
        <f aca="false">AB74*(1-Annahmen!$B$180)</f>
        <v>4</v>
      </c>
      <c r="AD74" s="23" t="n">
        <f aca="false">AC74*(Annahmen!$B$178+Annahmen!$B$179)</f>
        <v>1400</v>
      </c>
      <c r="AE74" s="23" t="n">
        <f aca="false">AB74*(Annahmen!$B$47+Annahmen!$B$163*Annahmen!$B$10)</f>
        <v>43.3587163568827</v>
      </c>
      <c r="AF74" s="23" t="n">
        <f aca="false">AD74-AE74</f>
        <v>1356.64128364312</v>
      </c>
      <c r="AG74" s="23" t="n">
        <f aca="false">Gesamt!J58-TÆLLA!Y58+Z74+AF74</f>
        <v>3016.92477709782</v>
      </c>
      <c r="AH74" s="23" t="n">
        <f aca="false">AH73+AG74</f>
        <v>18711.1524349694</v>
      </c>
      <c r="AI74" s="15" t="n">
        <f aca="false">IF(AG74&gt;0,1,0)</f>
        <v>1</v>
      </c>
      <c r="AJ74" s="15" t="n">
        <f aca="false">IF(AH74&gt;=0,1,0)</f>
        <v>1</v>
      </c>
      <c r="AK74" s="7" t="n">
        <f aca="false">IF(Z74&gt;0,1,0)</f>
        <v>0</v>
      </c>
      <c r="AL74" s="7" t="n">
        <f aca="false">IF(AA74&gt;=0,1,0)</f>
        <v>0</v>
      </c>
    </row>
    <row r="75" customFormat="false" ht="15" hidden="false" customHeight="false" outlineLevel="0" collapsed="false">
      <c r="A75" s="7" t="n">
        <v>13</v>
      </c>
      <c r="B75" s="7" t="s">
        <v>362</v>
      </c>
      <c r="C75" s="15" t="n">
        <f aca="false">IF($A75&lt;Annahmen!$C$54,0,IF($A75=Annahmen!$C$54,Annahmen!$C$55,C74*(1+(Annahmen!$C$56+F75)*(1-C74/Annahmen!$C$57))))</f>
        <v>2538.00580204611</v>
      </c>
      <c r="D75" s="17" t="n">
        <f aca="false">D74+IF($A75&gt;=Annahmen!$C$161,Annahmen!$C$162,0)</f>
        <v>50</v>
      </c>
      <c r="E75" s="17" t="n">
        <f aca="false">E74+Annahmen!$C$66</f>
        <v>119</v>
      </c>
      <c r="F75" s="24" t="n">
        <f aca="false">MIN(Annahmen!$C$166,Annahmen!$C$165*D75/10)</f>
        <v>0.05</v>
      </c>
      <c r="G75" s="41" t="n">
        <f aca="false">MIN(Annahmen!$C$168,Annahmen!$C$167*D75/10)</f>
        <v>0.0025</v>
      </c>
      <c r="H75" s="17" t="n">
        <f aca="false">C75*(Annahmen!$C$58+G75)</f>
        <v>31.7250725255764</v>
      </c>
      <c r="I75" s="17" t="n">
        <f aca="false">I74*(1-Annahmen!$C$59)+H75</f>
        <v>132.414166352379</v>
      </c>
      <c r="J75" s="17" t="n">
        <f aca="false">I75*(1-Annahmen!$C$60)</f>
        <v>79.4484998114276</v>
      </c>
      <c r="K75" s="17" t="n">
        <f aca="false">I75*Annahmen!$C$60</f>
        <v>52.9656665409517</v>
      </c>
      <c r="L75" s="23" t="n">
        <f aca="false">J75*Annahmen!$C$78+K75*Annahmen!$C$79</f>
        <v>839.549952729535</v>
      </c>
      <c r="M75" s="23" t="n">
        <f aca="false">IF($A75&gt;=Annahmen!$C$54,Annahmen!$C$63*((1-Annahmen!$C$64)*Annahmen!$B$71+Annahmen!$C$64*Annahmen!$B$72)+Annahmen!$C$65*Annahmen!$B$73,0)</f>
        <v>206.48</v>
      </c>
      <c r="N75" s="23" t="n">
        <f aca="false">(L75+M75)/(1+Annahmen!$B$8)</f>
        <v>879.016766999609</v>
      </c>
      <c r="O75" s="23" t="n">
        <f aca="false">L75/(1+Annahmen!$B$8)</f>
        <v>705.504161957593</v>
      </c>
      <c r="P75" s="23" t="n">
        <f aca="false">N75*(Annahmen!$C$62*Annahmen!$B$74+(1-Annahmen!$C$62)*Annahmen!$B$75)+(I75*Annahmen!$C$61+I75*(1-Annahmen!$C$61)/12+IF($A75&gt;=Annahmen!$C$54,Annahmen!$C$63+Annahmen!$C$65,0))*(1-Annahmen!$C$62)*Annahmen!$B$76</f>
        <v>83.3141714470311</v>
      </c>
      <c r="Q75" s="24" t="n">
        <f aca="false">IF(D75=0,0,MIN(Annahmen!$B$170,Annahmen!$C$169*D75/(Annahmen!$C$169*D75+E75)))</f>
        <v>0.557620817843866</v>
      </c>
      <c r="R75" s="23" t="n">
        <f aca="false">O75*Q75*Annahmen!$B$177</f>
        <v>234.075265630911</v>
      </c>
      <c r="S75" s="23" t="n">
        <f aca="false">Annahmen!$C$66*Annahmen!$B$42</f>
        <v>230.967701791488</v>
      </c>
      <c r="T75" s="23" t="n">
        <f aca="false">IF($A75&gt;=Annahmen!$C$54,Annahmen!$C$63*(1-Annahmen!$C$64)*Annahmen!$B$43+(Annahmen!$C$63*Annahmen!$C$64+Annahmen!$C$65)*Annahmen!$B$44,0)</f>
        <v>79.1744983854023</v>
      </c>
      <c r="U75" s="23" t="n">
        <f aca="false">C75*Annahmen!$B$77</f>
        <v>25.3800580204611</v>
      </c>
      <c r="V75" s="23" t="n">
        <f aca="false">SUMPRODUCT((((Annahmen!$C$145:$C$155="monatlich")*(Annahmen!$D$145:$D$155&lt;=$A75))+((Annahmen!$C$145:$C$155="einmalig")*(Annahmen!$D$145:$D$155=$A75)))*Annahmen!$B$145:$B$155*Annahmen!$E$145:$E$155)</f>
        <v>69.9850799606897</v>
      </c>
      <c r="W75" s="23" t="n">
        <f aca="false">IF($A75&gt;=Annahmen!$C$54,Annahmen!$C$134,0)</f>
        <v>500</v>
      </c>
      <c r="X75" s="35" t="n">
        <f aca="false">MAX(0,(I75-Annahmen!$B$138)/Annahmen!$B$139)</f>
        <v>0</v>
      </c>
      <c r="Y75" s="23" t="n">
        <f aca="false">X75*Annahmen!$B$137</f>
        <v>0</v>
      </c>
      <c r="Z75" s="23" t="n">
        <f aca="false">N75-P75-R75-S75-T75-U75-V75-W75-Y75</f>
        <v>-343.880008236374</v>
      </c>
      <c r="AA75" s="23" t="n">
        <f aca="false">AA74+Z75</f>
        <v>-7238.8526842889</v>
      </c>
      <c r="AB75" s="17" t="n">
        <f aca="false">IF($A75&gt;=Annahmen!$C$161,Annahmen!$C$162,0)</f>
        <v>5</v>
      </c>
      <c r="AC75" s="17" t="n">
        <f aca="false">AB75*(1-Annahmen!$B$180)</f>
        <v>4</v>
      </c>
      <c r="AD75" s="23" t="n">
        <f aca="false">AC75*(Annahmen!$B$178+Annahmen!$B$179)</f>
        <v>1400</v>
      </c>
      <c r="AE75" s="23" t="n">
        <f aca="false">AB75*(Annahmen!$B$47+Annahmen!$B$163*Annahmen!$B$10)</f>
        <v>43.3587163568827</v>
      </c>
      <c r="AF75" s="23" t="n">
        <f aca="false">AD75-AE75</f>
        <v>1356.64128364312</v>
      </c>
      <c r="AG75" s="23" t="n">
        <f aca="false">Gesamt!J59-TÆLLA!Y59+Z75+AF75</f>
        <v>3096.24369830255</v>
      </c>
      <c r="AH75" s="23" t="n">
        <f aca="false">AH74+AG75</f>
        <v>21807.396133272</v>
      </c>
      <c r="AI75" s="15" t="n">
        <f aca="false">IF(AG75&gt;0,1,0)</f>
        <v>1</v>
      </c>
      <c r="AJ75" s="15" t="n">
        <f aca="false">IF(AH75&gt;=0,1,0)</f>
        <v>1</v>
      </c>
      <c r="AK75" s="7" t="n">
        <f aca="false">IF(Z75&gt;0,1,0)</f>
        <v>0</v>
      </c>
      <c r="AL75" s="7" t="n">
        <f aca="false">IF(AA75&gt;=0,1,0)</f>
        <v>0</v>
      </c>
    </row>
    <row r="76" customFormat="false" ht="15" hidden="false" customHeight="false" outlineLevel="0" collapsed="false">
      <c r="A76" s="7" t="n">
        <v>14</v>
      </c>
      <c r="B76" s="7" t="s">
        <v>363</v>
      </c>
      <c r="C76" s="15" t="n">
        <f aca="false">IF($A76&lt;Annahmen!$C$54,0,IF($A76=Annahmen!$C$54,Annahmen!$C$55,C75*(1+(Annahmen!$C$56+F76)*(1-C75/Annahmen!$C$57))))</f>
        <v>3051.69448117806</v>
      </c>
      <c r="D76" s="17" t="n">
        <f aca="false">D75+IF($A76&gt;=Annahmen!$C$161,Annahmen!$C$162,0)</f>
        <v>55</v>
      </c>
      <c r="E76" s="17" t="n">
        <f aca="false">E75+Annahmen!$C$66</f>
        <v>127</v>
      </c>
      <c r="F76" s="24" t="n">
        <f aca="false">MIN(Annahmen!$C$166,Annahmen!$C$165*D76/10)</f>
        <v>0.055</v>
      </c>
      <c r="G76" s="41" t="n">
        <f aca="false">MIN(Annahmen!$C$168,Annahmen!$C$167*D76/10)</f>
        <v>0.00275</v>
      </c>
      <c r="H76" s="17" t="n">
        <f aca="false">C76*(Annahmen!$C$58+G76)</f>
        <v>38.9091046350203</v>
      </c>
      <c r="I76" s="17" t="n">
        <f aca="false">I75*(1-Annahmen!$C$59)+H76</f>
        <v>163.378421006257</v>
      </c>
      <c r="J76" s="17" t="n">
        <f aca="false">I76*(1-Annahmen!$C$60)</f>
        <v>98.0270526037541</v>
      </c>
      <c r="K76" s="17" t="n">
        <f aca="false">I76*Annahmen!$C$60</f>
        <v>65.3513684025027</v>
      </c>
      <c r="L76" s="23" t="n">
        <f aca="false">J76*Annahmen!$C$78+K76*Annahmen!$C$79</f>
        <v>1035.87364865334</v>
      </c>
      <c r="M76" s="23" t="n">
        <f aca="false">IF($A76&gt;=Annahmen!$C$54,Annahmen!$C$63*((1-Annahmen!$C$64)*Annahmen!$B$71+Annahmen!$C$64*Annahmen!$B$72)+Annahmen!$C$65*Annahmen!$B$73,0)</f>
        <v>206.48</v>
      </c>
      <c r="N76" s="23" t="n">
        <f aca="false">(L76+M76)/(1+Annahmen!$B$8)</f>
        <v>1043.9946627339</v>
      </c>
      <c r="O76" s="23" t="n">
        <f aca="false">L76/(1+Annahmen!$B$8)</f>
        <v>870.48205769188</v>
      </c>
      <c r="P76" s="23" t="n">
        <f aca="false">N76*(Annahmen!$C$62*Annahmen!$B$74+(1-Annahmen!$C$62)*Annahmen!$B$75)+(I76*Annahmen!$C$61+I76*(1-Annahmen!$C$61)/12+IF($A76&gt;=Annahmen!$C$54,Annahmen!$C$63+Annahmen!$C$65,0))*(1-Annahmen!$C$62)*Annahmen!$B$76</f>
        <v>99.3761846718751</v>
      </c>
      <c r="Q76" s="24" t="n">
        <f aca="false">IF(D76=0,0,MIN(Annahmen!$B$170,Annahmen!$C$169*D76/(Annahmen!$C$169*D76+E76)))</f>
        <v>0.565068493150685</v>
      </c>
      <c r="R76" s="23" t="n">
        <f aca="false">O76*Q76*Annahmen!$B$177</f>
        <v>292.669780869522</v>
      </c>
      <c r="S76" s="23" t="n">
        <f aca="false">Annahmen!$C$66*Annahmen!$B$42</f>
        <v>230.967701791488</v>
      </c>
      <c r="T76" s="23" t="n">
        <f aca="false">IF($A76&gt;=Annahmen!$C$54,Annahmen!$C$63*(1-Annahmen!$C$64)*Annahmen!$B$43+(Annahmen!$C$63*Annahmen!$C$64+Annahmen!$C$65)*Annahmen!$B$44,0)</f>
        <v>79.1744983854023</v>
      </c>
      <c r="U76" s="23" t="n">
        <f aca="false">C76*Annahmen!$B$77</f>
        <v>30.5169448117806</v>
      </c>
      <c r="V76" s="23" t="n">
        <f aca="false">SUMPRODUCT((((Annahmen!$C$145:$C$155="monatlich")*(Annahmen!$D$145:$D$155&lt;=$A76))+((Annahmen!$C$145:$C$155="einmalig")*(Annahmen!$D$145:$D$155=$A76)))*Annahmen!$B$145:$B$155*Annahmen!$E$145:$E$155)</f>
        <v>69.9850799606897</v>
      </c>
      <c r="W76" s="23" t="n">
        <f aca="false">IF($A76&gt;=Annahmen!$C$54,Annahmen!$C$134,0)</f>
        <v>500</v>
      </c>
      <c r="X76" s="35" t="n">
        <f aca="false">MAX(0,(I76-Annahmen!$B$138)/Annahmen!$B$139)</f>
        <v>0</v>
      </c>
      <c r="Y76" s="23" t="n">
        <f aca="false">X76*Annahmen!$B$137</f>
        <v>0</v>
      </c>
      <c r="Z76" s="23" t="n">
        <f aca="false">N76-P76-R76-S76-T76-U76-V76-W76-Y76</f>
        <v>-258.695527756861</v>
      </c>
      <c r="AA76" s="23" t="n">
        <f aca="false">AA75+Z76</f>
        <v>-7497.54821204576</v>
      </c>
      <c r="AB76" s="17" t="n">
        <f aca="false">IF($A76&gt;=Annahmen!$C$161,Annahmen!$C$162,0)</f>
        <v>5</v>
      </c>
      <c r="AC76" s="17" t="n">
        <f aca="false">AB76*(1-Annahmen!$B$180)</f>
        <v>4</v>
      </c>
      <c r="AD76" s="23" t="n">
        <f aca="false">AC76*(Annahmen!$B$178+Annahmen!$B$179)</f>
        <v>1400</v>
      </c>
      <c r="AE76" s="23" t="n">
        <f aca="false">AB76*(Annahmen!$B$47+Annahmen!$B$163*Annahmen!$B$10)</f>
        <v>43.3587163568827</v>
      </c>
      <c r="AF76" s="23" t="n">
        <f aca="false">AD76-AE76</f>
        <v>1356.64128364312</v>
      </c>
      <c r="AG76" s="23" t="n">
        <f aca="false">Gesamt!J60-TÆLLA!Y60+Z76+AF76</f>
        <v>3190.99663672599</v>
      </c>
      <c r="AH76" s="23" t="n">
        <f aca="false">AH75+AG76</f>
        <v>24998.392769998</v>
      </c>
      <c r="AI76" s="15" t="n">
        <f aca="false">IF(AG76&gt;0,1,0)</f>
        <v>1</v>
      </c>
      <c r="AJ76" s="15" t="n">
        <f aca="false">IF(AH76&gt;=0,1,0)</f>
        <v>1</v>
      </c>
      <c r="AK76" s="7" t="n">
        <f aca="false">IF(Z76&gt;0,1,0)</f>
        <v>0</v>
      </c>
      <c r="AL76" s="7" t="n">
        <f aca="false">IF(AA76&gt;=0,1,0)</f>
        <v>0</v>
      </c>
    </row>
    <row r="77" customFormat="false" ht="15" hidden="false" customHeight="false" outlineLevel="0" collapsed="false">
      <c r="A77" s="7" t="n">
        <v>15</v>
      </c>
      <c r="B77" s="7" t="s">
        <v>364</v>
      </c>
      <c r="C77" s="15" t="n">
        <f aca="false">IF($A77&lt;Annahmen!$C$54,0,IF($A77=Annahmen!$C$54,Annahmen!$C$55,C76*(1+(Annahmen!$C$56+F77)*(1-C76/Annahmen!$C$57))))</f>
        <v>3682.77184105868</v>
      </c>
      <c r="D77" s="17" t="n">
        <f aca="false">D76+IF($A77&gt;=Annahmen!$C$161,Annahmen!$C$162,0)</f>
        <v>60</v>
      </c>
      <c r="E77" s="17" t="n">
        <f aca="false">E76+Annahmen!$C$66</f>
        <v>135</v>
      </c>
      <c r="F77" s="24" t="n">
        <f aca="false">MIN(Annahmen!$C$166,Annahmen!$C$165*D77/10)</f>
        <v>0.06</v>
      </c>
      <c r="G77" s="41" t="n">
        <f aca="false">MIN(Annahmen!$C$168,Annahmen!$C$167*D77/10)</f>
        <v>0.003</v>
      </c>
      <c r="H77" s="17" t="n">
        <f aca="false">C77*(Annahmen!$C$58+G77)</f>
        <v>47.8760339337629</v>
      </c>
      <c r="I77" s="17" t="n">
        <f aca="false">I76*(1-Annahmen!$C$59)+H77</f>
        <v>201.451749679644</v>
      </c>
      <c r="J77" s="17" t="n">
        <f aca="false">I77*(1-Annahmen!$C$60)</f>
        <v>120.871049807787</v>
      </c>
      <c r="K77" s="17" t="n">
        <f aca="false">I77*Annahmen!$C$60</f>
        <v>80.5806998718577</v>
      </c>
      <c r="L77" s="23" t="n">
        <f aca="false">J77*Annahmen!$C$78+K77*Annahmen!$C$79</f>
        <v>1277.27124355217</v>
      </c>
      <c r="M77" s="23" t="n">
        <f aca="false">IF($A77&gt;=Annahmen!$C$54,Annahmen!$C$63*((1-Annahmen!$C$64)*Annahmen!$B$71+Annahmen!$C$64*Annahmen!$B$72)+Annahmen!$C$65*Annahmen!$B$73,0)</f>
        <v>206.48</v>
      </c>
      <c r="N77" s="23" t="n">
        <f aca="false">(L77+M77)/(1+Annahmen!$B$8)</f>
        <v>1246.84978449762</v>
      </c>
      <c r="O77" s="23" t="n">
        <f aca="false">L77/(1+Annahmen!$B$8)</f>
        <v>1073.33717945561</v>
      </c>
      <c r="P77" s="23" t="n">
        <f aca="false">N77*(Annahmen!$C$62*Annahmen!$B$74+(1-Annahmen!$C$62)*Annahmen!$B$75)+(I77*Annahmen!$C$61+I77*(1-Annahmen!$C$61)/12+IF($A77&gt;=Annahmen!$C$54,Annahmen!$C$63+Annahmen!$C$65,0))*(1-Annahmen!$C$62)*Annahmen!$B$76</f>
        <v>119.125870737359</v>
      </c>
      <c r="Q77" s="24" t="n">
        <f aca="false">IF(D77=0,0,MIN(Annahmen!$B$170,Annahmen!$C$169*D77/(Annahmen!$C$169*D77+E77)))</f>
        <v>0.571428571428571</v>
      </c>
      <c r="R77" s="23" t="n">
        <f aca="false">O77*Q77*Annahmen!$B$177</f>
        <v>364.934641014906</v>
      </c>
      <c r="S77" s="23" t="n">
        <f aca="false">Annahmen!$C$66*Annahmen!$B$42</f>
        <v>230.967701791488</v>
      </c>
      <c r="T77" s="23" t="n">
        <f aca="false">IF($A77&gt;=Annahmen!$C$54,Annahmen!$C$63*(1-Annahmen!$C$64)*Annahmen!$B$43+(Annahmen!$C$63*Annahmen!$C$64+Annahmen!$C$65)*Annahmen!$B$44,0)</f>
        <v>79.1744983854023</v>
      </c>
      <c r="U77" s="23" t="n">
        <f aca="false">C77*Annahmen!$B$77</f>
        <v>36.8277184105868</v>
      </c>
      <c r="V77" s="23" t="n">
        <f aca="false">SUMPRODUCT((((Annahmen!$C$145:$C$155="monatlich")*(Annahmen!$D$145:$D$155&lt;=$A77))+((Annahmen!$C$145:$C$155="einmalig")*(Annahmen!$D$145:$D$155=$A77)))*Annahmen!$B$145:$B$155*Annahmen!$E$145:$E$155)</f>
        <v>69.9850799606897</v>
      </c>
      <c r="W77" s="23" t="n">
        <f aca="false">IF($A77&gt;=Annahmen!$C$54,Annahmen!$C$134,0)</f>
        <v>500</v>
      </c>
      <c r="X77" s="35" t="n">
        <f aca="false">MAX(0,(I77-Annahmen!$B$138)/Annahmen!$B$139)</f>
        <v>0</v>
      </c>
      <c r="Y77" s="23" t="n">
        <f aca="false">X77*Annahmen!$B$137</f>
        <v>0</v>
      </c>
      <c r="Z77" s="23" t="n">
        <f aca="false">N77-P77-R77-S77-T77-U77-V77-W77-Y77</f>
        <v>-154.165725802809</v>
      </c>
      <c r="AA77" s="23" t="n">
        <f aca="false">AA76+Z77</f>
        <v>-7651.71393784857</v>
      </c>
      <c r="AB77" s="17" t="n">
        <f aca="false">IF($A77&gt;=Annahmen!$C$161,Annahmen!$C$162,0)</f>
        <v>5</v>
      </c>
      <c r="AC77" s="17" t="n">
        <f aca="false">AB77*(1-Annahmen!$B$180)</f>
        <v>4</v>
      </c>
      <c r="AD77" s="23" t="n">
        <f aca="false">AC77*(Annahmen!$B$178+Annahmen!$B$179)</f>
        <v>1400</v>
      </c>
      <c r="AE77" s="23" t="n">
        <f aca="false">AB77*(Annahmen!$B$47+Annahmen!$B$163*Annahmen!$B$10)</f>
        <v>43.3587163568827</v>
      </c>
      <c r="AF77" s="23" t="n">
        <f aca="false">AD77-AE77</f>
        <v>1356.64128364312</v>
      </c>
      <c r="AG77" s="23" t="n">
        <f aca="false">Gesamt!J61-TÆLLA!Y61+Z77+AF77</f>
        <v>3305.09489662397</v>
      </c>
      <c r="AH77" s="23" t="n">
        <f aca="false">AH76+AG77</f>
        <v>28303.4876666219</v>
      </c>
      <c r="AI77" s="15" t="n">
        <f aca="false">IF(AG77&gt;0,1,0)</f>
        <v>1</v>
      </c>
      <c r="AJ77" s="15" t="n">
        <f aca="false">IF(AH77&gt;=0,1,0)</f>
        <v>1</v>
      </c>
      <c r="AK77" s="7" t="n">
        <f aca="false">IF(Z77&gt;0,1,0)</f>
        <v>0</v>
      </c>
      <c r="AL77" s="7" t="n">
        <f aca="false">IF(AA77&gt;=0,1,0)</f>
        <v>0</v>
      </c>
    </row>
    <row r="78" customFormat="false" ht="15" hidden="false" customHeight="false" outlineLevel="0" collapsed="false">
      <c r="A78" s="7" t="n">
        <v>16</v>
      </c>
      <c r="B78" s="7" t="s">
        <v>365</v>
      </c>
      <c r="C78" s="15" t="n">
        <f aca="false">IF($A78&lt;Annahmen!$C$54,0,IF($A78=Annahmen!$C$54,Annahmen!$C$55,C77*(1+(Annahmen!$C$56+F78)*(1-C77/Annahmen!$C$57))))</f>
        <v>4459.98776782051</v>
      </c>
      <c r="D78" s="17" t="n">
        <f aca="false">D77+IF($A78&gt;=Annahmen!$C$161,Annahmen!$C$162,0)</f>
        <v>65</v>
      </c>
      <c r="E78" s="17" t="n">
        <f aca="false">E77+Annahmen!$C$66</f>
        <v>143</v>
      </c>
      <c r="F78" s="24" t="n">
        <f aca="false">MIN(Annahmen!$C$166,Annahmen!$C$165*D78/10)</f>
        <v>0.065</v>
      </c>
      <c r="G78" s="41" t="n">
        <f aca="false">MIN(Annahmen!$C$168,Annahmen!$C$167*D78/10)</f>
        <v>0.00325</v>
      </c>
      <c r="H78" s="17" t="n">
        <f aca="false">C78*(Annahmen!$C$58+G78)</f>
        <v>59.0948379236217</v>
      </c>
      <c r="I78" s="17" t="n">
        <f aca="false">I77*(1-Annahmen!$C$59)+H78</f>
        <v>248.459482622487</v>
      </c>
      <c r="J78" s="17" t="n">
        <f aca="false">I78*(1-Annahmen!$C$60)</f>
        <v>149.075689573492</v>
      </c>
      <c r="K78" s="17" t="n">
        <f aca="false">I78*Annahmen!$C$60</f>
        <v>99.3837930489949</v>
      </c>
      <c r="L78" s="23" t="n">
        <f aca="false">J78*Annahmen!$C$78+K78*Annahmen!$C$79</f>
        <v>1575.31593965411</v>
      </c>
      <c r="M78" s="23" t="n">
        <f aca="false">IF($A78&gt;=Annahmen!$C$54,Annahmen!$C$63*((1-Annahmen!$C$64)*Annahmen!$B$71+Annahmen!$C$64*Annahmen!$B$72)+Annahmen!$C$65*Annahmen!$B$73,0)</f>
        <v>206.48</v>
      </c>
      <c r="N78" s="23" t="n">
        <f aca="false">(L78+M78)/(1+Annahmen!$B$8)</f>
        <v>1497.30751231438</v>
      </c>
      <c r="O78" s="23" t="n">
        <f aca="false">L78/(1+Annahmen!$B$8)</f>
        <v>1323.79490727236</v>
      </c>
      <c r="P78" s="23" t="n">
        <f aca="false">N78*(Annahmen!$C$62*Annahmen!$B$74+(1-Annahmen!$C$62)*Annahmen!$B$75)+(I78*Annahmen!$C$61+I78*(1-Annahmen!$C$61)/12+IF($A78&gt;=Annahmen!$C$54,Annahmen!$C$63+Annahmen!$C$65,0))*(1-Annahmen!$C$62)*Annahmen!$B$76</f>
        <v>143.510078806883</v>
      </c>
      <c r="Q78" s="24" t="n">
        <f aca="false">IF(D78=0,0,MIN(Annahmen!$B$170,Annahmen!$C$169*D78/(Annahmen!$C$169*D78+E78)))</f>
        <v>0.576923076923077</v>
      </c>
      <c r="R78" s="23" t="n">
        <f aca="false">O78*Q78*Annahmen!$B$177</f>
        <v>454.418059515609</v>
      </c>
      <c r="S78" s="23" t="n">
        <f aca="false">Annahmen!$C$66*Annahmen!$B$42</f>
        <v>230.967701791488</v>
      </c>
      <c r="T78" s="23" t="n">
        <f aca="false">IF($A78&gt;=Annahmen!$C$54,Annahmen!$C$63*(1-Annahmen!$C$64)*Annahmen!$B$43+(Annahmen!$C$63*Annahmen!$C$64+Annahmen!$C$65)*Annahmen!$B$44,0)</f>
        <v>79.1744983854023</v>
      </c>
      <c r="U78" s="23" t="n">
        <f aca="false">C78*Annahmen!$B$77</f>
        <v>44.5998776782051</v>
      </c>
      <c r="V78" s="23" t="n">
        <f aca="false">SUMPRODUCT((((Annahmen!$C$145:$C$155="monatlich")*(Annahmen!$D$145:$D$155&lt;=$A78))+((Annahmen!$C$145:$C$155="einmalig")*(Annahmen!$D$145:$D$155=$A78)))*Annahmen!$B$145:$B$155*Annahmen!$E$145:$E$155)</f>
        <v>69.9850799606897</v>
      </c>
      <c r="W78" s="23" t="n">
        <f aca="false">IF($A78&gt;=Annahmen!$C$54,Annahmen!$C$134,0)</f>
        <v>500</v>
      </c>
      <c r="X78" s="35" t="n">
        <f aca="false">MAX(0,(I78-Annahmen!$B$138)/Annahmen!$B$139)</f>
        <v>0</v>
      </c>
      <c r="Y78" s="23" t="n">
        <f aca="false">X78*Annahmen!$B$137</f>
        <v>0</v>
      </c>
      <c r="Z78" s="23" t="n">
        <f aca="false">N78-P78-R78-S78-T78-U78-V78-W78-Y78</f>
        <v>-25.3477838238985</v>
      </c>
      <c r="AA78" s="23" t="n">
        <f aca="false">AA77+Z78</f>
        <v>-7677.06172167247</v>
      </c>
      <c r="AB78" s="17" t="n">
        <f aca="false">IF($A78&gt;=Annahmen!$C$161,Annahmen!$C$162,0)</f>
        <v>5</v>
      </c>
      <c r="AC78" s="17" t="n">
        <f aca="false">AB78*(1-Annahmen!$B$180)</f>
        <v>4</v>
      </c>
      <c r="AD78" s="23" t="n">
        <f aca="false">AC78*(Annahmen!$B$178+Annahmen!$B$179)</f>
        <v>1400</v>
      </c>
      <c r="AE78" s="23" t="n">
        <f aca="false">AB78*(Annahmen!$B$47+Annahmen!$B$163*Annahmen!$B$10)</f>
        <v>43.3587163568827</v>
      </c>
      <c r="AF78" s="23" t="n">
        <f aca="false">AD78-AE78</f>
        <v>1356.64128364312</v>
      </c>
      <c r="AG78" s="23" t="n">
        <f aca="false">Gesamt!J62-TÆLLA!Y62+Z78+AF78</f>
        <v>3443.4812965468</v>
      </c>
      <c r="AH78" s="23" t="n">
        <f aca="false">AH77+AG78</f>
        <v>31746.9689631687</v>
      </c>
      <c r="AI78" s="15" t="n">
        <f aca="false">IF(AG78&gt;0,1,0)</f>
        <v>1</v>
      </c>
      <c r="AJ78" s="15" t="n">
        <f aca="false">IF(AH78&gt;=0,1,0)</f>
        <v>1</v>
      </c>
      <c r="AK78" s="7" t="n">
        <f aca="false">IF(Z78&gt;0,1,0)</f>
        <v>0</v>
      </c>
      <c r="AL78" s="7" t="n">
        <f aca="false">IF(AA78&gt;=0,1,0)</f>
        <v>0</v>
      </c>
    </row>
    <row r="79" customFormat="false" ht="15" hidden="false" customHeight="false" outlineLevel="0" collapsed="false">
      <c r="A79" s="7" t="n">
        <v>17</v>
      </c>
      <c r="B79" s="7" t="s">
        <v>366</v>
      </c>
      <c r="C79" s="15" t="n">
        <f aca="false">IF($A79&lt;Annahmen!$C$54,0,IF($A79=Annahmen!$C$54,Annahmen!$C$55,C78*(1+(Annahmen!$C$56+F79)*(1-C78/Annahmen!$C$57))))</f>
        <v>5419.304436763</v>
      </c>
      <c r="D79" s="17" t="n">
        <f aca="false">D78+IF($A79&gt;=Annahmen!$C$161,Annahmen!$C$162,0)</f>
        <v>70</v>
      </c>
      <c r="E79" s="17" t="n">
        <f aca="false">E78+Annahmen!$C$66</f>
        <v>151</v>
      </c>
      <c r="F79" s="24" t="n">
        <f aca="false">MIN(Annahmen!$C$166,Annahmen!$C$165*D79/10)</f>
        <v>0.07</v>
      </c>
      <c r="G79" s="41" t="n">
        <f aca="false">MIN(Annahmen!$C$168,Annahmen!$C$167*D79/10)</f>
        <v>0.0035</v>
      </c>
      <c r="H79" s="17" t="n">
        <f aca="false">C79*(Annahmen!$C$58+G79)</f>
        <v>73.1606098963005</v>
      </c>
      <c r="I79" s="17" t="n">
        <f aca="false">I78*(1-Annahmen!$C$59)+H79</f>
        <v>306.712523561439</v>
      </c>
      <c r="J79" s="17" t="n">
        <f aca="false">I79*(1-Annahmen!$C$60)</f>
        <v>184.027514136863</v>
      </c>
      <c r="K79" s="17" t="n">
        <f aca="false">I79*Annahmen!$C$60</f>
        <v>122.685009424575</v>
      </c>
      <c r="L79" s="23" t="n">
        <f aca="false">J79*Annahmen!$C$78+K79*Annahmen!$C$79</f>
        <v>1944.65963688737</v>
      </c>
      <c r="M79" s="23" t="n">
        <f aca="false">IF($A79&gt;=Annahmen!$C$54,Annahmen!$C$63*((1-Annahmen!$C$64)*Annahmen!$B$71+Annahmen!$C$64*Annahmen!$B$72)+Annahmen!$C$65*Annahmen!$B$73,0)</f>
        <v>206.48</v>
      </c>
      <c r="N79" s="23" t="n">
        <f aca="false">(L79+M79)/(1+Annahmen!$B$8)</f>
        <v>1807.68036713225</v>
      </c>
      <c r="O79" s="23" t="n">
        <f aca="false">L79/(1+Annahmen!$B$8)</f>
        <v>1634.16776209023</v>
      </c>
      <c r="P79" s="23" t="n">
        <f aca="false">N79*(Annahmen!$C$62*Annahmen!$B$74+(1-Annahmen!$C$62)*Annahmen!$B$75)+(I79*Annahmen!$C$61+I79*(1-Annahmen!$C$61)/12+IF($A79&gt;=Annahmen!$C$54,Annahmen!$C$63+Annahmen!$C$65,0))*(1-Annahmen!$C$62)*Annahmen!$B$76</f>
        <v>173.727538403691</v>
      </c>
      <c r="Q79" s="24" t="n">
        <f aca="false">IF(D79=0,0,MIN(Annahmen!$B$170,Annahmen!$C$169*D79/(Annahmen!$C$169*D79+E79)))</f>
        <v>0.581717451523546</v>
      </c>
      <c r="R79" s="23" t="n">
        <f aca="false">O79*Q79*Annahmen!$B$177</f>
        <v>565.621224025413</v>
      </c>
      <c r="S79" s="23" t="n">
        <f aca="false">Annahmen!$C$66*Annahmen!$B$42</f>
        <v>230.967701791488</v>
      </c>
      <c r="T79" s="23" t="n">
        <f aca="false">IF($A79&gt;=Annahmen!$C$54,Annahmen!$C$63*(1-Annahmen!$C$64)*Annahmen!$B$43+(Annahmen!$C$63*Annahmen!$C$64+Annahmen!$C$65)*Annahmen!$B$44,0)</f>
        <v>79.1744983854023</v>
      </c>
      <c r="U79" s="23" t="n">
        <f aca="false">C79*Annahmen!$B$77</f>
        <v>54.19304436763</v>
      </c>
      <c r="V79" s="23" t="n">
        <f aca="false">SUMPRODUCT((((Annahmen!$C$145:$C$155="monatlich")*(Annahmen!$D$145:$D$155&lt;=$A79))+((Annahmen!$C$145:$C$155="einmalig")*(Annahmen!$D$145:$D$155=$A79)))*Annahmen!$B$145:$B$155*Annahmen!$E$145:$E$155)</f>
        <v>69.9850799606897</v>
      </c>
      <c r="W79" s="23" t="n">
        <f aca="false">IF($A79&gt;=Annahmen!$C$54,Annahmen!$C$134,0)</f>
        <v>500</v>
      </c>
      <c r="X79" s="35" t="n">
        <f aca="false">MAX(0,(I79-Annahmen!$B$138)/Annahmen!$B$139)</f>
        <v>0</v>
      </c>
      <c r="Y79" s="23" t="n">
        <f aca="false">X79*Annahmen!$B$137</f>
        <v>0</v>
      </c>
      <c r="Z79" s="23" t="n">
        <f aca="false">N79-P79-R79-S79-T79-U79-V79-W79-Y79</f>
        <v>134.011280197932</v>
      </c>
      <c r="AA79" s="23" t="n">
        <f aca="false">AA78+Z79</f>
        <v>-7543.05044147454</v>
      </c>
      <c r="AB79" s="17" t="n">
        <f aca="false">IF($A79&gt;=Annahmen!$C$161,Annahmen!$C$162,0)</f>
        <v>5</v>
      </c>
      <c r="AC79" s="17" t="n">
        <f aca="false">AB79*(1-Annahmen!$B$180)</f>
        <v>4</v>
      </c>
      <c r="AD79" s="23" t="n">
        <f aca="false">AC79*(Annahmen!$B$178+Annahmen!$B$179)</f>
        <v>1400</v>
      </c>
      <c r="AE79" s="23" t="n">
        <f aca="false">AB79*(Annahmen!$B$47+Annahmen!$B$163*Annahmen!$B$10)</f>
        <v>43.3587163568827</v>
      </c>
      <c r="AF79" s="23" t="n">
        <f aca="false">AD79-AE79</f>
        <v>1356.64128364312</v>
      </c>
      <c r="AG79" s="23" t="n">
        <f aca="false">Gesamt!J63-TÆLLA!Y63+Z79+AF79</f>
        <v>3612.40881851256</v>
      </c>
      <c r="AH79" s="23" t="n">
        <f aca="false">AH78+AG79</f>
        <v>35359.3777816813</v>
      </c>
      <c r="AI79" s="15" t="n">
        <f aca="false">IF(AG79&gt;0,1,0)</f>
        <v>1</v>
      </c>
      <c r="AJ79" s="15" t="n">
        <f aca="false">IF(AH79&gt;=0,1,0)</f>
        <v>1</v>
      </c>
      <c r="AK79" s="7" t="n">
        <f aca="false">IF(Z79&gt;0,1,0)</f>
        <v>1</v>
      </c>
      <c r="AL79" s="7" t="n">
        <f aca="false">IF(AA79&gt;=0,1,0)</f>
        <v>0</v>
      </c>
    </row>
    <row r="80" customFormat="false" ht="15" hidden="false" customHeight="false" outlineLevel="0" collapsed="false">
      <c r="A80" s="7" t="n">
        <v>18</v>
      </c>
      <c r="B80" s="7" t="s">
        <v>367</v>
      </c>
      <c r="C80" s="15" t="n">
        <f aca="false">IF($A80&lt;Annahmen!$C$54,0,IF($A80=Annahmen!$C$54,Annahmen!$C$55,C79*(1+(Annahmen!$C$56+F80)*(1-C79/Annahmen!$C$57))))</f>
        <v>6605.60796688406</v>
      </c>
      <c r="D80" s="17" t="n">
        <f aca="false">D79+IF($A80&gt;=Annahmen!$C$161,Annahmen!$C$162,0)</f>
        <v>75</v>
      </c>
      <c r="E80" s="17" t="n">
        <f aca="false">E79+Annahmen!$C$66</f>
        <v>159</v>
      </c>
      <c r="F80" s="24" t="n">
        <f aca="false">MIN(Annahmen!$C$166,Annahmen!$C$165*D80/10)</f>
        <v>0.075</v>
      </c>
      <c r="G80" s="41" t="n">
        <f aca="false">MIN(Annahmen!$C$168,Annahmen!$C$167*D80/10)</f>
        <v>0.00375</v>
      </c>
      <c r="H80" s="17" t="n">
        <f aca="false">C80*(Annahmen!$C$58+G80)</f>
        <v>90.8271095446559</v>
      </c>
      <c r="I80" s="17" t="n">
        <f aca="false">I79*(1-Annahmen!$C$59)+H80</f>
        <v>379.136881692408</v>
      </c>
      <c r="J80" s="17" t="n">
        <f aca="false">I80*(1-Annahmen!$C$60)</f>
        <v>227.482129015445</v>
      </c>
      <c r="K80" s="17" t="n">
        <f aca="false">I80*Annahmen!$C$60</f>
        <v>151.654752676963</v>
      </c>
      <c r="L80" s="23" t="n">
        <f aca="false">J80*Annahmen!$C$78+K80*Annahmen!$C$79</f>
        <v>2403.85420889043</v>
      </c>
      <c r="M80" s="23" t="n">
        <f aca="false">IF($A80&gt;=Annahmen!$C$54,Annahmen!$C$63*((1-Annahmen!$C$64)*Annahmen!$B$71+Annahmen!$C$64*Annahmen!$B$72)+Annahmen!$C$65*Annahmen!$B$73,0)</f>
        <v>206.48</v>
      </c>
      <c r="N80" s="23" t="n">
        <f aca="false">(L80+M80)/(1+Annahmen!$B$8)</f>
        <v>2193.55815873146</v>
      </c>
      <c r="O80" s="23" t="n">
        <f aca="false">L80/(1+Annahmen!$B$8)</f>
        <v>2020.04555368944</v>
      </c>
      <c r="P80" s="23" t="n">
        <f aca="false">N80*(Annahmen!$C$62*Annahmen!$B$74+(1-Annahmen!$C$62)*Annahmen!$B$75)+(I80*Annahmen!$C$61+I80*(1-Annahmen!$C$61)/12+IF($A80&gt;=Annahmen!$C$54,Annahmen!$C$63+Annahmen!$C$65,0))*(1-Annahmen!$C$62)*Annahmen!$B$76</f>
        <v>211.296051229327</v>
      </c>
      <c r="Q80" s="24" t="n">
        <f aca="false">IF(D80=0,0,MIN(Annahmen!$B$170,Annahmen!$C$169*D80/(Annahmen!$C$169*D80+E80)))</f>
        <v>0.5859375</v>
      </c>
      <c r="R80" s="23" t="n">
        <f aca="false">O80*Q80*Annahmen!$B$177</f>
        <v>704.254162760869</v>
      </c>
      <c r="S80" s="23" t="n">
        <f aca="false">Annahmen!$C$66*Annahmen!$B$42</f>
        <v>230.967701791488</v>
      </c>
      <c r="T80" s="23" t="n">
        <f aca="false">IF($A80&gt;=Annahmen!$C$54,Annahmen!$C$63*(1-Annahmen!$C$64)*Annahmen!$B$43+(Annahmen!$C$63*Annahmen!$C$64+Annahmen!$C$65)*Annahmen!$B$44,0)</f>
        <v>79.1744983854023</v>
      </c>
      <c r="U80" s="23" t="n">
        <f aca="false">C80*Annahmen!$B$77</f>
        <v>66.0560796688406</v>
      </c>
      <c r="V80" s="23" t="n">
        <f aca="false">SUMPRODUCT((((Annahmen!$C$145:$C$155="monatlich")*(Annahmen!$D$145:$D$155&lt;=$A80))+((Annahmen!$C$145:$C$155="einmalig")*(Annahmen!$D$145:$D$155=$A80)))*Annahmen!$B$145:$B$155*Annahmen!$E$145:$E$155)</f>
        <v>69.9850799606897</v>
      </c>
      <c r="W80" s="23" t="n">
        <f aca="false">IF($A80&gt;=Annahmen!$C$54,Annahmen!$C$134,0)</f>
        <v>500</v>
      </c>
      <c r="X80" s="35" t="n">
        <f aca="false">MAX(0,(I80-Annahmen!$B$138)/Annahmen!$B$139)</f>
        <v>0</v>
      </c>
      <c r="Y80" s="23" t="n">
        <f aca="false">X80*Annahmen!$B$137</f>
        <v>0</v>
      </c>
      <c r="Z80" s="23" t="n">
        <f aca="false">N80-P80-R80-S80-T80-U80-V80-W80-Y80</f>
        <v>331.824584934838</v>
      </c>
      <c r="AA80" s="23" t="n">
        <f aca="false">AA79+Z80</f>
        <v>-7211.2258565397</v>
      </c>
      <c r="AB80" s="17" t="n">
        <f aca="false">IF($A80&gt;=Annahmen!$C$161,Annahmen!$C$162,0)</f>
        <v>5</v>
      </c>
      <c r="AC80" s="17" t="n">
        <f aca="false">AB80*(1-Annahmen!$B$180)</f>
        <v>4</v>
      </c>
      <c r="AD80" s="23" t="n">
        <f aca="false">AC80*(Annahmen!$B$178+Annahmen!$B$179)</f>
        <v>1400</v>
      </c>
      <c r="AE80" s="23" t="n">
        <f aca="false">AB80*(Annahmen!$B$47+Annahmen!$B$163*Annahmen!$B$10)</f>
        <v>43.3587163568827</v>
      </c>
      <c r="AF80" s="23" t="n">
        <f aca="false">AD80-AE80</f>
        <v>1356.64128364312</v>
      </c>
      <c r="AG80" s="23" t="n">
        <f aca="false">Gesamt!J64-TÆLLA!Y64+Z80+AF80</f>
        <v>3819.79058119339</v>
      </c>
      <c r="AH80" s="23" t="n">
        <f aca="false">AH79+AG80</f>
        <v>39179.1683628747</v>
      </c>
      <c r="AI80" s="15" t="n">
        <f aca="false">IF(AG80&gt;0,1,0)</f>
        <v>1</v>
      </c>
      <c r="AJ80" s="15" t="n">
        <f aca="false">IF(AH80&gt;=0,1,0)</f>
        <v>1</v>
      </c>
      <c r="AK80" s="7" t="n">
        <f aca="false">IF(Z80&gt;0,1,0)</f>
        <v>1</v>
      </c>
      <c r="AL80" s="7" t="n">
        <f aca="false">IF(AA80&gt;=0,1,0)</f>
        <v>0</v>
      </c>
    </row>
    <row r="81" customFormat="false" ht="15" hidden="false" customHeight="false" outlineLevel="0" collapsed="false">
      <c r="A81" s="7" t="n">
        <v>19</v>
      </c>
      <c r="B81" s="7" t="s">
        <v>368</v>
      </c>
      <c r="C81" s="15" t="n">
        <f aca="false">IF($A81&lt;Annahmen!$C$54,0,IF($A81=Annahmen!$C$54,Annahmen!$C$55,C80*(1+(Annahmen!$C$56+F81)*(1-C80/Annahmen!$C$57))))</f>
        <v>8074.71863416341</v>
      </c>
      <c r="D81" s="17" t="n">
        <f aca="false">D80+IF($A81&gt;=Annahmen!$C$161,Annahmen!$C$162,0)</f>
        <v>80</v>
      </c>
      <c r="E81" s="17" t="n">
        <f aca="false">E80+Annahmen!$C$66</f>
        <v>167</v>
      </c>
      <c r="F81" s="24" t="n">
        <f aca="false">MIN(Annahmen!$C$166,Annahmen!$C$165*D81/10)</f>
        <v>0.08</v>
      </c>
      <c r="G81" s="41" t="n">
        <f aca="false">MIN(Annahmen!$C$168,Annahmen!$C$167*D81/10)</f>
        <v>0.004</v>
      </c>
      <c r="H81" s="17" t="n">
        <f aca="false">C81*(Annahmen!$C$58+G81)</f>
        <v>113.046060878288</v>
      </c>
      <c r="I81" s="17" t="n">
        <f aca="false">I80*(1-Annahmen!$C$59)+H81</f>
        <v>469.434729669151</v>
      </c>
      <c r="J81" s="17" t="n">
        <f aca="false">I81*(1-Annahmen!$C$60)</f>
        <v>281.660837801491</v>
      </c>
      <c r="K81" s="17" t="n">
        <f aca="false">I81*Annahmen!$C$60</f>
        <v>187.773891867661</v>
      </c>
      <c r="L81" s="23" t="n">
        <f aca="false">J81*Annahmen!$C$78+K81*Annahmen!$C$79</f>
        <v>2976.37266434564</v>
      </c>
      <c r="M81" s="23" t="n">
        <f aca="false">IF($A81&gt;=Annahmen!$C$54,Annahmen!$C$63*((1-Annahmen!$C$64)*Annahmen!$B$71+Annahmen!$C$64*Annahmen!$B$72)+Annahmen!$C$65*Annahmen!$B$73,0)</f>
        <v>206.48</v>
      </c>
      <c r="N81" s="23" t="n">
        <f aca="false">(L81+M81)/(1+Annahmen!$B$8)</f>
        <v>2674.66610449214</v>
      </c>
      <c r="O81" s="23" t="n">
        <f aca="false">L81/(1+Annahmen!$B$8)</f>
        <v>2501.15349945012</v>
      </c>
      <c r="P81" s="23" t="n">
        <f aca="false">N81*(Annahmen!$C$62*Annahmen!$B$74+(1-Annahmen!$C$62)*Annahmen!$B$75)+(I81*Annahmen!$C$61+I81*(1-Annahmen!$C$61)/12+IF($A81&gt;=Annahmen!$C$54,Annahmen!$C$63+Annahmen!$C$65,0))*(1-Annahmen!$C$62)*Annahmen!$B$76</f>
        <v>258.136036386076</v>
      </c>
      <c r="Q81" s="24" t="n">
        <f aca="false">IF(D81=0,0,MIN(Annahmen!$B$170,Annahmen!$C$169*D81/(Annahmen!$C$169*D81+E81)))</f>
        <v>0.58968058968059</v>
      </c>
      <c r="R81" s="23" t="n">
        <f aca="false">O81*Q81*Annahmen!$B$177</f>
        <v>877.554593910263</v>
      </c>
      <c r="S81" s="23" t="n">
        <f aca="false">Annahmen!$C$66*Annahmen!$B$42</f>
        <v>230.967701791488</v>
      </c>
      <c r="T81" s="23" t="n">
        <f aca="false">IF($A81&gt;=Annahmen!$C$54,Annahmen!$C$63*(1-Annahmen!$C$64)*Annahmen!$B$43+(Annahmen!$C$63*Annahmen!$C$64+Annahmen!$C$65)*Annahmen!$B$44,0)</f>
        <v>79.1744983854023</v>
      </c>
      <c r="U81" s="23" t="n">
        <f aca="false">C81*Annahmen!$B$77</f>
        <v>80.7471863416341</v>
      </c>
      <c r="V81" s="23" t="n">
        <f aca="false">SUMPRODUCT((((Annahmen!$C$145:$C$155="monatlich")*(Annahmen!$D$145:$D$155&lt;=$A81))+((Annahmen!$C$145:$C$155="einmalig")*(Annahmen!$D$145:$D$155=$A81)))*Annahmen!$B$145:$B$155*Annahmen!$E$145:$E$155)</f>
        <v>69.9850799606897</v>
      </c>
      <c r="W81" s="23" t="n">
        <f aca="false">IF($A81&gt;=Annahmen!$C$54,Annahmen!$C$134,0)</f>
        <v>500</v>
      </c>
      <c r="X81" s="35" t="n">
        <f aca="false">MAX(0,(I81-Annahmen!$B$138)/Annahmen!$B$139)</f>
        <v>0</v>
      </c>
      <c r="Y81" s="23" t="n">
        <f aca="false">X81*Annahmen!$B$137</f>
        <v>0</v>
      </c>
      <c r="Z81" s="23" t="n">
        <f aca="false">N81-P81-R81-S81-T81-U81-V81-W81-Y81</f>
        <v>578.101007716583</v>
      </c>
      <c r="AA81" s="23" t="n">
        <f aca="false">AA80+Z81</f>
        <v>-6633.12484882312</v>
      </c>
      <c r="AB81" s="17" t="n">
        <f aca="false">IF($A81&gt;=Annahmen!$C$161,Annahmen!$C$162,0)</f>
        <v>5</v>
      </c>
      <c r="AC81" s="17" t="n">
        <f aca="false">AB81*(1-Annahmen!$B$180)</f>
        <v>4</v>
      </c>
      <c r="AD81" s="23" t="n">
        <f aca="false">AC81*(Annahmen!$B$178+Annahmen!$B$179)</f>
        <v>1400</v>
      </c>
      <c r="AE81" s="23" t="n">
        <f aca="false">AB81*(Annahmen!$B$47+Annahmen!$B$163*Annahmen!$B$10)</f>
        <v>43.3587163568827</v>
      </c>
      <c r="AF81" s="23" t="n">
        <f aca="false">AD81-AE81</f>
        <v>1356.64128364312</v>
      </c>
      <c r="AG81" s="23" t="n">
        <f aca="false">Gesamt!J65-TÆLLA!Y65+Z81+AF81</f>
        <v>4075.63546191906</v>
      </c>
      <c r="AH81" s="23" t="n">
        <f aca="false">AH80+AG81</f>
        <v>43254.8038247938</v>
      </c>
      <c r="AI81" s="15" t="n">
        <f aca="false">IF(AG81&gt;0,1,0)</f>
        <v>1</v>
      </c>
      <c r="AJ81" s="15" t="n">
        <f aca="false">IF(AH81&gt;=0,1,0)</f>
        <v>1</v>
      </c>
      <c r="AK81" s="7" t="n">
        <f aca="false">IF(Z81&gt;0,1,0)</f>
        <v>1</v>
      </c>
      <c r="AL81" s="7" t="n">
        <f aca="false">IF(AA81&gt;=0,1,0)</f>
        <v>0</v>
      </c>
    </row>
    <row r="82" customFormat="false" ht="15" hidden="false" customHeight="false" outlineLevel="0" collapsed="false">
      <c r="A82" s="7" t="n">
        <v>20</v>
      </c>
      <c r="B82" s="7" t="s">
        <v>369</v>
      </c>
      <c r="C82" s="15" t="n">
        <f aca="false">IF($A82&lt;Annahmen!$C$54,0,IF($A82=Annahmen!$C$54,Annahmen!$C$55,C81*(1+(Annahmen!$C$56+F82)*(1-C81/Annahmen!$C$57))))</f>
        <v>9895.66624299225</v>
      </c>
      <c r="D82" s="17" t="n">
        <f aca="false">D81+IF($A82&gt;=Annahmen!$C$161,Annahmen!$C$162,0)</f>
        <v>85</v>
      </c>
      <c r="E82" s="17" t="n">
        <f aca="false">E81+Annahmen!$C$66</f>
        <v>175</v>
      </c>
      <c r="F82" s="24" t="n">
        <f aca="false">MIN(Annahmen!$C$166,Annahmen!$C$165*D82/10)</f>
        <v>0.085</v>
      </c>
      <c r="G82" s="41" t="n">
        <f aca="false">MIN(Annahmen!$C$168,Annahmen!$C$167*D82/10)</f>
        <v>0.00425</v>
      </c>
      <c r="H82" s="17" t="n">
        <f aca="false">C82*(Annahmen!$C$58+G82)</f>
        <v>141.01324396264</v>
      </c>
      <c r="I82" s="17" t="n">
        <f aca="false">I81*(1-Annahmen!$C$59)+H82</f>
        <v>582.281889851642</v>
      </c>
      <c r="J82" s="17" t="n">
        <f aca="false">I82*(1-Annahmen!$C$60)</f>
        <v>349.369133910985</v>
      </c>
      <c r="K82" s="17" t="n">
        <f aca="false">I82*Annahmen!$C$60</f>
        <v>232.912755940657</v>
      </c>
      <c r="L82" s="23" t="n">
        <f aca="false">J82*Annahmen!$C$78+K82*Annahmen!$C$79</f>
        <v>3691.86127562269</v>
      </c>
      <c r="M82" s="23" t="n">
        <f aca="false">IF($A82&gt;=Annahmen!$C$54,Annahmen!$C$63*((1-Annahmen!$C$64)*Annahmen!$B$71+Annahmen!$C$64*Annahmen!$B$72)+Annahmen!$C$65*Annahmen!$B$73,0)</f>
        <v>206.48</v>
      </c>
      <c r="N82" s="23" t="n">
        <f aca="false">(L82+M82)/(1+Annahmen!$B$8)</f>
        <v>3275.9170383384</v>
      </c>
      <c r="O82" s="23" t="n">
        <f aca="false">L82/(1+Annahmen!$B$8)</f>
        <v>3102.40443329638</v>
      </c>
      <c r="P82" s="23" t="n">
        <f aca="false">N82*(Annahmen!$C$62*Annahmen!$B$74+(1-Annahmen!$C$62)*Annahmen!$B$75)+(I82*Annahmen!$C$61+I82*(1-Annahmen!$C$61)/12+IF($A82&gt;=Annahmen!$C$54,Annahmen!$C$63+Annahmen!$C$65,0))*(1-Annahmen!$C$62)*Annahmen!$B$76</f>
        <v>316.672971942839</v>
      </c>
      <c r="Q82" s="24" t="n">
        <f aca="false">IF(D82=0,0,MIN(Annahmen!$B$170,Annahmen!$C$169*D82/(Annahmen!$C$169*D82+E82)))</f>
        <v>0.593023255813954</v>
      </c>
      <c r="R82" s="23" t="n">
        <f aca="false">O82*Q82*Annahmen!$B$177</f>
        <v>1094.67979684161</v>
      </c>
      <c r="S82" s="23" t="n">
        <f aca="false">Annahmen!$C$66*Annahmen!$B$42</f>
        <v>230.967701791488</v>
      </c>
      <c r="T82" s="23" t="n">
        <f aca="false">IF($A82&gt;=Annahmen!$C$54,Annahmen!$C$63*(1-Annahmen!$C$64)*Annahmen!$B$43+(Annahmen!$C$63*Annahmen!$C$64+Annahmen!$C$65)*Annahmen!$B$44,0)</f>
        <v>79.1744983854023</v>
      </c>
      <c r="U82" s="23" t="n">
        <f aca="false">C82*Annahmen!$B$77</f>
        <v>98.9566624299225</v>
      </c>
      <c r="V82" s="23" t="n">
        <f aca="false">SUMPRODUCT((((Annahmen!$C$145:$C$155="monatlich")*(Annahmen!$D$145:$D$155&lt;=$A82))+((Annahmen!$C$145:$C$155="einmalig")*(Annahmen!$D$145:$D$155=$A82)))*Annahmen!$B$145:$B$155*Annahmen!$E$145:$E$155)</f>
        <v>69.9850799606897</v>
      </c>
      <c r="W82" s="23" t="n">
        <f aca="false">IF($A82&gt;=Annahmen!$C$54,Annahmen!$C$134,0)</f>
        <v>500</v>
      </c>
      <c r="X82" s="35" t="n">
        <f aca="false">MAX(0,(I82-Annahmen!$B$138)/Annahmen!$B$139)</f>
        <v>0</v>
      </c>
      <c r="Y82" s="23" t="n">
        <f aca="false">X82*Annahmen!$B$137</f>
        <v>0</v>
      </c>
      <c r="Z82" s="23" t="n">
        <f aca="false">N82-P82-R82-S82-T82-U82-V82-W82-Y82</f>
        <v>885.480326986443</v>
      </c>
      <c r="AA82" s="23" t="n">
        <f aca="false">AA81+Z82</f>
        <v>-5747.64452183667</v>
      </c>
      <c r="AB82" s="17" t="n">
        <f aca="false">IF($A82&gt;=Annahmen!$C$161,Annahmen!$C$162,0)</f>
        <v>5</v>
      </c>
      <c r="AC82" s="17" t="n">
        <f aca="false">AB82*(1-Annahmen!$B$180)</f>
        <v>4</v>
      </c>
      <c r="AD82" s="23" t="n">
        <f aca="false">AC82*(Annahmen!$B$178+Annahmen!$B$179)</f>
        <v>1400</v>
      </c>
      <c r="AE82" s="23" t="n">
        <f aca="false">AB82*(Annahmen!$B$47+Annahmen!$B$163*Annahmen!$B$10)</f>
        <v>43.3587163568827</v>
      </c>
      <c r="AF82" s="23" t="n">
        <f aca="false">AD82-AE82</f>
        <v>1356.64128364312</v>
      </c>
      <c r="AG82" s="23" t="n">
        <f aca="false">Gesamt!J66-TÆLLA!Y66+Z82+AF82</f>
        <v>4392.58323913285</v>
      </c>
      <c r="AH82" s="23" t="n">
        <f aca="false">AH81+AG82</f>
        <v>47647.3870639266</v>
      </c>
      <c r="AI82" s="15" t="n">
        <f aca="false">IF(AG82&gt;0,1,0)</f>
        <v>1</v>
      </c>
      <c r="AJ82" s="15" t="n">
        <f aca="false">IF(AH82&gt;=0,1,0)</f>
        <v>1</v>
      </c>
      <c r="AK82" s="7" t="n">
        <f aca="false">IF(Z82&gt;0,1,0)</f>
        <v>1</v>
      </c>
      <c r="AL82" s="7" t="n">
        <f aca="false">IF(AA82&gt;=0,1,0)</f>
        <v>0</v>
      </c>
    </row>
    <row r="83" customFormat="false" ht="15" hidden="false" customHeight="false" outlineLevel="0" collapsed="false">
      <c r="A83" s="7" t="n">
        <v>21</v>
      </c>
      <c r="B83" s="7" t="s">
        <v>370</v>
      </c>
      <c r="C83" s="15" t="n">
        <f aca="false">IF($A83&lt;Annahmen!$C$54,0,IF($A83=Annahmen!$C$54,Annahmen!$C$55,C82*(1+(Annahmen!$C$56+F83)*(1-C82/Annahmen!$C$57))))</f>
        <v>12153.1170888392</v>
      </c>
      <c r="D83" s="17" t="n">
        <f aca="false">D82+IF($A83&gt;=Annahmen!$C$161,Annahmen!$C$162,0)</f>
        <v>90</v>
      </c>
      <c r="E83" s="17" t="n">
        <f aca="false">E82+Annahmen!$C$66</f>
        <v>183</v>
      </c>
      <c r="F83" s="24" t="n">
        <f aca="false">MIN(Annahmen!$C$166,Annahmen!$C$165*D83/10)</f>
        <v>0.09</v>
      </c>
      <c r="G83" s="41" t="n">
        <f aca="false">MIN(Annahmen!$C$168,Annahmen!$C$167*D83/10)</f>
        <v>0.0045</v>
      </c>
      <c r="H83" s="17" t="n">
        <f aca="false">C83*(Annahmen!$C$58+G83)</f>
        <v>176.220197788168</v>
      </c>
      <c r="I83" s="17" t="n">
        <f aca="false">I82*(1-Annahmen!$C$59)+H83</f>
        <v>723.565174248711</v>
      </c>
      <c r="J83" s="17" t="n">
        <f aca="false">I83*(1-Annahmen!$C$60)</f>
        <v>434.139104549227</v>
      </c>
      <c r="K83" s="17" t="n">
        <f aca="false">I83*Annahmen!$C$60</f>
        <v>289.426069699484</v>
      </c>
      <c r="L83" s="23" t="n">
        <f aca="false">J83*Annahmen!$C$78+K83*Annahmen!$C$79</f>
        <v>4587.64439312824</v>
      </c>
      <c r="M83" s="23" t="n">
        <f aca="false">IF($A83&gt;=Annahmen!$C$54,Annahmen!$C$63*((1-Annahmen!$C$64)*Annahmen!$B$71+Annahmen!$C$64*Annahmen!$B$72)+Annahmen!$C$65*Annahmen!$B$73,0)</f>
        <v>206.48</v>
      </c>
      <c r="N83" s="23" t="n">
        <f aca="false">(L83+M83)/(1+Annahmen!$B$8)</f>
        <v>4028.67596061197</v>
      </c>
      <c r="O83" s="23" t="n">
        <f aca="false">L83/(1+Annahmen!$B$8)</f>
        <v>3855.16335556995</v>
      </c>
      <c r="P83" s="23" t="n">
        <f aca="false">N83*(Annahmen!$C$62*Annahmen!$B$74+(1-Annahmen!$C$62)*Annahmen!$B$75)+(I83*Annahmen!$C$61+I83*(1-Annahmen!$C$61)/12+IF($A83&gt;=Annahmen!$C$54,Annahmen!$C$63+Annahmen!$C$65,0))*(1-Annahmen!$C$62)*Annahmen!$B$76</f>
        <v>389.960509711844</v>
      </c>
      <c r="Q83" s="24" t="n">
        <f aca="false">IF(D83=0,0,MIN(Annahmen!$B$170,Annahmen!$C$169*D83/(Annahmen!$C$169*D83+E83)))</f>
        <v>0.596026490066225</v>
      </c>
      <c r="R83" s="23" t="n">
        <f aca="false">O83*Q83*Annahmen!$B$177</f>
        <v>1367.17879265411</v>
      </c>
      <c r="S83" s="23" t="n">
        <f aca="false">Annahmen!$C$66*Annahmen!$B$42</f>
        <v>230.967701791488</v>
      </c>
      <c r="T83" s="23" t="n">
        <f aca="false">IF($A83&gt;=Annahmen!$C$54,Annahmen!$C$63*(1-Annahmen!$C$64)*Annahmen!$B$43+(Annahmen!$C$63*Annahmen!$C$64+Annahmen!$C$65)*Annahmen!$B$44,0)</f>
        <v>79.1744983854023</v>
      </c>
      <c r="U83" s="23" t="n">
        <f aca="false">C83*Annahmen!$B$77</f>
        <v>121.531170888392</v>
      </c>
      <c r="V83" s="23" t="n">
        <f aca="false">SUMPRODUCT((((Annahmen!$C$145:$C$155="monatlich")*(Annahmen!$D$145:$D$155&lt;=$A83))+((Annahmen!$C$145:$C$155="einmalig")*(Annahmen!$D$145:$D$155=$A83)))*Annahmen!$B$145:$B$155*Annahmen!$E$145:$E$155)</f>
        <v>69.9850799606897</v>
      </c>
      <c r="W83" s="23" t="n">
        <f aca="false">IF($A83&gt;=Annahmen!$C$54,Annahmen!$C$134,0)</f>
        <v>500</v>
      </c>
      <c r="X83" s="35" t="n">
        <f aca="false">MAX(0,(I83-Annahmen!$B$138)/Annahmen!$B$139)</f>
        <v>0</v>
      </c>
      <c r="Y83" s="23" t="n">
        <f aca="false">X83*Annahmen!$B$137</f>
        <v>0</v>
      </c>
      <c r="Z83" s="23" t="n">
        <f aca="false">N83-P83-R83-S83-T83-U83-V83-W83-Y83</f>
        <v>1269.87820722004</v>
      </c>
      <c r="AA83" s="23" t="n">
        <f aca="false">AA82+Z83</f>
        <v>-4477.76631461663</v>
      </c>
      <c r="AB83" s="17" t="n">
        <f aca="false">IF($A83&gt;=Annahmen!$C$161,Annahmen!$C$162,0)</f>
        <v>5</v>
      </c>
      <c r="AC83" s="17" t="n">
        <f aca="false">AB83*(1-Annahmen!$B$180)</f>
        <v>4</v>
      </c>
      <c r="AD83" s="23" t="n">
        <f aca="false">AC83*(Annahmen!$B$178+Annahmen!$B$179)</f>
        <v>1400</v>
      </c>
      <c r="AE83" s="23" t="n">
        <f aca="false">AB83*(Annahmen!$B$47+Annahmen!$B$163*Annahmen!$B$10)</f>
        <v>43.3587163568827</v>
      </c>
      <c r="AF83" s="23" t="n">
        <f aca="false">AD83-AE83</f>
        <v>1356.64128364312</v>
      </c>
      <c r="AG83" s="23" t="n">
        <f aca="false">Gesamt!J67-TÆLLA!Y67+Z83+AF83</f>
        <v>4786.54957731037</v>
      </c>
      <c r="AH83" s="23" t="n">
        <f aca="false">AH82+AG83</f>
        <v>52433.936641237</v>
      </c>
      <c r="AI83" s="15" t="n">
        <f aca="false">IF(AG83&gt;0,1,0)</f>
        <v>1</v>
      </c>
      <c r="AJ83" s="15" t="n">
        <f aca="false">IF(AH83&gt;=0,1,0)</f>
        <v>1</v>
      </c>
      <c r="AK83" s="7" t="n">
        <f aca="false">IF(Z83&gt;0,1,0)</f>
        <v>1</v>
      </c>
      <c r="AL83" s="7" t="n">
        <f aca="false">IF(AA83&gt;=0,1,0)</f>
        <v>0</v>
      </c>
    </row>
    <row r="84" customFormat="false" ht="15" hidden="false" customHeight="false" outlineLevel="0" collapsed="false">
      <c r="A84" s="7" t="n">
        <v>22</v>
      </c>
      <c r="B84" s="7" t="s">
        <v>371</v>
      </c>
      <c r="C84" s="15" t="n">
        <f aca="false">IF($A84&lt;Annahmen!$C$54,0,IF($A84=Annahmen!$C$54,Annahmen!$C$55,C83*(1+(Annahmen!$C$56+F84)*(1-C83/Annahmen!$C$57))))</f>
        <v>14949.7004132603</v>
      </c>
      <c r="D84" s="17" t="n">
        <f aca="false">D83+IF($A84&gt;=Annahmen!$C$161,Annahmen!$C$162,0)</f>
        <v>95</v>
      </c>
      <c r="E84" s="17" t="n">
        <f aca="false">E83+Annahmen!$C$66</f>
        <v>191</v>
      </c>
      <c r="F84" s="24" t="n">
        <f aca="false">MIN(Annahmen!$C$166,Annahmen!$C$165*D84/10)</f>
        <v>0.095</v>
      </c>
      <c r="G84" s="41" t="n">
        <f aca="false">MIN(Annahmen!$C$168,Annahmen!$C$167*D84/10)</f>
        <v>0.00475</v>
      </c>
      <c r="H84" s="17" t="n">
        <f aca="false">C84*(Annahmen!$C$58+G84)</f>
        <v>220.50808109559</v>
      </c>
      <c r="I84" s="17" t="n">
        <f aca="false">I83*(1-Annahmen!$C$59)+H84</f>
        <v>900.659344889378</v>
      </c>
      <c r="J84" s="17" t="n">
        <f aca="false">I84*(1-Annahmen!$C$60)</f>
        <v>540.395606933627</v>
      </c>
      <c r="K84" s="17" t="n">
        <f aca="false">I84*Annahmen!$C$60</f>
        <v>360.263737955751</v>
      </c>
      <c r="L84" s="23" t="n">
        <f aca="false">J84*Annahmen!$C$78+K84*Annahmen!$C$79</f>
        <v>5710.48046638029</v>
      </c>
      <c r="M84" s="23" t="n">
        <f aca="false">IF($A84&gt;=Annahmen!$C$54,Annahmen!$C$63*((1-Annahmen!$C$64)*Annahmen!$B$71+Annahmen!$C$64*Annahmen!$B$72)+Annahmen!$C$65*Annahmen!$B$73,0)</f>
        <v>206.48</v>
      </c>
      <c r="N84" s="23" t="n">
        <f aca="false">(L84+M84)/(1+Annahmen!$B$8)</f>
        <v>4972.23568603385</v>
      </c>
      <c r="O84" s="23" t="n">
        <f aca="false">L84/(1+Annahmen!$B$8)</f>
        <v>4798.72308099184</v>
      </c>
      <c r="P84" s="23" t="n">
        <f aca="false">N84*(Annahmen!$C$62*Annahmen!$B$74+(1-Annahmen!$C$62)*Annahmen!$B$75)+(I84*Annahmen!$C$61+I84*(1-Annahmen!$C$61)/12+IF($A84&gt;=Annahmen!$C$54,Annahmen!$C$63+Annahmen!$C$65,0))*(1-Annahmen!$C$62)*Annahmen!$B$76</f>
        <v>481.824142234869</v>
      </c>
      <c r="Q84" s="24" t="n">
        <f aca="false">IF(D84=0,0,MIN(Annahmen!$B$170,Annahmen!$C$169*D84/(Annahmen!$C$169*D84+E84)))</f>
        <v>0.598739495798319</v>
      </c>
      <c r="R84" s="23" t="n">
        <f aca="false">O84*Q84*Annahmen!$B$177</f>
        <v>1709.54509760334</v>
      </c>
      <c r="S84" s="23" t="n">
        <f aca="false">Annahmen!$C$66*Annahmen!$B$42</f>
        <v>230.967701791488</v>
      </c>
      <c r="T84" s="23" t="n">
        <f aca="false">IF($A84&gt;=Annahmen!$C$54,Annahmen!$C$63*(1-Annahmen!$C$64)*Annahmen!$B$43+(Annahmen!$C$63*Annahmen!$C$64+Annahmen!$C$65)*Annahmen!$B$44,0)</f>
        <v>79.1744983854023</v>
      </c>
      <c r="U84" s="23" t="n">
        <f aca="false">C84*Annahmen!$B$77</f>
        <v>149.497004132603</v>
      </c>
      <c r="V84" s="23" t="n">
        <f aca="false">SUMPRODUCT((((Annahmen!$C$145:$C$155="monatlich")*(Annahmen!$D$145:$D$155&lt;=$A84))+((Annahmen!$C$145:$C$155="einmalig")*(Annahmen!$D$145:$D$155=$A84)))*Annahmen!$B$145:$B$155*Annahmen!$E$145:$E$155)</f>
        <v>69.9850799606897</v>
      </c>
      <c r="W84" s="23" t="n">
        <f aca="false">IF($A84&gt;=Annahmen!$C$54,Annahmen!$C$134,0)</f>
        <v>500</v>
      </c>
      <c r="X84" s="35" t="n">
        <f aca="false">MAX(0,(I84-Annahmen!$B$138)/Annahmen!$B$139)</f>
        <v>0</v>
      </c>
      <c r="Y84" s="23" t="n">
        <f aca="false">X84*Annahmen!$B$137</f>
        <v>0</v>
      </c>
      <c r="Z84" s="23" t="n">
        <f aca="false">N84-P84-R84-S84-T84-U84-V84-W84-Y84</f>
        <v>1751.24216192546</v>
      </c>
      <c r="AA84" s="23" t="n">
        <f aca="false">AA83+Z84</f>
        <v>-2726.52415269117</v>
      </c>
      <c r="AB84" s="17" t="n">
        <f aca="false">IF($A84&gt;=Annahmen!$C$161,Annahmen!$C$162,0)</f>
        <v>5</v>
      </c>
      <c r="AC84" s="17" t="n">
        <f aca="false">AB84*(1-Annahmen!$B$180)</f>
        <v>4</v>
      </c>
      <c r="AD84" s="23" t="n">
        <f aca="false">AC84*(Annahmen!$B$178+Annahmen!$B$179)</f>
        <v>1400</v>
      </c>
      <c r="AE84" s="23" t="n">
        <f aca="false">AB84*(Annahmen!$B$47+Annahmen!$B$163*Annahmen!$B$10)</f>
        <v>43.3587163568827</v>
      </c>
      <c r="AF84" s="23" t="n">
        <f aca="false">AD84-AE84</f>
        <v>1356.64128364312</v>
      </c>
      <c r="AG84" s="23" t="n">
        <f aca="false">Gesamt!J68-TÆLLA!Y68+Z84+AF84</f>
        <v>5277.48198995971</v>
      </c>
      <c r="AH84" s="23" t="n">
        <f aca="false">AH83+AG84</f>
        <v>57711.4186311967</v>
      </c>
      <c r="AI84" s="15" t="n">
        <f aca="false">IF(AG84&gt;0,1,0)</f>
        <v>1</v>
      </c>
      <c r="AJ84" s="15" t="n">
        <f aca="false">IF(AH84&gt;=0,1,0)</f>
        <v>1</v>
      </c>
      <c r="AK84" s="7" t="n">
        <f aca="false">IF(Z84&gt;0,1,0)</f>
        <v>1</v>
      </c>
      <c r="AL84" s="7" t="n">
        <f aca="false">IF(AA84&gt;=0,1,0)</f>
        <v>0</v>
      </c>
    </row>
    <row r="85" customFormat="false" ht="15" hidden="false" customHeight="false" outlineLevel="0" collapsed="false">
      <c r="A85" s="7" t="n">
        <v>23</v>
      </c>
      <c r="B85" s="7" t="s">
        <v>372</v>
      </c>
      <c r="C85" s="15" t="n">
        <f aca="false">IF($A85&lt;Annahmen!$C$54,0,IF($A85=Annahmen!$C$54,Annahmen!$C$55,C84*(1+(Annahmen!$C$56+F85)*(1-C84/Annahmen!$C$57))))</f>
        <v>18407.7585885176</v>
      </c>
      <c r="D85" s="17" t="n">
        <f aca="false">D84+IF($A85&gt;=Annahmen!$C$161,Annahmen!$C$162,0)</f>
        <v>100</v>
      </c>
      <c r="E85" s="17" t="n">
        <f aca="false">E84+Annahmen!$C$66</f>
        <v>199</v>
      </c>
      <c r="F85" s="24" t="n">
        <f aca="false">MIN(Annahmen!$C$166,Annahmen!$C$165*D85/10)</f>
        <v>0.1</v>
      </c>
      <c r="G85" s="41" t="n">
        <f aca="false">MIN(Annahmen!$C$168,Annahmen!$C$167*D85/10)</f>
        <v>0.005</v>
      </c>
      <c r="H85" s="17" t="n">
        <f aca="false">C85*(Annahmen!$C$58+G85)</f>
        <v>276.116378827764</v>
      </c>
      <c r="I85" s="17" t="n">
        <f aca="false">I84*(1-Annahmen!$C$59)+H85</f>
        <v>1122.73616302378</v>
      </c>
      <c r="J85" s="17" t="n">
        <f aca="false">I85*(1-Annahmen!$C$60)</f>
        <v>673.641697814268</v>
      </c>
      <c r="K85" s="17" t="n">
        <f aca="false">I85*Annahmen!$C$60</f>
        <v>449.094465209512</v>
      </c>
      <c r="L85" s="23" t="n">
        <f aca="false">J85*Annahmen!$C$78+K85*Annahmen!$C$79</f>
        <v>7118.52151895844</v>
      </c>
      <c r="M85" s="23" t="n">
        <f aca="false">IF($A85&gt;=Annahmen!$C$54,Annahmen!$C$63*((1-Annahmen!$C$64)*Annahmen!$B$71+Annahmen!$C$64*Annahmen!$B$72)+Annahmen!$C$65*Annahmen!$B$73,0)</f>
        <v>206.48</v>
      </c>
      <c r="N85" s="23" t="n">
        <f aca="false">(L85+M85)/(1+Annahmen!$B$8)</f>
        <v>6155.46346130961</v>
      </c>
      <c r="O85" s="23" t="n">
        <f aca="false">L85/(1+Annahmen!$B$8)</f>
        <v>5981.95085626759</v>
      </c>
      <c r="P85" s="23" t="n">
        <f aca="false">N85*(Annahmen!$C$62*Annahmen!$B$74+(1-Annahmen!$C$62)*Annahmen!$B$75)+(I85*Annahmen!$C$61+I85*(1-Annahmen!$C$61)/12+IF($A85&gt;=Annahmen!$C$54,Annahmen!$C$63+Annahmen!$C$65,0))*(1-Annahmen!$C$62)*Annahmen!$B$76</f>
        <v>597.021515130759</v>
      </c>
      <c r="Q85" s="24" t="n">
        <f aca="false">IF(D85=0,0,MIN(Annahmen!$B$170,Annahmen!$C$169*D85/(Annahmen!$C$169*D85+E85)))</f>
        <v>0.601202404809619</v>
      </c>
      <c r="R85" s="23" t="n">
        <f aca="false">O85*Q85*Annahmen!$B$177</f>
        <v>2139.83612794342</v>
      </c>
      <c r="S85" s="23" t="n">
        <f aca="false">Annahmen!$C$66*Annahmen!$B$42</f>
        <v>230.967701791488</v>
      </c>
      <c r="T85" s="23" t="n">
        <f aca="false">IF($A85&gt;=Annahmen!$C$54,Annahmen!$C$63*(1-Annahmen!$C$64)*Annahmen!$B$43+(Annahmen!$C$63*Annahmen!$C$64+Annahmen!$C$65)*Annahmen!$B$44,0)</f>
        <v>79.1744983854023</v>
      </c>
      <c r="U85" s="23" t="n">
        <f aca="false">C85*Annahmen!$B$77</f>
        <v>184.077585885176</v>
      </c>
      <c r="V85" s="23" t="n">
        <f aca="false">SUMPRODUCT((((Annahmen!$C$145:$C$155="monatlich")*(Annahmen!$D$145:$D$155&lt;=$A85))+((Annahmen!$C$145:$C$155="einmalig")*(Annahmen!$D$145:$D$155=$A85)))*Annahmen!$B$145:$B$155*Annahmen!$E$145:$E$155)</f>
        <v>69.9850799606897</v>
      </c>
      <c r="W85" s="23" t="n">
        <f aca="false">IF($A85&gt;=Annahmen!$C$54,Annahmen!$C$134,0)</f>
        <v>500</v>
      </c>
      <c r="X85" s="35" t="n">
        <f aca="false">MAX(0,(I85-Annahmen!$B$138)/Annahmen!$B$139)</f>
        <v>0.0409120543412598</v>
      </c>
      <c r="Y85" s="23" t="n">
        <f aca="false">X85*Annahmen!$B$137</f>
        <v>184.104244535669</v>
      </c>
      <c r="Z85" s="23" t="n">
        <f aca="false">N85-P85-R85-S85-T85-U85-V85-W85-Y85</f>
        <v>2170.29670767701</v>
      </c>
      <c r="AA85" s="23" t="n">
        <f aca="false">AA84+Z85</f>
        <v>-556.227445014163</v>
      </c>
      <c r="AB85" s="17" t="n">
        <f aca="false">IF($A85&gt;=Annahmen!$C$161,Annahmen!$C$162,0)</f>
        <v>5</v>
      </c>
      <c r="AC85" s="17" t="n">
        <f aca="false">AB85*(1-Annahmen!$B$180)</f>
        <v>4</v>
      </c>
      <c r="AD85" s="23" t="n">
        <f aca="false">AC85*(Annahmen!$B$178+Annahmen!$B$179)</f>
        <v>1400</v>
      </c>
      <c r="AE85" s="23" t="n">
        <f aca="false">AB85*(Annahmen!$B$47+Annahmen!$B$163*Annahmen!$B$10)</f>
        <v>43.3587163568827</v>
      </c>
      <c r="AF85" s="23" t="n">
        <f aca="false">AD85-AE85</f>
        <v>1356.64128364312</v>
      </c>
      <c r="AG85" s="23" t="n">
        <f aca="false">Gesamt!J69-TÆLLA!Y69+Z85+AF85</f>
        <v>5706.10499365519</v>
      </c>
      <c r="AH85" s="23" t="n">
        <f aca="false">AH84+AG85</f>
        <v>63417.5236248519</v>
      </c>
      <c r="AI85" s="15" t="n">
        <f aca="false">IF(AG85&gt;0,1,0)</f>
        <v>1</v>
      </c>
      <c r="AJ85" s="15" t="n">
        <f aca="false">IF(AH85&gt;=0,1,0)</f>
        <v>1</v>
      </c>
      <c r="AK85" s="7" t="n">
        <f aca="false">IF(Z85&gt;0,1,0)</f>
        <v>1</v>
      </c>
      <c r="AL85" s="7" t="n">
        <f aca="false">IF(AA85&gt;=0,1,0)</f>
        <v>0</v>
      </c>
    </row>
    <row r="86" customFormat="false" ht="15" hidden="false" customHeight="false" outlineLevel="0" collapsed="false">
      <c r="A86" s="7" t="n">
        <v>24</v>
      </c>
      <c r="B86" s="7" t="s">
        <v>373</v>
      </c>
      <c r="C86" s="15" t="n">
        <f aca="false">IF($A86&lt;Annahmen!$C$54,0,IF($A86=Annahmen!$C$54,Annahmen!$C$55,C85*(1+(Annahmen!$C$56+F86)*(1-C85/Annahmen!$C$57))))</f>
        <v>22586.1412653306</v>
      </c>
      <c r="D86" s="17" t="n">
        <f aca="false">D85+IF($A86&gt;=Annahmen!$C$161,Annahmen!$C$162,0)</f>
        <v>105</v>
      </c>
      <c r="E86" s="17" t="n">
        <f aca="false">E85+Annahmen!$C$66</f>
        <v>207</v>
      </c>
      <c r="F86" s="24" t="n">
        <f aca="false">MIN(Annahmen!$C$166,Annahmen!$C$165*D86/10)</f>
        <v>0.1</v>
      </c>
      <c r="G86" s="41" t="n">
        <f aca="false">MIN(Annahmen!$C$168,Annahmen!$C$167*D86/10)</f>
        <v>0.005</v>
      </c>
      <c r="H86" s="17" t="n">
        <f aca="false">C86*(Annahmen!$C$58+G86)</f>
        <v>338.792118979959</v>
      </c>
      <c r="I86" s="17" t="n">
        <f aca="false">I85*(1-Annahmen!$C$59)+H86</f>
        <v>1394.16411222231</v>
      </c>
      <c r="J86" s="17" t="n">
        <f aca="false">I86*(1-Annahmen!$C$60)</f>
        <v>836.498467333387</v>
      </c>
      <c r="K86" s="17" t="n">
        <f aca="false">I86*Annahmen!$C$60</f>
        <v>557.665644888925</v>
      </c>
      <c r="L86" s="23" t="n">
        <f aca="false">J86*Annahmen!$C$78+K86*Annahmen!$C$79</f>
        <v>8839.46519286019</v>
      </c>
      <c r="M86" s="23" t="n">
        <f aca="false">IF($A86&gt;=Annahmen!$C$54,Annahmen!$C$63*((1-Annahmen!$C$64)*Annahmen!$B$71+Annahmen!$C$64*Annahmen!$B$72)+Annahmen!$C$65*Annahmen!$B$73,0)</f>
        <v>206.48</v>
      </c>
      <c r="N86" s="23" t="n">
        <f aca="false">(L86+M86)/(1+Annahmen!$B$8)</f>
        <v>7601.6346158489</v>
      </c>
      <c r="O86" s="23" t="n">
        <f aca="false">L86/(1+Annahmen!$B$8)</f>
        <v>7428.12201080689</v>
      </c>
      <c r="P86" s="23" t="n">
        <f aca="false">N86*(Annahmen!$C$62*Annahmen!$B$74+(1-Annahmen!$C$62)*Annahmen!$B$75)+(I86*Annahmen!$C$61+I86*(1-Annahmen!$C$61)/12+IF($A86&gt;=Annahmen!$C$54,Annahmen!$C$63+Annahmen!$C$65,0))*(1-Annahmen!$C$62)*Annahmen!$B$76</f>
        <v>737.818681358467</v>
      </c>
      <c r="Q86" s="24" t="n">
        <f aca="false">IF(D86=0,0,MIN(Annahmen!$B$170,Annahmen!$C$169*D86/(Annahmen!$C$169*D86+E86)))</f>
        <v>0.603448275862069</v>
      </c>
      <c r="R86" s="23" t="n">
        <f aca="false">O86*Q86*Annahmen!$B$177</f>
        <v>2667.08001508713</v>
      </c>
      <c r="S86" s="23" t="n">
        <f aca="false">Annahmen!$C$66*Annahmen!$B$42</f>
        <v>230.967701791488</v>
      </c>
      <c r="T86" s="23" t="n">
        <f aca="false">IF($A86&gt;=Annahmen!$C$54,Annahmen!$C$63*(1-Annahmen!$C$64)*Annahmen!$B$43+(Annahmen!$C$63*Annahmen!$C$64+Annahmen!$C$65)*Annahmen!$B$44,0)</f>
        <v>79.1744983854023</v>
      </c>
      <c r="U86" s="23" t="n">
        <f aca="false">C86*Annahmen!$B$77</f>
        <v>225.861412653306</v>
      </c>
      <c r="V86" s="23" t="n">
        <f aca="false">SUMPRODUCT((((Annahmen!$C$145:$C$155="monatlich")*(Annahmen!$D$145:$D$155&lt;=$A86))+((Annahmen!$C$145:$C$155="einmalig")*(Annahmen!$D$145:$D$155=$A86)))*Annahmen!$B$145:$B$155*Annahmen!$E$145:$E$155)</f>
        <v>69.9850799606897</v>
      </c>
      <c r="W86" s="23" t="n">
        <f aca="false">IF($A86&gt;=Annahmen!$C$54,Annahmen!$C$134,0)</f>
        <v>500</v>
      </c>
      <c r="X86" s="35" t="n">
        <f aca="false">MAX(0,(I86-Annahmen!$B$138)/Annahmen!$B$139)</f>
        <v>0.131388037407437</v>
      </c>
      <c r="Y86" s="23" t="n">
        <f aca="false">X86*Annahmen!$B$137</f>
        <v>591.246168333467</v>
      </c>
      <c r="Z86" s="23" t="n">
        <f aca="false">N86-P86-R86-S86-T86-U86-V86-W86-Y86</f>
        <v>2499.50105827896</v>
      </c>
      <c r="AA86" s="23" t="n">
        <f aca="false">AA85+Z86</f>
        <v>1943.27361326479</v>
      </c>
      <c r="AB86" s="17" t="n">
        <f aca="false">IF($A86&gt;=Annahmen!$C$161,Annahmen!$C$162,0)</f>
        <v>5</v>
      </c>
      <c r="AC86" s="17" t="n">
        <f aca="false">AB86*(1-Annahmen!$B$180)</f>
        <v>4</v>
      </c>
      <c r="AD86" s="23" t="n">
        <f aca="false">AC86*(Annahmen!$B$178+Annahmen!$B$179)</f>
        <v>1400</v>
      </c>
      <c r="AE86" s="23" t="n">
        <f aca="false">AB86*(Annahmen!$B$47+Annahmen!$B$163*Annahmen!$B$10)</f>
        <v>43.3587163568827</v>
      </c>
      <c r="AF86" s="23" t="n">
        <f aca="false">AD86-AE86</f>
        <v>1356.64128364312</v>
      </c>
      <c r="AG86" s="23" t="n">
        <f aca="false">Gesamt!J70-TÆLLA!Y70+Z86+AF86</f>
        <v>6044.87780220106</v>
      </c>
      <c r="AH86" s="23" t="n">
        <f aca="false">AH85+AG86</f>
        <v>69462.4014270529</v>
      </c>
      <c r="AI86" s="15" t="n">
        <f aca="false">IF(AG86&gt;0,1,0)</f>
        <v>1</v>
      </c>
      <c r="AJ86" s="15" t="n">
        <f aca="false">IF(AH86&gt;=0,1,0)</f>
        <v>1</v>
      </c>
      <c r="AK86" s="7" t="n">
        <f aca="false">IF(Z86&gt;0,1,0)</f>
        <v>1</v>
      </c>
      <c r="AL86" s="7" t="n">
        <f aca="false">IF(AA86&gt;=0,1,0)</f>
        <v>1</v>
      </c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customFormat="false" ht="15" hidden="false" customHeight="false" outlineLevel="0" collapsed="false">
      <c r="A90" s="5" t="str">
        <f aca="false">"Szenario stark – "&amp;Annahmen!$D$133</f>
        <v>Szenario stark – skalierbares Business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2"/>
      <c r="AL90" s="2"/>
    </row>
    <row r="91" customFormat="false" ht="42" hidden="false" customHeight="true" outlineLevel="0" collapsed="false">
      <c r="A91" s="34" t="s">
        <v>96</v>
      </c>
      <c r="B91" s="34" t="s">
        <v>323</v>
      </c>
      <c r="C91" s="34" t="s">
        <v>324</v>
      </c>
      <c r="D91" s="34" t="s">
        <v>536</v>
      </c>
      <c r="E91" s="34" t="s">
        <v>537</v>
      </c>
      <c r="F91" s="34" t="s">
        <v>538</v>
      </c>
      <c r="G91" s="34" t="s">
        <v>539</v>
      </c>
      <c r="H91" s="34" t="s">
        <v>325</v>
      </c>
      <c r="I91" s="34" t="s">
        <v>326</v>
      </c>
      <c r="J91" s="34" t="s">
        <v>327</v>
      </c>
      <c r="K91" s="34" t="s">
        <v>328</v>
      </c>
      <c r="L91" s="34" t="s">
        <v>329</v>
      </c>
      <c r="M91" s="34" t="s">
        <v>540</v>
      </c>
      <c r="N91" s="34" t="s">
        <v>336</v>
      </c>
      <c r="O91" s="34" t="s">
        <v>541</v>
      </c>
      <c r="P91" s="34" t="s">
        <v>337</v>
      </c>
      <c r="Q91" s="34" t="s">
        <v>542</v>
      </c>
      <c r="R91" s="34" t="s">
        <v>543</v>
      </c>
      <c r="S91" s="34" t="s">
        <v>544</v>
      </c>
      <c r="T91" s="34" t="s">
        <v>340</v>
      </c>
      <c r="U91" s="34" t="s">
        <v>341</v>
      </c>
      <c r="V91" s="34" t="s">
        <v>342</v>
      </c>
      <c r="W91" s="34" t="s">
        <v>343</v>
      </c>
      <c r="X91" s="34" t="s">
        <v>344</v>
      </c>
      <c r="Y91" s="34" t="s">
        <v>345</v>
      </c>
      <c r="Z91" s="34" t="s">
        <v>436</v>
      </c>
      <c r="AA91" s="34" t="s">
        <v>545</v>
      </c>
      <c r="AB91" s="34" t="s">
        <v>546</v>
      </c>
      <c r="AC91" s="34" t="s">
        <v>547</v>
      </c>
      <c r="AD91" s="34" t="s">
        <v>548</v>
      </c>
      <c r="AE91" s="34" t="s">
        <v>549</v>
      </c>
      <c r="AF91" s="34" t="s">
        <v>550</v>
      </c>
      <c r="AG91" s="34" t="s">
        <v>551</v>
      </c>
      <c r="AH91" s="34" t="s">
        <v>552</v>
      </c>
      <c r="AI91" s="34" t="s">
        <v>553</v>
      </c>
      <c r="AJ91" s="34" t="s">
        <v>554</v>
      </c>
      <c r="AK91" s="34" t="s">
        <v>348</v>
      </c>
      <c r="AL91" s="34" t="s">
        <v>349</v>
      </c>
    </row>
    <row r="92" customFormat="false" ht="15" hidden="false" customHeight="false" outlineLevel="0" collapsed="false">
      <c r="A92" s="7" t="n">
        <v>1</v>
      </c>
      <c r="B92" s="7" t="s">
        <v>350</v>
      </c>
      <c r="C92" s="15" t="n">
        <f aca="false">IF($A92&lt;Annahmen!$D$54,0,Annahmen!$D$55)</f>
        <v>0</v>
      </c>
      <c r="D92" s="17" t="n">
        <f aca="false">IF($A92&gt;=Annahmen!$D$161,Annahmen!$D$162,0)</f>
        <v>0</v>
      </c>
      <c r="E92" s="17" t="n">
        <f aca="false">Annahmen!$B$164+Annahmen!$D$66</f>
        <v>27</v>
      </c>
      <c r="F92" s="24" t="n">
        <f aca="false">MIN(Annahmen!$D$166,Annahmen!$D$165*D92/10)</f>
        <v>0</v>
      </c>
      <c r="G92" s="41" t="n">
        <f aca="false">MIN(Annahmen!$D$168,Annahmen!$D$167*D92/10)</f>
        <v>0</v>
      </c>
      <c r="H92" s="17" t="n">
        <f aca="false">C92*(Annahmen!$D$58+G92)</f>
        <v>0</v>
      </c>
      <c r="I92" s="17" t="n">
        <f aca="false">H92</f>
        <v>0</v>
      </c>
      <c r="J92" s="17" t="n">
        <f aca="false">I92*(1-Annahmen!$D$60)</f>
        <v>0</v>
      </c>
      <c r="K92" s="17" t="n">
        <f aca="false">I92*Annahmen!$D$60</f>
        <v>0</v>
      </c>
      <c r="L92" s="23" t="n">
        <f aca="false">J92*Annahmen!$D$78+K92*Annahmen!$D$79</f>
        <v>0</v>
      </c>
      <c r="M92" s="23" t="n">
        <f aca="false">IF($A92&gt;=Annahmen!$D$54,Annahmen!$D$63*((1-Annahmen!$D$64)*Annahmen!$B$71+Annahmen!$D$64*Annahmen!$B$72)+Annahmen!$D$65*Annahmen!$B$73,0)</f>
        <v>0</v>
      </c>
      <c r="N92" s="23" t="n">
        <f aca="false">(L92+M92)/(1+Annahmen!$B$8)</f>
        <v>0</v>
      </c>
      <c r="O92" s="23" t="n">
        <f aca="false">L92/(1+Annahmen!$B$8)</f>
        <v>0</v>
      </c>
      <c r="P92" s="23" t="n">
        <f aca="false">N92*(Annahmen!$D$62*Annahmen!$B$74+(1-Annahmen!$D$62)*Annahmen!$B$75)+(I92*Annahmen!$D$61+I92*(1-Annahmen!$D$61)/12+IF($A92&gt;=Annahmen!$D$54,Annahmen!$D$63+Annahmen!$D$65,0))*(1-Annahmen!$D$62)*Annahmen!$B$76</f>
        <v>0</v>
      </c>
      <c r="Q92" s="24" t="n">
        <f aca="false">IF(D92=0,0,MIN(Annahmen!$B$170,Annahmen!$D$169*D92/(Annahmen!$D$169*D92+E92)))</f>
        <v>0</v>
      </c>
      <c r="R92" s="23" t="n">
        <f aca="false">O92*Q92*Annahmen!$B$177</f>
        <v>0</v>
      </c>
      <c r="S92" s="23" t="n">
        <f aca="false">Annahmen!$D$66*Annahmen!$B$42</f>
        <v>346.451552687232</v>
      </c>
      <c r="T92" s="23" t="n">
        <f aca="false">IF($A92&gt;=Annahmen!$D$54,Annahmen!$D$63*(1-Annahmen!$D$64)*Annahmen!$B$43+(Annahmen!$D$63*Annahmen!$D$64+Annahmen!$D$65)*Annahmen!$B$44,0)</f>
        <v>0</v>
      </c>
      <c r="U92" s="23" t="n">
        <f aca="false">C92*Annahmen!$B$77</f>
        <v>0</v>
      </c>
      <c r="V92" s="23" t="n">
        <f aca="false">SUMPRODUCT((((Annahmen!$C$145:$C$155="monatlich")*(Annahmen!$D$145:$D$155&lt;=$A92))+((Annahmen!$C$145:$C$155="einmalig")*(Annahmen!$D$145:$D$155=$A92)))*Annahmen!$B$145:$B$155*Annahmen!$E$145:$E$155)</f>
        <v>232.38507996069</v>
      </c>
      <c r="W92" s="23" t="n">
        <f aca="false">IF($A92&gt;=Annahmen!$D$54,Annahmen!$D$134,0)</f>
        <v>0</v>
      </c>
      <c r="X92" s="35" t="n">
        <f aca="false">MAX(0,(I92-Annahmen!$B$138)/Annahmen!$B$139)</f>
        <v>0</v>
      </c>
      <c r="Y92" s="23" t="n">
        <f aca="false">X92*Annahmen!$B$137</f>
        <v>0</v>
      </c>
      <c r="Z92" s="23" t="n">
        <f aca="false">N92-P92-R92-S92-T92-U92-V92-W92-Y92</f>
        <v>-578.836632647922</v>
      </c>
      <c r="AA92" s="23" t="n">
        <f aca="false">Z92</f>
        <v>-578.836632647922</v>
      </c>
      <c r="AB92" s="17" t="n">
        <f aca="false">IF($A92&gt;=Annahmen!$D$161,Annahmen!$D$162,0)</f>
        <v>0</v>
      </c>
      <c r="AC92" s="17" t="n">
        <f aca="false">AB92*(1-Annahmen!$B$180)</f>
        <v>0</v>
      </c>
      <c r="AD92" s="23" t="n">
        <f aca="false">AC92*(Annahmen!$B$178+Annahmen!$B$179)</f>
        <v>0</v>
      </c>
      <c r="AE92" s="23" t="n">
        <f aca="false">AB92*(Annahmen!$B$47+Annahmen!$B$163*Annahmen!$B$10)</f>
        <v>0</v>
      </c>
      <c r="AF92" s="23" t="n">
        <f aca="false">AD92-AE92</f>
        <v>0</v>
      </c>
      <c r="AG92" s="23" t="n">
        <f aca="false">Gesamt!J76-TÆLLA!Y76+Z92+AF92</f>
        <v>-1301.62469661647</v>
      </c>
      <c r="AH92" s="23" t="n">
        <f aca="false">AG92</f>
        <v>-1301.62469661647</v>
      </c>
      <c r="AI92" s="15" t="n">
        <f aca="false">IF(AG92&gt;0,1,0)</f>
        <v>0</v>
      </c>
      <c r="AJ92" s="15" t="n">
        <f aca="false">IF(AH92&gt;=0,1,0)</f>
        <v>0</v>
      </c>
      <c r="AK92" s="7" t="n">
        <f aca="false">IF(Z92&gt;0,1,0)</f>
        <v>0</v>
      </c>
      <c r="AL92" s="7" t="n">
        <f aca="false">IF(AA92&gt;=0,1,0)</f>
        <v>0</v>
      </c>
    </row>
    <row r="93" customFormat="false" ht="15" hidden="false" customHeight="false" outlineLevel="0" collapsed="false">
      <c r="A93" s="7" t="n">
        <v>2</v>
      </c>
      <c r="B93" s="7" t="s">
        <v>351</v>
      </c>
      <c r="C93" s="15" t="n">
        <f aca="false">IF($A93&lt;Annahmen!$D$54,0,IF($A93=Annahmen!$D$54,Annahmen!$D$55,C92*(1+(Annahmen!$D$56+F93)*(1-C92/Annahmen!$D$57))))</f>
        <v>1000</v>
      </c>
      <c r="D93" s="17" t="n">
        <f aca="false">D92+IF($A93&gt;=Annahmen!$D$161,Annahmen!$D$162,0)</f>
        <v>0</v>
      </c>
      <c r="E93" s="17" t="n">
        <f aca="false">E92+Annahmen!$D$66</f>
        <v>39</v>
      </c>
      <c r="F93" s="24" t="n">
        <f aca="false">MIN(Annahmen!$D$166,Annahmen!$D$165*D93/10)</f>
        <v>0</v>
      </c>
      <c r="G93" s="41" t="n">
        <f aca="false">MIN(Annahmen!$D$168,Annahmen!$D$167*D93/10)</f>
        <v>0</v>
      </c>
      <c r="H93" s="17" t="n">
        <f aca="false">C93*(Annahmen!$D$58+G93)</f>
        <v>15</v>
      </c>
      <c r="I93" s="17" t="n">
        <f aca="false">I92*(1-Annahmen!$D$59)+H93</f>
        <v>15</v>
      </c>
      <c r="J93" s="17" t="n">
        <f aca="false">I93*(1-Annahmen!$D$60)</f>
        <v>7.5</v>
      </c>
      <c r="K93" s="17" t="n">
        <f aca="false">I93*Annahmen!$D$60</f>
        <v>7.5</v>
      </c>
      <c r="L93" s="23" t="n">
        <f aca="false">J93*Annahmen!$D$78+K93*Annahmen!$D$79</f>
        <v>96.16875</v>
      </c>
      <c r="M93" s="23" t="n">
        <f aca="false">IF($A93&gt;=Annahmen!$D$54,Annahmen!$D$63*((1-Annahmen!$D$64)*Annahmen!$B$71+Annahmen!$D$64*Annahmen!$B$72)+Annahmen!$D$65*Annahmen!$B$73,0)</f>
        <v>486.45</v>
      </c>
      <c r="N93" s="23" t="n">
        <f aca="false">(L93+M93)/(1+Annahmen!$B$8)</f>
        <v>489.595588235294</v>
      </c>
      <c r="O93" s="23" t="n">
        <f aca="false">L93/(1+Annahmen!$B$8)</f>
        <v>80.8140756302521</v>
      </c>
      <c r="P93" s="23" t="n">
        <f aca="false">N93*(Annahmen!$D$62*Annahmen!$B$74+(1-Annahmen!$D$62)*Annahmen!$B$75)+(I93*Annahmen!$D$61+I93*(1-Annahmen!$D$61)/12+IF($A93&gt;=Annahmen!$D$54,Annahmen!$D$63+Annahmen!$D$65,0))*(1-Annahmen!$D$62)*Annahmen!$B$76</f>
        <v>35.9008455882353</v>
      </c>
      <c r="Q93" s="24" t="n">
        <f aca="false">IF(D93=0,0,MIN(Annahmen!$B$170,Annahmen!$D$169*D93/(Annahmen!$D$169*D93+E93)))</f>
        <v>0</v>
      </c>
      <c r="R93" s="23" t="n">
        <f aca="false">O93*Q93*Annahmen!$B$177</f>
        <v>0</v>
      </c>
      <c r="S93" s="23" t="n">
        <f aca="false">Annahmen!$D$66*Annahmen!$B$42</f>
        <v>346.451552687232</v>
      </c>
      <c r="T93" s="23" t="n">
        <f aca="false">IF($A93&gt;=Annahmen!$D$54,Annahmen!$D$63*(1-Annahmen!$D$64)*Annahmen!$B$43+(Annahmen!$D$63*Annahmen!$D$64+Annahmen!$D$65)*Annahmen!$B$44,0)</f>
        <v>190.53822791269</v>
      </c>
      <c r="U93" s="23" t="n">
        <f aca="false">C93*Annahmen!$B$77</f>
        <v>10</v>
      </c>
      <c r="V93" s="23" t="n">
        <f aca="false">SUMPRODUCT((((Annahmen!$C$145:$C$155="monatlich")*(Annahmen!$D$145:$D$155&lt;=$A93))+((Annahmen!$C$145:$C$155="einmalig")*(Annahmen!$D$145:$D$155=$A93)))*Annahmen!$B$145:$B$155*Annahmen!$E$145:$E$155)</f>
        <v>92.3204681497364</v>
      </c>
      <c r="W93" s="23" t="n">
        <f aca="false">IF($A93&gt;=Annahmen!$D$54,Annahmen!$D$134,0)</f>
        <v>2000</v>
      </c>
      <c r="X93" s="35" t="n">
        <f aca="false">MAX(0,(I93-Annahmen!$B$138)/Annahmen!$B$139)</f>
        <v>0</v>
      </c>
      <c r="Y93" s="23" t="n">
        <f aca="false">X93*Annahmen!$B$137</f>
        <v>0</v>
      </c>
      <c r="Z93" s="23" t="n">
        <f aca="false">N93-P93-R93-S93-T93-U93-V93-W93-Y93</f>
        <v>-2185.6155061026</v>
      </c>
      <c r="AA93" s="23" t="n">
        <f aca="false">AA92+Z93</f>
        <v>-2764.45213875052</v>
      </c>
      <c r="AB93" s="17" t="n">
        <f aca="false">IF($A93&gt;=Annahmen!$D$161,Annahmen!$D$162,0)</f>
        <v>0</v>
      </c>
      <c r="AC93" s="17" t="n">
        <f aca="false">AB93*(1-Annahmen!$B$180)</f>
        <v>0</v>
      </c>
      <c r="AD93" s="23" t="n">
        <f aca="false">AC93*(Annahmen!$B$178+Annahmen!$B$179)</f>
        <v>0</v>
      </c>
      <c r="AE93" s="23" t="n">
        <f aca="false">AB93*(Annahmen!$B$47+Annahmen!$B$163*Annahmen!$B$10)</f>
        <v>0</v>
      </c>
      <c r="AF93" s="23" t="n">
        <f aca="false">AD93-AE93</f>
        <v>0</v>
      </c>
      <c r="AG93" s="23" t="n">
        <f aca="false">Gesamt!J77-TÆLLA!Y77+Z93+AF93</f>
        <v>-2664.80357007115</v>
      </c>
      <c r="AH93" s="23" t="n">
        <f aca="false">AH92+AG93</f>
        <v>-3966.42826668763</v>
      </c>
      <c r="AI93" s="15" t="n">
        <f aca="false">IF(AG93&gt;0,1,0)</f>
        <v>0</v>
      </c>
      <c r="AJ93" s="15" t="n">
        <f aca="false">IF(AH93&gt;=0,1,0)</f>
        <v>0</v>
      </c>
      <c r="AK93" s="7" t="n">
        <f aca="false">IF(Z93&gt;0,1,0)</f>
        <v>0</v>
      </c>
      <c r="AL93" s="7" t="n">
        <f aca="false">IF(AA93&gt;=0,1,0)</f>
        <v>0</v>
      </c>
    </row>
    <row r="94" customFormat="false" ht="15" hidden="false" customHeight="false" outlineLevel="0" collapsed="false">
      <c r="A94" s="7" t="n">
        <v>3</v>
      </c>
      <c r="B94" s="7" t="s">
        <v>352</v>
      </c>
      <c r="C94" s="15" t="n">
        <f aca="false">IF($A94&lt;Annahmen!$D$54,0,IF($A94=Annahmen!$D$54,Annahmen!$D$55,C93*(1+(Annahmen!$D$56+F94)*(1-C93/Annahmen!$D$57))))</f>
        <v>1234.53</v>
      </c>
      <c r="D94" s="17" t="n">
        <f aca="false">D93+IF($A94&gt;=Annahmen!$D$161,Annahmen!$D$162,0)</f>
        <v>10</v>
      </c>
      <c r="E94" s="17" t="n">
        <f aca="false">E93+Annahmen!$D$66</f>
        <v>51</v>
      </c>
      <c r="F94" s="24" t="n">
        <f aca="false">MIN(Annahmen!$D$166,Annahmen!$D$165*D94/10)</f>
        <v>0.015</v>
      </c>
      <c r="G94" s="41" t="n">
        <f aca="false">MIN(Annahmen!$D$168,Annahmen!$D$167*D94/10)</f>
        <v>0.0008</v>
      </c>
      <c r="H94" s="17" t="n">
        <f aca="false">C94*(Annahmen!$D$58+G94)</f>
        <v>19.505574</v>
      </c>
      <c r="I94" s="17" t="n">
        <f aca="false">I93*(1-Annahmen!$D$59)+H94</f>
        <v>33.905574</v>
      </c>
      <c r="J94" s="17" t="n">
        <f aca="false">I94*(1-Annahmen!$D$60)</f>
        <v>16.952787</v>
      </c>
      <c r="K94" s="17" t="n">
        <f aca="false">I94*Annahmen!$D$60</f>
        <v>16.952787</v>
      </c>
      <c r="L94" s="23" t="n">
        <f aca="false">J94*Annahmen!$D$78+K94*Annahmen!$D$79</f>
        <v>217.3771113075</v>
      </c>
      <c r="M94" s="23" t="n">
        <f aca="false">IF($A94&gt;=Annahmen!$D$54,Annahmen!$D$63*((1-Annahmen!$D$64)*Annahmen!$B$71+Annahmen!$D$64*Annahmen!$B$72)+Annahmen!$D$65*Annahmen!$B$73,0)</f>
        <v>486.45</v>
      </c>
      <c r="N94" s="23" t="n">
        <f aca="false">(L94+M94)/(1+Annahmen!$B$8)</f>
        <v>591.451354039916</v>
      </c>
      <c r="O94" s="23" t="n">
        <f aca="false">L94/(1+Annahmen!$B$8)</f>
        <v>182.669841434874</v>
      </c>
      <c r="P94" s="23" t="n">
        <f aca="false">N94*(Annahmen!$D$62*Annahmen!$B$74+(1-Annahmen!$D$62)*Annahmen!$B$75)+(I94*Annahmen!$D$61+I94*(1-Annahmen!$D$61)/12+IF($A94&gt;=Annahmen!$D$54,Annahmen!$D$63+Annahmen!$D$65,0))*(1-Annahmen!$D$62)*Annahmen!$B$76</f>
        <v>44.4649713162542</v>
      </c>
      <c r="Q94" s="24" t="n">
        <f aca="false">IF(D94=0,0,MIN(Annahmen!$B$170,Annahmen!$D$169*D94/(Annahmen!$D$169*D94+E94)))</f>
        <v>0.43956043956044</v>
      </c>
      <c r="R94" s="23" t="n">
        <f aca="false">O94*Q94*Annahmen!$B$177</f>
        <v>47.7751892983516</v>
      </c>
      <c r="S94" s="23" t="n">
        <f aca="false">Annahmen!$D$66*Annahmen!$B$42</f>
        <v>346.451552687232</v>
      </c>
      <c r="T94" s="23" t="n">
        <f aca="false">IF($A94&gt;=Annahmen!$D$54,Annahmen!$D$63*(1-Annahmen!$D$64)*Annahmen!$B$43+(Annahmen!$D$63*Annahmen!$D$64+Annahmen!$D$65)*Annahmen!$B$44,0)</f>
        <v>190.53822791269</v>
      </c>
      <c r="U94" s="23" t="n">
        <f aca="false">C94*Annahmen!$B$77</f>
        <v>12.3453</v>
      </c>
      <c r="V94" s="23" t="n">
        <f aca="false">SUMPRODUCT((((Annahmen!$C$145:$C$155="monatlich")*(Annahmen!$D$145:$D$155&lt;=$A94))+((Annahmen!$C$145:$C$155="einmalig")*(Annahmen!$D$145:$D$155=$A94)))*Annahmen!$B$145:$B$155*Annahmen!$E$145:$E$155)</f>
        <v>69.9850799606897</v>
      </c>
      <c r="W94" s="23" t="n">
        <f aca="false">IF($A94&gt;=Annahmen!$D$54,Annahmen!$D$134,0)</f>
        <v>2000</v>
      </c>
      <c r="X94" s="35" t="n">
        <f aca="false">MAX(0,(I94-Annahmen!$B$138)/Annahmen!$B$139)</f>
        <v>0</v>
      </c>
      <c r="Y94" s="23" t="n">
        <f aca="false">X94*Annahmen!$B$137</f>
        <v>0</v>
      </c>
      <c r="Z94" s="23" t="n">
        <f aca="false">N94-P94-R94-S94-T94-U94-V94-W94-Y94</f>
        <v>-2120.1089671353</v>
      </c>
      <c r="AA94" s="23" t="n">
        <f aca="false">AA93+Z94</f>
        <v>-4884.56110588582</v>
      </c>
      <c r="AB94" s="17" t="n">
        <f aca="false">IF($A94&gt;=Annahmen!$D$161,Annahmen!$D$162,0)</f>
        <v>10</v>
      </c>
      <c r="AC94" s="17" t="n">
        <f aca="false">AB94*(1-Annahmen!$B$180)</f>
        <v>8</v>
      </c>
      <c r="AD94" s="23" t="n">
        <f aca="false">AC94*(Annahmen!$B$178+Annahmen!$B$179)</f>
        <v>2800</v>
      </c>
      <c r="AE94" s="23" t="n">
        <f aca="false">AB94*(Annahmen!$B$47+Annahmen!$B$163*Annahmen!$B$10)</f>
        <v>86.7174327137655</v>
      </c>
      <c r="AF94" s="23" t="n">
        <f aca="false">AD94-AE94</f>
        <v>2713.28256728623</v>
      </c>
      <c r="AG94" s="23" t="n">
        <f aca="false">Gesamt!J78-TÆLLA!Y78+Z94+AF94</f>
        <v>5218.95608138174</v>
      </c>
      <c r="AH94" s="23" t="n">
        <f aca="false">AH93+AG94</f>
        <v>1252.52781469412</v>
      </c>
      <c r="AI94" s="15" t="n">
        <f aca="false">IF(AG94&gt;0,1,0)</f>
        <v>1</v>
      </c>
      <c r="AJ94" s="15" t="n">
        <f aca="false">IF(AH94&gt;=0,1,0)</f>
        <v>1</v>
      </c>
      <c r="AK94" s="7" t="n">
        <f aca="false">IF(Z94&gt;0,1,0)</f>
        <v>0</v>
      </c>
      <c r="AL94" s="7" t="n">
        <f aca="false">IF(AA94&gt;=0,1,0)</f>
        <v>0</v>
      </c>
    </row>
    <row r="95" customFormat="false" ht="15" hidden="false" customHeight="false" outlineLevel="0" collapsed="false">
      <c r="A95" s="7" t="n">
        <v>4</v>
      </c>
      <c r="B95" s="7" t="s">
        <v>353</v>
      </c>
      <c r="C95" s="15" t="n">
        <f aca="false">IF($A95&lt;Annahmen!$D$54,0,IF($A95=Annahmen!$D$54,Annahmen!$D$55,C94*(1+(Annahmen!$D$56+F95)*(1-C94/Annahmen!$D$57))))</f>
        <v>1542.40046783955</v>
      </c>
      <c r="D95" s="17" t="n">
        <f aca="false">D94+IF($A95&gt;=Annahmen!$D$161,Annahmen!$D$162,0)</f>
        <v>20</v>
      </c>
      <c r="E95" s="17" t="n">
        <f aca="false">E94+Annahmen!$D$66</f>
        <v>63</v>
      </c>
      <c r="F95" s="24" t="n">
        <f aca="false">MIN(Annahmen!$D$166,Annahmen!$D$165*D95/10)</f>
        <v>0.03</v>
      </c>
      <c r="G95" s="41" t="n">
        <f aca="false">MIN(Annahmen!$D$168,Annahmen!$D$167*D95/10)</f>
        <v>0.0016</v>
      </c>
      <c r="H95" s="17" t="n">
        <f aca="false">C95*(Annahmen!$D$58+G95)</f>
        <v>25.6038477661365</v>
      </c>
      <c r="I95" s="17" t="n">
        <f aca="false">I94*(1-Annahmen!$D$59)+H95</f>
        <v>58.1531988061365</v>
      </c>
      <c r="J95" s="17" t="n">
        <f aca="false">I95*(1-Annahmen!$D$60)</f>
        <v>29.0765994030683</v>
      </c>
      <c r="K95" s="17" t="n">
        <f aca="false">I95*Annahmen!$D$60</f>
        <v>29.0765994030683</v>
      </c>
      <c r="L95" s="23" t="n">
        <f aca="false">J95*Annahmen!$D$78+K95*Annahmen!$D$79</f>
        <v>372.834695845843</v>
      </c>
      <c r="M95" s="23" t="n">
        <f aca="false">IF($A95&gt;=Annahmen!$D$54,Annahmen!$D$63*((1-Annahmen!$D$64)*Annahmen!$B$71+Annahmen!$D$64*Annahmen!$B$72)+Annahmen!$D$65*Annahmen!$B$73,0)</f>
        <v>486.45</v>
      </c>
      <c r="N95" s="23" t="n">
        <f aca="false">(L95+M95)/(1+Annahmen!$B$8)</f>
        <v>722.087979702389</v>
      </c>
      <c r="O95" s="23" t="n">
        <f aca="false">L95/(1+Annahmen!$B$8)</f>
        <v>313.306467097347</v>
      </c>
      <c r="P95" s="23" t="n">
        <f aca="false">N95*(Annahmen!$D$62*Annahmen!$B$74+(1-Annahmen!$D$62)*Annahmen!$B$75)+(I95*Annahmen!$D$61+I95*(1-Annahmen!$D$61)/12+IF($A95&gt;=Annahmen!$D$54,Annahmen!$D$63+Annahmen!$D$65,0))*(1-Annahmen!$D$62)*Annahmen!$B$76</f>
        <v>55.4490180024634</v>
      </c>
      <c r="Q95" s="24" t="n">
        <f aca="false">IF(D95=0,0,MIN(Annahmen!$B$170,Annahmen!$D$169*D95/(Annahmen!$D$169*D95+E95)))</f>
        <v>0.55944055944056</v>
      </c>
      <c r="R95" s="23" t="n">
        <f aca="false">O95*Q95*Annahmen!$B$177</f>
        <v>104.289425411425</v>
      </c>
      <c r="S95" s="23" t="n">
        <f aca="false">Annahmen!$D$66*Annahmen!$B$42</f>
        <v>346.451552687232</v>
      </c>
      <c r="T95" s="23" t="n">
        <f aca="false">IF($A95&gt;=Annahmen!$D$54,Annahmen!$D$63*(1-Annahmen!$D$64)*Annahmen!$B$43+(Annahmen!$D$63*Annahmen!$D$64+Annahmen!$D$65)*Annahmen!$B$44,0)</f>
        <v>190.53822791269</v>
      </c>
      <c r="U95" s="23" t="n">
        <f aca="false">C95*Annahmen!$B$77</f>
        <v>15.4240046783955</v>
      </c>
      <c r="V95" s="23" t="n">
        <f aca="false">SUMPRODUCT((((Annahmen!$C$145:$C$155="monatlich")*(Annahmen!$D$145:$D$155&lt;=$A95))+((Annahmen!$C$145:$C$155="einmalig")*(Annahmen!$D$145:$D$155=$A95)))*Annahmen!$B$145:$B$155*Annahmen!$E$145:$E$155)</f>
        <v>69.9850799606897</v>
      </c>
      <c r="W95" s="23" t="n">
        <f aca="false">IF($A95&gt;=Annahmen!$D$54,Annahmen!$D$134,0)</f>
        <v>2000</v>
      </c>
      <c r="X95" s="35" t="n">
        <f aca="false">MAX(0,(I95-Annahmen!$B$138)/Annahmen!$B$139)</f>
        <v>0</v>
      </c>
      <c r="Y95" s="23" t="n">
        <f aca="false">X95*Annahmen!$B$137</f>
        <v>0</v>
      </c>
      <c r="Z95" s="23" t="n">
        <f aca="false">N95-P95-R95-S95-T95-U95-V95-W95-Y95</f>
        <v>-2060.04932895051</v>
      </c>
      <c r="AA95" s="23" t="n">
        <f aca="false">AA94+Z95</f>
        <v>-6944.61043483633</v>
      </c>
      <c r="AB95" s="17" t="n">
        <f aca="false">IF($A95&gt;=Annahmen!$D$161,Annahmen!$D$162,0)</f>
        <v>10</v>
      </c>
      <c r="AC95" s="17" t="n">
        <f aca="false">AB95*(1-Annahmen!$B$180)</f>
        <v>8</v>
      </c>
      <c r="AD95" s="23" t="n">
        <f aca="false">AC95*(Annahmen!$B$178+Annahmen!$B$179)</f>
        <v>2800</v>
      </c>
      <c r="AE95" s="23" t="n">
        <f aca="false">AB95*(Annahmen!$B$47+Annahmen!$B$163*Annahmen!$B$10)</f>
        <v>86.7174327137655</v>
      </c>
      <c r="AF95" s="23" t="n">
        <f aca="false">AD95-AE95</f>
        <v>2713.28256728623</v>
      </c>
      <c r="AG95" s="23" t="n">
        <f aca="false">Gesamt!J79-TÆLLA!Y79+Z95+AF95</f>
        <v>5667.28955134224</v>
      </c>
      <c r="AH95" s="23" t="n">
        <f aca="false">AH94+AG95</f>
        <v>6919.81736603636</v>
      </c>
      <c r="AI95" s="15" t="n">
        <f aca="false">IF(AG95&gt;0,1,0)</f>
        <v>1</v>
      </c>
      <c r="AJ95" s="15" t="n">
        <f aca="false">IF(AH95&gt;=0,1,0)</f>
        <v>1</v>
      </c>
      <c r="AK95" s="7" t="n">
        <f aca="false">IF(Z95&gt;0,1,0)</f>
        <v>0</v>
      </c>
      <c r="AL95" s="7" t="n">
        <f aca="false">IF(AA95&gt;=0,1,0)</f>
        <v>0</v>
      </c>
    </row>
    <row r="96" customFormat="false" ht="15" hidden="false" customHeight="false" outlineLevel="0" collapsed="false">
      <c r="A96" s="7" t="n">
        <v>5</v>
      </c>
      <c r="B96" s="7" t="s">
        <v>354</v>
      </c>
      <c r="C96" s="15" t="n">
        <f aca="false">IF($A96&lt;Annahmen!$D$54,0,IF($A96=Annahmen!$D$54,Annahmen!$D$55,C95*(1+(Annahmen!$D$56+F96)*(1-C95/Annahmen!$D$57))))</f>
        <v>1949.87572223934</v>
      </c>
      <c r="D96" s="17" t="n">
        <f aca="false">D95+IF($A96&gt;=Annahmen!$D$161,Annahmen!$D$162,0)</f>
        <v>30</v>
      </c>
      <c r="E96" s="17" t="n">
        <f aca="false">E95+Annahmen!$D$66</f>
        <v>75</v>
      </c>
      <c r="F96" s="24" t="n">
        <f aca="false">MIN(Annahmen!$D$166,Annahmen!$D$165*D96/10)</f>
        <v>0.045</v>
      </c>
      <c r="G96" s="41" t="n">
        <f aca="false">MIN(Annahmen!$D$168,Annahmen!$D$167*D96/10)</f>
        <v>0.0024</v>
      </c>
      <c r="H96" s="17" t="n">
        <f aca="false">C96*(Annahmen!$D$58+G96)</f>
        <v>33.9278375669645</v>
      </c>
      <c r="I96" s="17" t="n">
        <f aca="false">I95*(1-Annahmen!$D$59)+H96</f>
        <v>89.7549084208555</v>
      </c>
      <c r="J96" s="17" t="n">
        <f aca="false">I96*(1-Annahmen!$D$60)</f>
        <v>44.8774542104278</v>
      </c>
      <c r="K96" s="17" t="n">
        <f aca="false">I96*Annahmen!$D$60</f>
        <v>44.8774542104278</v>
      </c>
      <c r="L96" s="23" t="n">
        <f aca="false">J96*Annahmen!$D$78+K96*Annahmen!$D$79</f>
        <v>575.44115661321</v>
      </c>
      <c r="M96" s="23" t="n">
        <f aca="false">IF($A96&gt;=Annahmen!$D$54,Annahmen!$D$63*((1-Annahmen!$D$64)*Annahmen!$B$71+Annahmen!$D$64*Annahmen!$B$72)+Annahmen!$D$65*Annahmen!$B$73,0)</f>
        <v>486.45</v>
      </c>
      <c r="N96" s="23" t="n">
        <f aca="false">(L96+M96)/(1+Annahmen!$B$8)</f>
        <v>892.345509759</v>
      </c>
      <c r="O96" s="23" t="n">
        <f aca="false">L96/(1+Annahmen!$B$8)</f>
        <v>483.563997153958</v>
      </c>
      <c r="P96" s="23" t="n">
        <f aca="false">N96*(Annahmen!$D$62*Annahmen!$B$74+(1-Annahmen!$D$62)*Annahmen!$B$75)+(I96*Annahmen!$D$61+I96*(1-Annahmen!$D$61)/12+IF($A96&gt;=Annahmen!$D$54,Annahmen!$D$63+Annahmen!$D$65,0))*(1-Annahmen!$D$62)*Annahmen!$B$76</f>
        <v>69.7644264825655</v>
      </c>
      <c r="Q96" s="24" t="n">
        <f aca="false">IF(D96=0,0,MIN(Annahmen!$B$170,Annahmen!$D$169*D96/(Annahmen!$D$169*D96+E96)))</f>
        <v>0.615384615384615</v>
      </c>
      <c r="R96" s="23" t="n">
        <f aca="false">O96*Q96*Annahmen!$B$177</f>
        <v>177.058817419449</v>
      </c>
      <c r="S96" s="23" t="n">
        <f aca="false">Annahmen!$D$66*Annahmen!$B$42</f>
        <v>346.451552687232</v>
      </c>
      <c r="T96" s="23" t="n">
        <f aca="false">IF($A96&gt;=Annahmen!$D$54,Annahmen!$D$63*(1-Annahmen!$D$64)*Annahmen!$B$43+(Annahmen!$D$63*Annahmen!$D$64+Annahmen!$D$65)*Annahmen!$B$44,0)</f>
        <v>190.53822791269</v>
      </c>
      <c r="U96" s="23" t="n">
        <f aca="false">C96*Annahmen!$B$77</f>
        <v>19.4987572223934</v>
      </c>
      <c r="V96" s="23" t="n">
        <f aca="false">SUMPRODUCT((((Annahmen!$C$145:$C$155="monatlich")*(Annahmen!$D$145:$D$155&lt;=$A96))+((Annahmen!$C$145:$C$155="einmalig")*(Annahmen!$D$145:$D$155=$A96)))*Annahmen!$B$145:$B$155*Annahmen!$E$145:$E$155)</f>
        <v>309.98507996069</v>
      </c>
      <c r="W96" s="23" t="n">
        <f aca="false">IF($A96&gt;=Annahmen!$D$54,Annahmen!$D$134,0)</f>
        <v>2000</v>
      </c>
      <c r="X96" s="35" t="n">
        <f aca="false">MAX(0,(I96-Annahmen!$B$138)/Annahmen!$B$139)</f>
        <v>0</v>
      </c>
      <c r="Y96" s="23" t="n">
        <f aca="false">X96*Annahmen!$B$137</f>
        <v>0</v>
      </c>
      <c r="Z96" s="23" t="n">
        <f aca="false">N96-P96-R96-S96-T96-U96-V96-W96-Y96</f>
        <v>-2220.95135192602</v>
      </c>
      <c r="AA96" s="23" t="n">
        <f aca="false">AA95+Z96</f>
        <v>-9165.56178676235</v>
      </c>
      <c r="AB96" s="17" t="n">
        <f aca="false">IF($A96&gt;=Annahmen!$D$161,Annahmen!$D$162,0)</f>
        <v>10</v>
      </c>
      <c r="AC96" s="17" t="n">
        <f aca="false">AB96*(1-Annahmen!$B$180)</f>
        <v>8</v>
      </c>
      <c r="AD96" s="23" t="n">
        <f aca="false">AC96*(Annahmen!$B$178+Annahmen!$B$179)</f>
        <v>2800</v>
      </c>
      <c r="AE96" s="23" t="n">
        <f aca="false">AB96*(Annahmen!$B$47+Annahmen!$B$163*Annahmen!$B$10)</f>
        <v>86.7174327137655</v>
      </c>
      <c r="AF96" s="23" t="n">
        <f aca="false">AD96-AE96</f>
        <v>2713.28256728623</v>
      </c>
      <c r="AG96" s="23" t="n">
        <f aca="false">Gesamt!J80-TÆLLA!Y80+Z96+AF96</f>
        <v>4984.66136014243</v>
      </c>
      <c r="AH96" s="23" t="n">
        <f aca="false">AH95+AG96</f>
        <v>11904.4787261788</v>
      </c>
      <c r="AI96" s="15" t="n">
        <f aca="false">IF(AG96&gt;0,1,0)</f>
        <v>1</v>
      </c>
      <c r="AJ96" s="15" t="n">
        <f aca="false">IF(AH96&gt;=0,1,0)</f>
        <v>1</v>
      </c>
      <c r="AK96" s="7" t="n">
        <f aca="false">IF(Z96&gt;0,1,0)</f>
        <v>0</v>
      </c>
      <c r="AL96" s="7" t="n">
        <f aca="false">IF(AA96&gt;=0,1,0)</f>
        <v>0</v>
      </c>
    </row>
    <row r="97" customFormat="false" ht="15" hidden="false" customHeight="false" outlineLevel="0" collapsed="false">
      <c r="A97" s="7" t="n">
        <v>6</v>
      </c>
      <c r="B97" s="7" t="s">
        <v>355</v>
      </c>
      <c r="C97" s="15" t="n">
        <f aca="false">IF($A97&lt;Annahmen!$D$54,0,IF($A97=Annahmen!$D$54,Annahmen!$D$55,C96*(1+(Annahmen!$D$56+F97)*(1-C96/Annahmen!$D$57))))</f>
        <v>2493.71179588033</v>
      </c>
      <c r="D97" s="17" t="n">
        <f aca="false">D96+IF($A97&gt;=Annahmen!$D$161,Annahmen!$D$162,0)</f>
        <v>40</v>
      </c>
      <c r="E97" s="17" t="n">
        <f aca="false">E96+Annahmen!$D$66</f>
        <v>87</v>
      </c>
      <c r="F97" s="24" t="n">
        <f aca="false">MIN(Annahmen!$D$166,Annahmen!$D$165*D97/10)</f>
        <v>0.06</v>
      </c>
      <c r="G97" s="41" t="n">
        <f aca="false">MIN(Annahmen!$D$168,Annahmen!$D$167*D97/10)</f>
        <v>0.0032</v>
      </c>
      <c r="H97" s="17" t="n">
        <f aca="false">C97*(Annahmen!$D$58+G97)</f>
        <v>45.3855546850221</v>
      </c>
      <c r="I97" s="17" t="n">
        <f aca="false">I96*(1-Annahmen!$D$59)+H97</f>
        <v>131.550266769043</v>
      </c>
      <c r="J97" s="17" t="n">
        <f aca="false">I97*(1-Annahmen!$D$60)</f>
        <v>65.7751333845217</v>
      </c>
      <c r="K97" s="17" t="n">
        <f aca="false">I97*Annahmen!$D$60</f>
        <v>65.7751333845217</v>
      </c>
      <c r="L97" s="23" t="n">
        <f aca="false">J97*Annahmen!$D$78+K97*Annahmen!$D$79</f>
        <v>843.40164782303</v>
      </c>
      <c r="M97" s="23" t="n">
        <f aca="false">IF($A97&gt;=Annahmen!$D$54,Annahmen!$D$63*((1-Annahmen!$D$64)*Annahmen!$B$71+Annahmen!$D$64*Annahmen!$B$72)+Annahmen!$D$65*Annahmen!$B$73,0)</f>
        <v>486.45</v>
      </c>
      <c r="N97" s="23" t="n">
        <f aca="false">(L97+M97)/(1+Annahmen!$B$8)</f>
        <v>1117.5223931286</v>
      </c>
      <c r="O97" s="23" t="n">
        <f aca="false">L97/(1+Annahmen!$B$8)</f>
        <v>708.740880523554</v>
      </c>
      <c r="P97" s="23" t="n">
        <f aca="false">N97*(Annahmen!$D$62*Annahmen!$B$74+(1-Annahmen!$D$62)*Annahmen!$B$75)+(I97*Annahmen!$D$61+I97*(1-Annahmen!$D$61)/12+IF($A97&gt;=Annahmen!$D$54,Annahmen!$D$63+Annahmen!$D$65,0))*(1-Annahmen!$D$62)*Annahmen!$B$76</f>
        <v>88.6975043008579</v>
      </c>
      <c r="Q97" s="24" t="n">
        <f aca="false">IF(D97=0,0,MIN(Annahmen!$B$170,Annahmen!$D$169*D97/(Annahmen!$D$169*D97+E97)))</f>
        <v>0.647773279352227</v>
      </c>
      <c r="R97" s="23" t="n">
        <f aca="false">O97*Q97*Annahmen!$B$177</f>
        <v>273.166525610698</v>
      </c>
      <c r="S97" s="23" t="n">
        <f aca="false">Annahmen!$D$66*Annahmen!$B$42</f>
        <v>346.451552687232</v>
      </c>
      <c r="T97" s="23" t="n">
        <f aca="false">IF($A97&gt;=Annahmen!$D$54,Annahmen!$D$63*(1-Annahmen!$D$64)*Annahmen!$B$43+(Annahmen!$D$63*Annahmen!$D$64+Annahmen!$D$65)*Annahmen!$B$44,0)</f>
        <v>190.53822791269</v>
      </c>
      <c r="U97" s="23" t="n">
        <f aca="false">C97*Annahmen!$B$77</f>
        <v>24.9371179588034</v>
      </c>
      <c r="V97" s="23" t="n">
        <f aca="false">SUMPRODUCT((((Annahmen!$C$145:$C$155="monatlich")*(Annahmen!$D$145:$D$155&lt;=$A97))+((Annahmen!$C$145:$C$155="einmalig")*(Annahmen!$D$145:$D$155=$A97)))*Annahmen!$B$145:$B$155*Annahmen!$E$145:$E$155)</f>
        <v>69.9850799606897</v>
      </c>
      <c r="W97" s="23" t="n">
        <f aca="false">IF($A97&gt;=Annahmen!$D$54,Annahmen!$D$134,0)</f>
        <v>2000</v>
      </c>
      <c r="X97" s="35" t="n">
        <f aca="false">MAX(0,(I97-Annahmen!$B$138)/Annahmen!$B$139)</f>
        <v>0</v>
      </c>
      <c r="Y97" s="23" t="n">
        <f aca="false">X97*Annahmen!$B$137</f>
        <v>0</v>
      </c>
      <c r="Z97" s="23" t="n">
        <f aca="false">N97-P97-R97-S97-T97-U97-V97-W97-Y97</f>
        <v>-1876.25361530237</v>
      </c>
      <c r="AA97" s="23" t="n">
        <f aca="false">AA96+Z97</f>
        <v>-11041.8154020647</v>
      </c>
      <c r="AB97" s="17" t="n">
        <f aca="false">IF($A97&gt;=Annahmen!$D$161,Annahmen!$D$162,0)</f>
        <v>10</v>
      </c>
      <c r="AC97" s="17" t="n">
        <f aca="false">AB97*(1-Annahmen!$B$180)</f>
        <v>8</v>
      </c>
      <c r="AD97" s="23" t="n">
        <f aca="false">AC97*(Annahmen!$B$178+Annahmen!$B$179)</f>
        <v>2800</v>
      </c>
      <c r="AE97" s="23" t="n">
        <f aca="false">AB97*(Annahmen!$B$47+Annahmen!$B$163*Annahmen!$B$10)</f>
        <v>86.7174327137655</v>
      </c>
      <c r="AF97" s="23" t="n">
        <f aca="false">AD97-AE97</f>
        <v>2713.28256728623</v>
      </c>
      <c r="AG97" s="23" t="n">
        <f aca="false">Gesamt!J81-TÆLLA!Y81+Z97+AF97</f>
        <v>7015.60246891351</v>
      </c>
      <c r="AH97" s="23" t="n">
        <f aca="false">AH96+AG97</f>
        <v>18920.0811950923</v>
      </c>
      <c r="AI97" s="15" t="n">
        <f aca="false">IF(AG97&gt;0,1,0)</f>
        <v>1</v>
      </c>
      <c r="AJ97" s="15" t="n">
        <f aca="false">IF(AH97&gt;=0,1,0)</f>
        <v>1</v>
      </c>
      <c r="AK97" s="7" t="n">
        <f aca="false">IF(Z97&gt;0,1,0)</f>
        <v>0</v>
      </c>
      <c r="AL97" s="7" t="n">
        <f aca="false">IF(AA97&gt;=0,1,0)</f>
        <v>0</v>
      </c>
    </row>
    <row r="98" customFormat="false" ht="15" hidden="false" customHeight="false" outlineLevel="0" collapsed="false">
      <c r="A98" s="7" t="n">
        <v>7</v>
      </c>
      <c r="B98" s="7" t="s">
        <v>356</v>
      </c>
      <c r="C98" s="15" t="n">
        <f aca="false">IF($A98&lt;Annahmen!$D$54,0,IF($A98=Annahmen!$D$54,Annahmen!$D$55,C97*(1+(Annahmen!$D$56+F98)*(1-C97/Annahmen!$D$57))))</f>
        <v>3225.6878025377</v>
      </c>
      <c r="D98" s="17" t="n">
        <f aca="false">D97+IF($A98&gt;=Annahmen!$D$161,Annahmen!$D$162,0)</f>
        <v>50</v>
      </c>
      <c r="E98" s="17" t="n">
        <f aca="false">E97+Annahmen!$D$66</f>
        <v>99</v>
      </c>
      <c r="F98" s="24" t="n">
        <f aca="false">MIN(Annahmen!$D$166,Annahmen!$D$165*D98/10)</f>
        <v>0.075</v>
      </c>
      <c r="G98" s="41" t="n">
        <f aca="false">MIN(Annahmen!$D$168,Annahmen!$D$167*D98/10)</f>
        <v>0.004</v>
      </c>
      <c r="H98" s="17" t="n">
        <f aca="false">C98*(Annahmen!$D$58+G98)</f>
        <v>61.2880682482162</v>
      </c>
      <c r="I98" s="17" t="n">
        <f aca="false">I97*(1-Annahmen!$D$59)+H98</f>
        <v>187.576324346498</v>
      </c>
      <c r="J98" s="17" t="n">
        <f aca="false">I98*(1-Annahmen!$D$60)</f>
        <v>93.7881621732489</v>
      </c>
      <c r="K98" s="17" t="n">
        <f aca="false">I98*Annahmen!$D$60</f>
        <v>93.7881621732489</v>
      </c>
      <c r="L98" s="23" t="n">
        <f aca="false">J98*Annahmen!$D$78+K98*Annahmen!$D$79</f>
        <v>1202.59870946648</v>
      </c>
      <c r="M98" s="23" t="n">
        <f aca="false">IF($A98&gt;=Annahmen!$D$54,Annahmen!$D$63*((1-Annahmen!$D$64)*Annahmen!$B$71+Annahmen!$D$64*Annahmen!$B$72)+Annahmen!$D$65*Annahmen!$B$73,0)</f>
        <v>486.45</v>
      </c>
      <c r="N98" s="23" t="n">
        <f aca="false">(L98+M98)/(1+Annahmen!$B$8)</f>
        <v>1419.36866341721</v>
      </c>
      <c r="O98" s="23" t="n">
        <f aca="false">L98/(1+Annahmen!$B$8)</f>
        <v>1010.58715081217</v>
      </c>
      <c r="P98" s="23" t="n">
        <f aca="false">N98*(Annahmen!$D$62*Annahmen!$B$74+(1-Annahmen!$D$62)*Annahmen!$B$75)+(I98*Annahmen!$D$61+I98*(1-Annahmen!$D$61)/12+IF($A98&gt;=Annahmen!$D$54,Annahmen!$D$63+Annahmen!$D$65,0))*(1-Annahmen!$D$62)*Annahmen!$B$76</f>
        <v>114.077014128941</v>
      </c>
      <c r="Q98" s="24" t="n">
        <f aca="false">IF(D98=0,0,MIN(Annahmen!$B$170,Annahmen!$D$169*D98/(Annahmen!$D$169*D98+E98)))</f>
        <v>0.668896321070234</v>
      </c>
      <c r="R98" s="23" t="n">
        <f aca="false">O98*Q98*Annahmen!$B$177</f>
        <v>402.206926242971</v>
      </c>
      <c r="S98" s="23" t="n">
        <f aca="false">Annahmen!$D$66*Annahmen!$B$42</f>
        <v>346.451552687232</v>
      </c>
      <c r="T98" s="23" t="n">
        <f aca="false">IF($A98&gt;=Annahmen!$D$54,Annahmen!$D$63*(1-Annahmen!$D$64)*Annahmen!$B$43+(Annahmen!$D$63*Annahmen!$D$64+Annahmen!$D$65)*Annahmen!$B$44,0)</f>
        <v>190.53822791269</v>
      </c>
      <c r="U98" s="23" t="n">
        <f aca="false">C98*Annahmen!$B$77</f>
        <v>32.256878025377</v>
      </c>
      <c r="V98" s="23" t="n">
        <f aca="false">SUMPRODUCT((((Annahmen!$C$145:$C$155="monatlich")*(Annahmen!$D$145:$D$155&lt;=$A98))+((Annahmen!$C$145:$C$155="einmalig")*(Annahmen!$D$145:$D$155=$A98)))*Annahmen!$B$145:$B$155*Annahmen!$E$145:$E$155)</f>
        <v>69.9850799606897</v>
      </c>
      <c r="W98" s="23" t="n">
        <f aca="false">IF($A98&gt;=Annahmen!$D$54,Annahmen!$D$134,0)</f>
        <v>2000</v>
      </c>
      <c r="X98" s="35" t="n">
        <f aca="false">MAX(0,(I98-Annahmen!$B$138)/Annahmen!$B$139)</f>
        <v>0</v>
      </c>
      <c r="Y98" s="23" t="n">
        <f aca="false">X98*Annahmen!$B$137</f>
        <v>0</v>
      </c>
      <c r="Z98" s="23" t="n">
        <f aca="false">N98-P98-R98-S98-T98-U98-V98-W98-Y98</f>
        <v>-1736.14701554069</v>
      </c>
      <c r="AA98" s="23" t="n">
        <f aca="false">AA97+Z98</f>
        <v>-12777.9624176054</v>
      </c>
      <c r="AB98" s="17" t="n">
        <f aca="false">IF($A98&gt;=Annahmen!$D$161,Annahmen!$D$162,0)</f>
        <v>10</v>
      </c>
      <c r="AC98" s="17" t="n">
        <f aca="false">AB98*(1-Annahmen!$B$180)</f>
        <v>8</v>
      </c>
      <c r="AD98" s="23" t="n">
        <f aca="false">AC98*(Annahmen!$B$178+Annahmen!$B$179)</f>
        <v>2800</v>
      </c>
      <c r="AE98" s="23" t="n">
        <f aca="false">AB98*(Annahmen!$B$47+Annahmen!$B$163*Annahmen!$B$10)</f>
        <v>86.7174327137655</v>
      </c>
      <c r="AF98" s="23" t="n">
        <f aca="false">AD98-AE98</f>
        <v>2713.28256728623</v>
      </c>
      <c r="AG98" s="23" t="n">
        <f aca="false">Gesamt!J82-TÆLLA!Y82+Z98+AF98</f>
        <v>7956.63941390815</v>
      </c>
      <c r="AH98" s="23" t="n">
        <f aca="false">AH97+AG98</f>
        <v>26876.7206090004</v>
      </c>
      <c r="AI98" s="15" t="n">
        <f aca="false">IF(AG98&gt;0,1,0)</f>
        <v>1</v>
      </c>
      <c r="AJ98" s="15" t="n">
        <f aca="false">IF(AH98&gt;=0,1,0)</f>
        <v>1</v>
      </c>
      <c r="AK98" s="7" t="n">
        <f aca="false">IF(Z98&gt;0,1,0)</f>
        <v>0</v>
      </c>
      <c r="AL98" s="7" t="n">
        <f aca="false">IF(AA98&gt;=0,1,0)</f>
        <v>0</v>
      </c>
    </row>
    <row r="99" customFormat="false" ht="15" hidden="false" customHeight="false" outlineLevel="0" collapsed="false">
      <c r="A99" s="7" t="n">
        <v>8</v>
      </c>
      <c r="B99" s="7" t="s">
        <v>357</v>
      </c>
      <c r="C99" s="15" t="n">
        <f aca="false">IF($A99&lt;Annahmen!$D$54,0,IF($A99=Annahmen!$D$54,Annahmen!$D$55,C98*(1+(Annahmen!$D$56+F99)*(1-C98/Annahmen!$D$57))))</f>
        <v>4219.19988300873</v>
      </c>
      <c r="D99" s="17" t="n">
        <f aca="false">D98+IF($A99&gt;=Annahmen!$D$161,Annahmen!$D$162,0)</f>
        <v>60</v>
      </c>
      <c r="E99" s="17" t="n">
        <f aca="false">E98+Annahmen!$D$66</f>
        <v>111</v>
      </c>
      <c r="F99" s="24" t="n">
        <f aca="false">MIN(Annahmen!$D$166,Annahmen!$D$165*D99/10)</f>
        <v>0.09</v>
      </c>
      <c r="G99" s="41" t="n">
        <f aca="false">MIN(Annahmen!$D$168,Annahmen!$D$167*D99/10)</f>
        <v>0.0048</v>
      </c>
      <c r="H99" s="17" t="n">
        <f aca="false">C99*(Annahmen!$D$58+G99)</f>
        <v>83.5401576835728</v>
      </c>
      <c r="I99" s="17" t="n">
        <f aca="false">I98*(1-Annahmen!$D$59)+H99</f>
        <v>263.613429056211</v>
      </c>
      <c r="J99" s="17" t="n">
        <f aca="false">I99*(1-Annahmen!$D$60)</f>
        <v>131.806714528105</v>
      </c>
      <c r="K99" s="17" t="n">
        <f aca="false">I99*Annahmen!$D$60</f>
        <v>131.806714528105</v>
      </c>
      <c r="L99" s="23" t="n">
        <f aca="false">J99*Annahmen!$D$78+K99*Annahmen!$D$79</f>
        <v>1690.09159703663</v>
      </c>
      <c r="M99" s="23" t="n">
        <f aca="false">IF($A99&gt;=Annahmen!$D$54,Annahmen!$D$63*((1-Annahmen!$D$64)*Annahmen!$B$71+Annahmen!$D$64*Annahmen!$B$72)+Annahmen!$D$65*Annahmen!$B$73,0)</f>
        <v>486.45</v>
      </c>
      <c r="N99" s="23" t="n">
        <f aca="false">(L99+M99)/(1+Annahmen!$B$8)</f>
        <v>1829.02655213162</v>
      </c>
      <c r="O99" s="23" t="n">
        <f aca="false">L99/(1+Annahmen!$B$8)</f>
        <v>1420.24503952658</v>
      </c>
      <c r="P99" s="23" t="n">
        <f aca="false">N99*(Annahmen!$D$62*Annahmen!$B$74+(1-Annahmen!$D$62)*Annahmen!$B$75)+(I99*Annahmen!$D$61+I99*(1-Annahmen!$D$61)/12+IF($A99&gt;=Annahmen!$D$54,Annahmen!$D$63+Annahmen!$D$65,0))*(1-Annahmen!$D$62)*Annahmen!$B$76</f>
        <v>148.521423207899</v>
      </c>
      <c r="Q99" s="24" t="n">
        <f aca="false">IF(D99=0,0,MIN(Annahmen!$B$170,Annahmen!$D$169*D99/(Annahmen!$D$169*D99+E99)))</f>
        <v>0.683760683760684</v>
      </c>
      <c r="R99" s="23" t="n">
        <f aca="false">O99*Q99*Annahmen!$B$177</f>
        <v>577.809093003977</v>
      </c>
      <c r="S99" s="23" t="n">
        <f aca="false">Annahmen!$D$66*Annahmen!$B$42</f>
        <v>346.451552687232</v>
      </c>
      <c r="T99" s="23" t="n">
        <f aca="false">IF($A99&gt;=Annahmen!$D$54,Annahmen!$D$63*(1-Annahmen!$D$64)*Annahmen!$B$43+(Annahmen!$D$63*Annahmen!$D$64+Annahmen!$D$65)*Annahmen!$B$44,0)</f>
        <v>190.53822791269</v>
      </c>
      <c r="U99" s="23" t="n">
        <f aca="false">C99*Annahmen!$B$77</f>
        <v>42.1919988300873</v>
      </c>
      <c r="V99" s="23" t="n">
        <f aca="false">SUMPRODUCT((((Annahmen!$C$145:$C$155="monatlich")*(Annahmen!$D$145:$D$155&lt;=$A99))+((Annahmen!$C$145:$C$155="einmalig")*(Annahmen!$D$145:$D$155=$A99)))*Annahmen!$B$145:$B$155*Annahmen!$E$145:$E$155)</f>
        <v>69.9850799606897</v>
      </c>
      <c r="W99" s="23" t="n">
        <f aca="false">IF($A99&gt;=Annahmen!$D$54,Annahmen!$D$134,0)</f>
        <v>2000</v>
      </c>
      <c r="X99" s="35" t="n">
        <f aca="false">MAX(0,(I99-Annahmen!$B$138)/Annahmen!$B$139)</f>
        <v>0</v>
      </c>
      <c r="Y99" s="23" t="n">
        <f aca="false">X99*Annahmen!$B$137</f>
        <v>0</v>
      </c>
      <c r="Z99" s="23" t="n">
        <f aca="false">N99-P99-R99-S99-T99-U99-V99-W99-Y99</f>
        <v>-1546.47082347095</v>
      </c>
      <c r="AA99" s="23" t="n">
        <f aca="false">AA98+Z99</f>
        <v>-14324.4332410764</v>
      </c>
      <c r="AB99" s="17" t="n">
        <f aca="false">IF($A99&gt;=Annahmen!$D$161,Annahmen!$D$162,0)</f>
        <v>10</v>
      </c>
      <c r="AC99" s="17" t="n">
        <f aca="false">AB99*(1-Annahmen!$B$180)</f>
        <v>8</v>
      </c>
      <c r="AD99" s="23" t="n">
        <f aca="false">AC99*(Annahmen!$B$178+Annahmen!$B$179)</f>
        <v>2800</v>
      </c>
      <c r="AE99" s="23" t="n">
        <f aca="false">AB99*(Annahmen!$B$47+Annahmen!$B$163*Annahmen!$B$10)</f>
        <v>86.7174327137655</v>
      </c>
      <c r="AF99" s="23" t="n">
        <f aca="false">AD99-AE99</f>
        <v>2713.28256728623</v>
      </c>
      <c r="AG99" s="23" t="n">
        <f aca="false">Gesamt!J83-TÆLLA!Y83+Z99+AF99</f>
        <v>8184.58943775358</v>
      </c>
      <c r="AH99" s="23" t="n">
        <f aca="false">AH98+AG99</f>
        <v>35061.310046754</v>
      </c>
      <c r="AI99" s="15" t="n">
        <f aca="false">IF(AG99&gt;0,1,0)</f>
        <v>1</v>
      </c>
      <c r="AJ99" s="15" t="n">
        <f aca="false">IF(AH99&gt;=0,1,0)</f>
        <v>1</v>
      </c>
      <c r="AK99" s="7" t="n">
        <f aca="false">IF(Z99&gt;0,1,0)</f>
        <v>0</v>
      </c>
      <c r="AL99" s="7" t="n">
        <f aca="false">IF(AA99&gt;=0,1,0)</f>
        <v>0</v>
      </c>
    </row>
    <row r="100" customFormat="false" ht="15" hidden="false" customHeight="false" outlineLevel="0" collapsed="false">
      <c r="A100" s="7" t="n">
        <v>9</v>
      </c>
      <c r="B100" s="7" t="s">
        <v>358</v>
      </c>
      <c r="C100" s="15" t="n">
        <f aca="false">IF($A100&lt;Annahmen!$D$54,0,IF($A100=Annahmen!$D$54,Annahmen!$D$55,C99*(1+(Annahmen!$D$56+F100)*(1-C99/Annahmen!$D$57))))</f>
        <v>5578.86877401226</v>
      </c>
      <c r="D100" s="17" t="n">
        <f aca="false">D99+IF($A100&gt;=Annahmen!$D$161,Annahmen!$D$162,0)</f>
        <v>70</v>
      </c>
      <c r="E100" s="17" t="n">
        <f aca="false">E99+Annahmen!$D$66</f>
        <v>123</v>
      </c>
      <c r="F100" s="24" t="n">
        <f aca="false">MIN(Annahmen!$D$166,Annahmen!$D$165*D100/10)</f>
        <v>0.105</v>
      </c>
      <c r="G100" s="41" t="n">
        <f aca="false">MIN(Annahmen!$D$168,Annahmen!$D$167*D100/10)</f>
        <v>0.0056</v>
      </c>
      <c r="H100" s="17" t="n">
        <f aca="false">C100*(Annahmen!$D$58+G100)</f>
        <v>114.924696744653</v>
      </c>
      <c r="I100" s="17" t="n">
        <f aca="false">I99*(1-Annahmen!$D$59)+H100</f>
        <v>367.993588638615</v>
      </c>
      <c r="J100" s="17" t="n">
        <f aca="false">I100*(1-Annahmen!$D$60)</f>
        <v>183.996794319307</v>
      </c>
      <c r="K100" s="17" t="n">
        <f aca="false">I100*Annahmen!$D$60</f>
        <v>183.996794319307</v>
      </c>
      <c r="L100" s="23" t="n">
        <f aca="false">J100*Annahmen!$D$78+K100*Annahmen!$D$79</f>
        <v>2359.29889515932</v>
      </c>
      <c r="M100" s="23" t="n">
        <f aca="false">IF($A100&gt;=Annahmen!$D$54,Annahmen!$D$63*((1-Annahmen!$D$64)*Annahmen!$B$71+Annahmen!$D$64*Annahmen!$B$72)+Annahmen!$D$65*Annahmen!$B$73,0)</f>
        <v>486.45</v>
      </c>
      <c r="N100" s="23" t="n">
        <f aca="false">(L100+M100)/(1+Annahmen!$B$8)</f>
        <v>2391.3856261843</v>
      </c>
      <c r="O100" s="23" t="n">
        <f aca="false">L100/(1+Annahmen!$B$8)</f>
        <v>1982.60411357926</v>
      </c>
      <c r="P100" s="23" t="n">
        <f aca="false">N100*(Annahmen!$D$62*Annahmen!$B$74+(1-Annahmen!$D$62)*Annahmen!$B$75)+(I100*Annahmen!$D$61+I100*(1-Annahmen!$D$61)/12+IF($A100&gt;=Annahmen!$D$54,Annahmen!$D$63+Annahmen!$D$65,0))*(1-Annahmen!$D$62)*Annahmen!$B$76</f>
        <v>195.805087283604</v>
      </c>
      <c r="Q100" s="24" t="n">
        <f aca="false">IF(D100=0,0,MIN(Annahmen!$B$170,Annahmen!$D$169*D100/(Annahmen!$D$169*D100+E100)))</f>
        <v>0.694789081885856</v>
      </c>
      <c r="R100" s="23" t="n">
        <f aca="false">O100*Q100*Annahmen!$B$177</f>
        <v>819.607556631029</v>
      </c>
      <c r="S100" s="23" t="n">
        <f aca="false">Annahmen!$D$66*Annahmen!$B$42</f>
        <v>346.451552687232</v>
      </c>
      <c r="T100" s="23" t="n">
        <f aca="false">IF($A100&gt;=Annahmen!$D$54,Annahmen!$D$63*(1-Annahmen!$D$64)*Annahmen!$B$43+(Annahmen!$D$63*Annahmen!$D$64+Annahmen!$D$65)*Annahmen!$B$44,0)</f>
        <v>190.53822791269</v>
      </c>
      <c r="U100" s="23" t="n">
        <f aca="false">C100*Annahmen!$B$77</f>
        <v>55.7886877401226</v>
      </c>
      <c r="V100" s="23" t="n">
        <f aca="false">SUMPRODUCT((((Annahmen!$C$145:$C$155="monatlich")*(Annahmen!$D$145:$D$155&lt;=$A100))+((Annahmen!$C$145:$C$155="einmalig")*(Annahmen!$D$145:$D$155=$A100)))*Annahmen!$B$145:$B$155*Annahmen!$E$145:$E$155)</f>
        <v>69.9850799606897</v>
      </c>
      <c r="W100" s="23" t="n">
        <f aca="false">IF($A100&gt;=Annahmen!$D$54,Annahmen!$D$134,0)</f>
        <v>2000</v>
      </c>
      <c r="X100" s="35" t="n">
        <f aca="false">MAX(0,(I100-Annahmen!$B$138)/Annahmen!$B$139)</f>
        <v>0</v>
      </c>
      <c r="Y100" s="23" t="n">
        <f aca="false">X100*Annahmen!$B$137</f>
        <v>0</v>
      </c>
      <c r="Z100" s="23" t="n">
        <f aca="false">N100-P100-R100-S100-T100-U100-V100-W100-Y100</f>
        <v>-1286.79056603107</v>
      </c>
      <c r="AA100" s="23" t="n">
        <f aca="false">AA99+Z100</f>
        <v>-15611.2238071074</v>
      </c>
      <c r="AB100" s="17" t="n">
        <f aca="false">IF($A100&gt;=Annahmen!$D$161,Annahmen!$D$162,0)</f>
        <v>10</v>
      </c>
      <c r="AC100" s="17" t="n">
        <f aca="false">AB100*(1-Annahmen!$B$180)</f>
        <v>8</v>
      </c>
      <c r="AD100" s="23" t="n">
        <f aca="false">AC100*(Annahmen!$B$178+Annahmen!$B$179)</f>
        <v>2800</v>
      </c>
      <c r="AE100" s="23" t="n">
        <f aca="false">AB100*(Annahmen!$B$47+Annahmen!$B$163*Annahmen!$B$10)</f>
        <v>86.7174327137655</v>
      </c>
      <c r="AF100" s="23" t="n">
        <f aca="false">AD100-AE100</f>
        <v>2713.28256728623</v>
      </c>
      <c r="AG100" s="23" t="n">
        <f aca="false">Gesamt!J84-TÆLLA!Y84+Z100+AF100</f>
        <v>8482.54352696917</v>
      </c>
      <c r="AH100" s="23" t="n">
        <f aca="false">AH99+AG100</f>
        <v>43543.8535737232</v>
      </c>
      <c r="AI100" s="15" t="n">
        <f aca="false">IF(AG100&gt;0,1,0)</f>
        <v>1</v>
      </c>
      <c r="AJ100" s="15" t="n">
        <f aca="false">IF(AH100&gt;=0,1,0)</f>
        <v>1</v>
      </c>
      <c r="AK100" s="7" t="n">
        <f aca="false">IF(Z100&gt;0,1,0)</f>
        <v>0</v>
      </c>
      <c r="AL100" s="7" t="n">
        <f aca="false">IF(AA100&gt;=0,1,0)</f>
        <v>0</v>
      </c>
    </row>
    <row r="101" customFormat="false" ht="15" hidden="false" customHeight="false" outlineLevel="0" collapsed="false">
      <c r="A101" s="7" t="n">
        <v>10</v>
      </c>
      <c r="B101" s="7" t="s">
        <v>359</v>
      </c>
      <c r="C101" s="15" t="n">
        <f aca="false">IF($A101&lt;Annahmen!$D$54,0,IF($A101=Annahmen!$D$54,Annahmen!$D$55,C100*(1+(Annahmen!$D$56+F101)*(1-C100/Annahmen!$D$57))))</f>
        <v>7454.51998895402</v>
      </c>
      <c r="D101" s="17" t="n">
        <f aca="false">D100+IF($A101&gt;=Annahmen!$D$161,Annahmen!$D$162,0)</f>
        <v>80</v>
      </c>
      <c r="E101" s="17" t="n">
        <f aca="false">E100+Annahmen!$D$66</f>
        <v>135</v>
      </c>
      <c r="F101" s="24" t="n">
        <f aca="false">MIN(Annahmen!$D$166,Annahmen!$D$165*D101/10)</f>
        <v>0.12</v>
      </c>
      <c r="G101" s="41" t="n">
        <f aca="false">MIN(Annahmen!$D$168,Annahmen!$D$167*D101/10)</f>
        <v>0.0064</v>
      </c>
      <c r="H101" s="17" t="n">
        <f aca="false">C101*(Annahmen!$D$58+G101)</f>
        <v>159.526727763616</v>
      </c>
      <c r="I101" s="17" t="n">
        <f aca="false">I100*(1-Annahmen!$D$59)+H101</f>
        <v>512.800572856686</v>
      </c>
      <c r="J101" s="17" t="n">
        <f aca="false">I101*(1-Annahmen!$D$60)</f>
        <v>256.400286428343</v>
      </c>
      <c r="K101" s="17" t="n">
        <f aca="false">I101*Annahmen!$D$60</f>
        <v>256.400286428343</v>
      </c>
      <c r="L101" s="23" t="n">
        <f aca="false">J101*Annahmen!$D$78+K101*Annahmen!$D$79</f>
        <v>3287.69267272743</v>
      </c>
      <c r="M101" s="23" t="n">
        <f aca="false">IF($A101&gt;=Annahmen!$D$54,Annahmen!$D$63*((1-Annahmen!$D$64)*Annahmen!$B$71+Annahmen!$D$64*Annahmen!$B$72)+Annahmen!$D$65*Annahmen!$B$73,0)</f>
        <v>486.45</v>
      </c>
      <c r="N101" s="23" t="n">
        <f aca="false">(L101+M101)/(1+Annahmen!$B$8)</f>
        <v>3171.54846447683</v>
      </c>
      <c r="O101" s="23" t="n">
        <f aca="false">L101/(1+Annahmen!$B$8)</f>
        <v>2762.76695187179</v>
      </c>
      <c r="P101" s="23" t="n">
        <f aca="false">N101*(Annahmen!$D$62*Annahmen!$B$74+(1-Annahmen!$D$62)*Annahmen!$B$75)+(I101*Annahmen!$D$61+I101*(1-Annahmen!$D$61)/12+IF($A101&gt;=Annahmen!$D$54,Annahmen!$D$63+Annahmen!$D$65,0))*(1-Annahmen!$D$62)*Annahmen!$B$76</f>
        <v>261.401890593507</v>
      </c>
      <c r="Q101" s="24" t="n">
        <f aca="false">IF(D101=0,0,MIN(Annahmen!$B$170,Annahmen!$D$169*D101/(Annahmen!$D$169*D101+E101)))</f>
        <v>0.7</v>
      </c>
      <c r="R101" s="23" t="n">
        <f aca="false">O101*Q101*Annahmen!$B$177</f>
        <v>1150.6924354546</v>
      </c>
      <c r="S101" s="23" t="n">
        <f aca="false">Annahmen!$D$66*Annahmen!$B$42</f>
        <v>346.451552687232</v>
      </c>
      <c r="T101" s="23" t="n">
        <f aca="false">IF($A101&gt;=Annahmen!$D$54,Annahmen!$D$63*(1-Annahmen!$D$64)*Annahmen!$B$43+(Annahmen!$D$63*Annahmen!$D$64+Annahmen!$D$65)*Annahmen!$B$44,0)</f>
        <v>190.53822791269</v>
      </c>
      <c r="U101" s="23" t="n">
        <f aca="false">C101*Annahmen!$B$77</f>
        <v>74.5451998895402</v>
      </c>
      <c r="V101" s="23" t="n">
        <f aca="false">SUMPRODUCT((((Annahmen!$C$145:$C$155="monatlich")*(Annahmen!$D$145:$D$155&lt;=$A101))+((Annahmen!$C$145:$C$155="einmalig")*(Annahmen!$D$145:$D$155=$A101)))*Annahmen!$B$145:$B$155*Annahmen!$E$145:$E$155)</f>
        <v>69.9850799606897</v>
      </c>
      <c r="W101" s="23" t="n">
        <f aca="false">IF($A101&gt;=Annahmen!$D$54,Annahmen!$D$134,0)</f>
        <v>2000</v>
      </c>
      <c r="X101" s="35" t="n">
        <f aca="false">MAX(0,(I101-Annahmen!$B$138)/Annahmen!$B$139)</f>
        <v>0</v>
      </c>
      <c r="Y101" s="23" t="n">
        <f aca="false">X101*Annahmen!$B$137</f>
        <v>0</v>
      </c>
      <c r="Z101" s="23" t="n">
        <f aca="false">N101-P101-R101-S101-T101-U101-V101-W101-Y101</f>
        <v>-922.065922021428</v>
      </c>
      <c r="AA101" s="23" t="n">
        <f aca="false">AA100+Z101</f>
        <v>-16533.2897291289</v>
      </c>
      <c r="AB101" s="17" t="n">
        <f aca="false">IF($A101&gt;=Annahmen!$D$161,Annahmen!$D$162,0)</f>
        <v>10</v>
      </c>
      <c r="AC101" s="17" t="n">
        <f aca="false">AB101*(1-Annahmen!$B$180)</f>
        <v>8</v>
      </c>
      <c r="AD101" s="23" t="n">
        <f aca="false">AC101*(Annahmen!$B$178+Annahmen!$B$179)</f>
        <v>2800</v>
      </c>
      <c r="AE101" s="23" t="n">
        <f aca="false">AB101*(Annahmen!$B$47+Annahmen!$B$163*Annahmen!$B$10)</f>
        <v>86.7174327137655</v>
      </c>
      <c r="AF101" s="23" t="n">
        <f aca="false">AD101-AE101</f>
        <v>2713.28256728623</v>
      </c>
      <c r="AG101" s="23" t="n">
        <f aca="false">Gesamt!J85-TÆLLA!Y85+Z101+AF101</f>
        <v>8885.54200275451</v>
      </c>
      <c r="AH101" s="23" t="n">
        <f aca="false">AH100+AG101</f>
        <v>52429.3955764777</v>
      </c>
      <c r="AI101" s="15" t="n">
        <f aca="false">IF(AG101&gt;0,1,0)</f>
        <v>1</v>
      </c>
      <c r="AJ101" s="15" t="n">
        <f aca="false">IF(AH101&gt;=0,1,0)</f>
        <v>1</v>
      </c>
      <c r="AK101" s="7" t="n">
        <f aca="false">IF(Z101&gt;0,1,0)</f>
        <v>0</v>
      </c>
      <c r="AL101" s="7" t="n">
        <f aca="false">IF(AA101&gt;=0,1,0)</f>
        <v>0</v>
      </c>
    </row>
    <row r="102" customFormat="false" ht="15" hidden="false" customHeight="false" outlineLevel="0" collapsed="false">
      <c r="A102" s="7" t="n">
        <v>11</v>
      </c>
      <c r="B102" s="7" t="s">
        <v>360</v>
      </c>
      <c r="C102" s="15" t="n">
        <f aca="false">IF($A102&lt;Annahmen!$D$54,0,IF($A102=Annahmen!$D$54,Annahmen!$D$55,C101*(1+(Annahmen!$D$56+F102)*(1-C101/Annahmen!$D$57))))</f>
        <v>10061.419978564</v>
      </c>
      <c r="D102" s="17" t="n">
        <f aca="false">D101+IF($A102&gt;=Annahmen!$D$161,Annahmen!$D$162,0)</f>
        <v>90</v>
      </c>
      <c r="E102" s="17" t="n">
        <f aca="false">E101+Annahmen!$D$66</f>
        <v>147</v>
      </c>
      <c r="F102" s="24" t="n">
        <f aca="false">MIN(Annahmen!$D$166,Annahmen!$D$165*D102/10)</f>
        <v>0.135</v>
      </c>
      <c r="G102" s="41" t="n">
        <f aca="false">MIN(Annahmen!$D$168,Annahmen!$D$167*D102/10)</f>
        <v>0.0072</v>
      </c>
      <c r="H102" s="17" t="n">
        <f aca="false">C102*(Annahmen!$D$58+G102)</f>
        <v>223.363523524122</v>
      </c>
      <c r="I102" s="17" t="n">
        <f aca="false">I101*(1-Annahmen!$D$59)+H102</f>
        <v>715.652073466541</v>
      </c>
      <c r="J102" s="17" t="n">
        <f aca="false">I102*(1-Annahmen!$D$60)</f>
        <v>357.82603673327</v>
      </c>
      <c r="K102" s="17" t="n">
        <f aca="false">I102*Annahmen!$D$60</f>
        <v>357.82603673327</v>
      </c>
      <c r="L102" s="23" t="n">
        <f aca="false">J102*Annahmen!$D$78+K102*Annahmen!$D$79</f>
        <v>4588.22435601236</v>
      </c>
      <c r="M102" s="23" t="n">
        <f aca="false">IF($A102&gt;=Annahmen!$D$54,Annahmen!$D$63*((1-Annahmen!$D$64)*Annahmen!$B$71+Annahmen!$D$64*Annahmen!$B$72)+Annahmen!$D$65*Annahmen!$B$73,0)</f>
        <v>486.45</v>
      </c>
      <c r="N102" s="23" t="n">
        <f aca="false">(L102+M102)/(1+Annahmen!$B$8)</f>
        <v>4264.43223194316</v>
      </c>
      <c r="O102" s="23" t="n">
        <f aca="false">L102/(1+Annahmen!$B$8)</f>
        <v>3855.65071933812</v>
      </c>
      <c r="P102" s="23" t="n">
        <f aca="false">N102*(Annahmen!$D$62*Annahmen!$B$74+(1-Annahmen!$D$62)*Annahmen!$B$75)+(I102*Annahmen!$D$61+I102*(1-Annahmen!$D$61)/12+IF($A102&gt;=Annahmen!$D$54,Annahmen!$D$63+Annahmen!$D$65,0))*(1-Annahmen!$D$62)*Annahmen!$B$76</f>
        <v>353.292554973234</v>
      </c>
      <c r="Q102" s="24" t="n">
        <f aca="false">IF(D102=0,0,MIN(Annahmen!$B$170,Annahmen!$D$169*D102/(Annahmen!$D$169*D102+E102)))</f>
        <v>0.7</v>
      </c>
      <c r="R102" s="23" t="n">
        <f aca="false">O102*Q102*Annahmen!$B$177</f>
        <v>1605.87852460433</v>
      </c>
      <c r="S102" s="23" t="n">
        <f aca="false">Annahmen!$D$66*Annahmen!$B$42</f>
        <v>346.451552687232</v>
      </c>
      <c r="T102" s="23" t="n">
        <f aca="false">IF($A102&gt;=Annahmen!$D$54,Annahmen!$D$63*(1-Annahmen!$D$64)*Annahmen!$B$43+(Annahmen!$D$63*Annahmen!$D$64+Annahmen!$D$65)*Annahmen!$B$44,0)</f>
        <v>190.53822791269</v>
      </c>
      <c r="U102" s="23" t="n">
        <f aca="false">C102*Annahmen!$B$77</f>
        <v>100.61419978564</v>
      </c>
      <c r="V102" s="23" t="n">
        <f aca="false">SUMPRODUCT((((Annahmen!$C$145:$C$155="monatlich")*(Annahmen!$D$145:$D$155&lt;=$A102))+((Annahmen!$C$145:$C$155="einmalig")*(Annahmen!$D$145:$D$155=$A102)))*Annahmen!$B$145:$B$155*Annahmen!$E$145:$E$155)</f>
        <v>69.9850799606897</v>
      </c>
      <c r="W102" s="23" t="n">
        <f aca="false">IF($A102&gt;=Annahmen!$D$54,Annahmen!$D$134,0)</f>
        <v>2000</v>
      </c>
      <c r="X102" s="35" t="n">
        <f aca="false">MAX(0,(I102-Annahmen!$B$138)/Annahmen!$B$139)</f>
        <v>0</v>
      </c>
      <c r="Y102" s="23" t="n">
        <f aca="false">X102*Annahmen!$B$137</f>
        <v>0</v>
      </c>
      <c r="Z102" s="23" t="n">
        <f aca="false">N102-P102-R102-S102-T102-U102-V102-W102-Y102</f>
        <v>-402.327907980654</v>
      </c>
      <c r="AA102" s="23" t="n">
        <f aca="false">AA101+Z102</f>
        <v>-16935.6176371095</v>
      </c>
      <c r="AB102" s="17" t="n">
        <f aca="false">IF($A102&gt;=Annahmen!$D$161,Annahmen!$D$162,0)</f>
        <v>10</v>
      </c>
      <c r="AC102" s="17" t="n">
        <f aca="false">AB102*(1-Annahmen!$B$180)</f>
        <v>8</v>
      </c>
      <c r="AD102" s="23" t="n">
        <f aca="false">AC102*(Annahmen!$B$178+Annahmen!$B$179)</f>
        <v>2800</v>
      </c>
      <c r="AE102" s="23" t="n">
        <f aca="false">AB102*(Annahmen!$B$47+Annahmen!$B$163*Annahmen!$B$10)</f>
        <v>86.7174327137655</v>
      </c>
      <c r="AF102" s="23" t="n">
        <f aca="false">AD102-AE102</f>
        <v>2713.28256728623</v>
      </c>
      <c r="AG102" s="23" t="n">
        <f aca="false">Gesamt!J86-TÆLLA!Y86+Z102+AF102</f>
        <v>9443.55384857099</v>
      </c>
      <c r="AH102" s="23" t="n">
        <f aca="false">AH101+AG102</f>
        <v>61872.9494250487</v>
      </c>
      <c r="AI102" s="15" t="n">
        <f aca="false">IF(AG102&gt;0,1,0)</f>
        <v>1</v>
      </c>
      <c r="AJ102" s="15" t="n">
        <f aca="false">IF(AH102&gt;=0,1,0)</f>
        <v>1</v>
      </c>
      <c r="AK102" s="7" t="n">
        <f aca="false">IF(Z102&gt;0,1,0)</f>
        <v>0</v>
      </c>
      <c r="AL102" s="7" t="n">
        <f aca="false">IF(AA102&gt;=0,1,0)</f>
        <v>0</v>
      </c>
    </row>
    <row r="103" customFormat="false" ht="15" hidden="false" customHeight="false" outlineLevel="0" collapsed="false">
      <c r="A103" s="7" t="n">
        <v>12</v>
      </c>
      <c r="B103" s="7" t="s">
        <v>361</v>
      </c>
      <c r="C103" s="15" t="n">
        <f aca="false">IF($A103&lt;Annahmen!$D$54,0,IF($A103=Annahmen!$D$54,Annahmen!$D$55,C102*(1+(Annahmen!$D$56+F103)*(1-C102/Annahmen!$D$57))))</f>
        <v>13709.2335633638</v>
      </c>
      <c r="D103" s="17" t="n">
        <f aca="false">D102+IF($A103&gt;=Annahmen!$D$161,Annahmen!$D$162,0)</f>
        <v>100</v>
      </c>
      <c r="E103" s="17" t="n">
        <f aca="false">E102+Annahmen!$D$66</f>
        <v>159</v>
      </c>
      <c r="F103" s="24" t="n">
        <f aca="false">MIN(Annahmen!$D$166,Annahmen!$D$165*D103/10)</f>
        <v>0.15</v>
      </c>
      <c r="G103" s="41" t="n">
        <f aca="false">MIN(Annahmen!$D$168,Annahmen!$D$167*D103/10)</f>
        <v>0.008</v>
      </c>
      <c r="H103" s="17" t="n">
        <f aca="false">C103*(Annahmen!$D$58+G103)</f>
        <v>315.312371957368</v>
      </c>
      <c r="I103" s="17" t="n">
        <f aca="false">I102*(1-Annahmen!$D$59)+H103</f>
        <v>1002.33836248525</v>
      </c>
      <c r="J103" s="17" t="n">
        <f aca="false">I103*(1-Annahmen!$D$60)</f>
        <v>501.169181242623</v>
      </c>
      <c r="K103" s="17" t="n">
        <f aca="false">I103*Annahmen!$D$60</f>
        <v>501.169181242623</v>
      </c>
      <c r="L103" s="23" t="n">
        <f aca="false">J103*Annahmen!$D$78+K103*Annahmen!$D$79</f>
        <v>6426.24182648354</v>
      </c>
      <c r="M103" s="23" t="n">
        <f aca="false">IF($A103&gt;=Annahmen!$D$54,Annahmen!$D$63*((1-Annahmen!$D$64)*Annahmen!$B$71+Annahmen!$D$64*Annahmen!$B$72)+Annahmen!$D$65*Annahmen!$B$73,0)</f>
        <v>486.45</v>
      </c>
      <c r="N103" s="23" t="n">
        <f aca="false">(L103+M103)/(1+Annahmen!$B$8)</f>
        <v>5808.98472813743</v>
      </c>
      <c r="O103" s="23" t="n">
        <f aca="false">L103/(1+Annahmen!$B$8)</f>
        <v>5400.20321553238</v>
      </c>
      <c r="P103" s="23" t="n">
        <f aca="false">N103*(Annahmen!$D$62*Annahmen!$B$74+(1-Annahmen!$D$62)*Annahmen!$B$75)+(I103*Annahmen!$D$61+I103*(1-Annahmen!$D$61)/12+IF($A103&gt;=Annahmen!$D$54,Annahmen!$D$63+Annahmen!$D$65,0))*(1-Annahmen!$D$62)*Annahmen!$B$76</f>
        <v>483.159938193409</v>
      </c>
      <c r="Q103" s="24" t="n">
        <f aca="false">IF(D103=0,0,MIN(Annahmen!$B$170,Annahmen!$D$169*D103/(Annahmen!$D$169*D103+E103)))</f>
        <v>0.7</v>
      </c>
      <c r="R103" s="23" t="n">
        <f aca="false">O103*Q103*Annahmen!$B$177</f>
        <v>2249.18463926924</v>
      </c>
      <c r="S103" s="23" t="n">
        <f aca="false">Annahmen!$D$66*Annahmen!$B$42</f>
        <v>346.451552687232</v>
      </c>
      <c r="T103" s="23" t="n">
        <f aca="false">IF($A103&gt;=Annahmen!$D$54,Annahmen!$D$63*(1-Annahmen!$D$64)*Annahmen!$B$43+(Annahmen!$D$63*Annahmen!$D$64+Annahmen!$D$65)*Annahmen!$B$44,0)</f>
        <v>190.53822791269</v>
      </c>
      <c r="U103" s="23" t="n">
        <f aca="false">C103*Annahmen!$B$77</f>
        <v>137.092335633638</v>
      </c>
      <c r="V103" s="23" t="n">
        <f aca="false">SUMPRODUCT((((Annahmen!$C$145:$C$155="monatlich")*(Annahmen!$D$145:$D$155&lt;=$A103))+((Annahmen!$C$145:$C$155="einmalig")*(Annahmen!$D$145:$D$155=$A103)))*Annahmen!$B$145:$B$155*Annahmen!$E$145:$E$155)</f>
        <v>69.9850799606897</v>
      </c>
      <c r="W103" s="23" t="n">
        <f aca="false">IF($A103&gt;=Annahmen!$D$54,Annahmen!$D$134,0)</f>
        <v>2000</v>
      </c>
      <c r="X103" s="35" t="n">
        <f aca="false">MAX(0,(I103-Annahmen!$B$138)/Annahmen!$B$139)</f>
        <v>0.000779454161748845</v>
      </c>
      <c r="Y103" s="23" t="n">
        <f aca="false">X103*Annahmen!$B$137</f>
        <v>3.5075437278698</v>
      </c>
      <c r="Z103" s="23" t="n">
        <f aca="false">N103-P103-R103-S103-T103-U103-V103-W103-Y103</f>
        <v>329.06541075266</v>
      </c>
      <c r="AA103" s="23" t="n">
        <f aca="false">AA102+Z103</f>
        <v>-16606.5522263569</v>
      </c>
      <c r="AB103" s="17" t="n">
        <f aca="false">IF($A103&gt;=Annahmen!$D$161,Annahmen!$D$162,0)</f>
        <v>10</v>
      </c>
      <c r="AC103" s="17" t="n">
        <f aca="false">AB103*(1-Annahmen!$B$180)</f>
        <v>8</v>
      </c>
      <c r="AD103" s="23" t="n">
        <f aca="false">AC103*(Annahmen!$B$178+Annahmen!$B$179)</f>
        <v>2800</v>
      </c>
      <c r="AE103" s="23" t="n">
        <f aca="false">AB103*(Annahmen!$B$47+Annahmen!$B$163*Annahmen!$B$10)</f>
        <v>86.7174327137655</v>
      </c>
      <c r="AF103" s="23" t="n">
        <f aca="false">AD103-AE103</f>
        <v>2713.28256728623</v>
      </c>
      <c r="AG103" s="23" t="n">
        <f aca="false">Gesamt!J87-TÆLLA!Y87+Z103+AF103</f>
        <v>10213.22099908</v>
      </c>
      <c r="AH103" s="23" t="n">
        <f aca="false">AH102+AG103</f>
        <v>72086.1704241287</v>
      </c>
      <c r="AI103" s="15" t="n">
        <f aca="false">IF(AG103&gt;0,1,0)</f>
        <v>1</v>
      </c>
      <c r="AJ103" s="15" t="n">
        <f aca="false">IF(AH103&gt;=0,1,0)</f>
        <v>1</v>
      </c>
      <c r="AK103" s="7" t="n">
        <f aca="false">IF(Z103&gt;0,1,0)</f>
        <v>1</v>
      </c>
      <c r="AL103" s="7" t="n">
        <f aca="false">IF(AA103&gt;=0,1,0)</f>
        <v>0</v>
      </c>
    </row>
    <row r="104" customFormat="false" ht="15" hidden="false" customHeight="false" outlineLevel="0" collapsed="false">
      <c r="A104" s="7" t="n">
        <v>13</v>
      </c>
      <c r="B104" s="7" t="s">
        <v>362</v>
      </c>
      <c r="C104" s="15" t="n">
        <f aca="false">IF($A104&lt;Annahmen!$D$54,0,IF($A104=Annahmen!$D$54,Annahmen!$D$55,C103*(1+(Annahmen!$D$56+F104)*(1-C103/Annahmen!$D$57))))</f>
        <v>18642.5720989862</v>
      </c>
      <c r="D104" s="17" t="n">
        <f aca="false">D103+IF($A104&gt;=Annahmen!$D$161,Annahmen!$D$162,0)</f>
        <v>110</v>
      </c>
      <c r="E104" s="17" t="n">
        <f aca="false">E103+Annahmen!$D$66</f>
        <v>171</v>
      </c>
      <c r="F104" s="24" t="n">
        <f aca="false">MIN(Annahmen!$D$166,Annahmen!$D$165*D104/10)</f>
        <v>0.15</v>
      </c>
      <c r="G104" s="41" t="n">
        <f aca="false">MIN(Annahmen!$D$168,Annahmen!$D$167*D104/10)</f>
        <v>0.008</v>
      </c>
      <c r="H104" s="17" t="n">
        <f aca="false">C104*(Annahmen!$D$58+G104)</f>
        <v>428.779158276683</v>
      </c>
      <c r="I104" s="17" t="n">
        <f aca="false">I103*(1-Annahmen!$D$59)+H104</f>
        <v>1391.02398626252</v>
      </c>
      <c r="J104" s="17" t="n">
        <f aca="false">I104*(1-Annahmen!$D$60)</f>
        <v>695.51199313126</v>
      </c>
      <c r="K104" s="17" t="n">
        <f aca="false">I104*Annahmen!$D$60</f>
        <v>695.51199313126</v>
      </c>
      <c r="L104" s="23" t="n">
        <f aca="false">J104*Annahmen!$D$78+K104*Annahmen!$D$79</f>
        <v>8918.20253192558</v>
      </c>
      <c r="M104" s="23" t="n">
        <f aca="false">IF($A104&gt;=Annahmen!$D$54,Annahmen!$D$63*((1-Annahmen!$D$64)*Annahmen!$B$71+Annahmen!$D$64*Annahmen!$B$72)+Annahmen!$D$65*Annahmen!$B$73,0)</f>
        <v>486.45</v>
      </c>
      <c r="N104" s="23" t="n">
        <f aca="false">(L104+M104)/(1+Annahmen!$B$8)</f>
        <v>7903.06935455931</v>
      </c>
      <c r="O104" s="23" t="n">
        <f aca="false">L104/(1+Annahmen!$B$8)</f>
        <v>7494.28784195427</v>
      </c>
      <c r="P104" s="23" t="n">
        <f aca="false">N104*(Annahmen!$D$62*Annahmen!$B$74+(1-Annahmen!$D$62)*Annahmen!$B$75)+(I104*Annahmen!$D$61+I104*(1-Annahmen!$D$61)/12+IF($A104&gt;=Annahmen!$D$54,Annahmen!$D$63+Annahmen!$D$65,0))*(1-Annahmen!$D$62)*Annahmen!$B$76</f>
        <v>659.232484348422</v>
      </c>
      <c r="Q104" s="24" t="n">
        <f aca="false">IF(D104=0,0,MIN(Annahmen!$B$170,Annahmen!$D$169*D104/(Annahmen!$D$169*D104+E104)))</f>
        <v>0.7</v>
      </c>
      <c r="R104" s="23" t="n">
        <f aca="false">O104*Q104*Annahmen!$B$177</f>
        <v>3121.37088617395</v>
      </c>
      <c r="S104" s="23" t="n">
        <f aca="false">Annahmen!$D$66*Annahmen!$B$42</f>
        <v>346.451552687232</v>
      </c>
      <c r="T104" s="23" t="n">
        <f aca="false">IF($A104&gt;=Annahmen!$D$54,Annahmen!$D$63*(1-Annahmen!$D$64)*Annahmen!$B$43+(Annahmen!$D$63*Annahmen!$D$64+Annahmen!$D$65)*Annahmen!$B$44,0)</f>
        <v>190.53822791269</v>
      </c>
      <c r="U104" s="23" t="n">
        <f aca="false">C104*Annahmen!$B$77</f>
        <v>186.425720989862</v>
      </c>
      <c r="V104" s="23" t="n">
        <f aca="false">SUMPRODUCT((((Annahmen!$C$145:$C$155="monatlich")*(Annahmen!$D$145:$D$155&lt;=$A104))+((Annahmen!$C$145:$C$155="einmalig")*(Annahmen!$D$145:$D$155=$A104)))*Annahmen!$B$145:$B$155*Annahmen!$E$145:$E$155)</f>
        <v>69.9850799606897</v>
      </c>
      <c r="W104" s="23" t="n">
        <f aca="false">IF($A104&gt;=Annahmen!$D$54,Annahmen!$D$134,0)</f>
        <v>2000</v>
      </c>
      <c r="X104" s="35" t="n">
        <f aca="false">MAX(0,(I104-Annahmen!$B$138)/Annahmen!$B$139)</f>
        <v>0.130341328754173</v>
      </c>
      <c r="Y104" s="23" t="n">
        <f aca="false">X104*Annahmen!$B$137</f>
        <v>586.535979393779</v>
      </c>
      <c r="Z104" s="23" t="n">
        <f aca="false">N104-P104-R104-S104-T104-U104-V104-W104-Y104</f>
        <v>742.529423092682</v>
      </c>
      <c r="AA104" s="23" t="n">
        <f aca="false">AA103+Z104</f>
        <v>-15864.0228032642</v>
      </c>
      <c r="AB104" s="17" t="n">
        <f aca="false">IF($A104&gt;=Annahmen!$D$161,Annahmen!$D$162,0)</f>
        <v>10</v>
      </c>
      <c r="AC104" s="17" t="n">
        <f aca="false">AB104*(1-Annahmen!$B$180)</f>
        <v>8</v>
      </c>
      <c r="AD104" s="23" t="n">
        <f aca="false">AC104*(Annahmen!$B$178+Annahmen!$B$179)</f>
        <v>2800</v>
      </c>
      <c r="AE104" s="23" t="n">
        <f aca="false">AB104*(Annahmen!$B$47+Annahmen!$B$163*Annahmen!$B$10)</f>
        <v>86.7174327137655</v>
      </c>
      <c r="AF104" s="23" t="n">
        <f aca="false">AD104-AE104</f>
        <v>2713.28256728623</v>
      </c>
      <c r="AG104" s="23" t="n">
        <f aca="false">Gesamt!J88-TÆLLA!Y88+Z104+AF104</f>
        <v>10664.9588431957</v>
      </c>
      <c r="AH104" s="23" t="n">
        <f aca="false">AH103+AG104</f>
        <v>82751.1292673244</v>
      </c>
      <c r="AI104" s="15" t="n">
        <f aca="false">IF(AG104&gt;0,1,0)</f>
        <v>1</v>
      </c>
      <c r="AJ104" s="15" t="n">
        <f aca="false">IF(AH104&gt;=0,1,0)</f>
        <v>1</v>
      </c>
      <c r="AK104" s="7" t="n">
        <f aca="false">IF(Z104&gt;0,1,0)</f>
        <v>1</v>
      </c>
      <c r="AL104" s="7" t="n">
        <f aca="false">IF(AA104&gt;=0,1,0)</f>
        <v>0</v>
      </c>
    </row>
    <row r="105" customFormat="false" ht="15" hidden="false" customHeight="false" outlineLevel="0" collapsed="false">
      <c r="A105" s="7" t="n">
        <v>14</v>
      </c>
      <c r="B105" s="7" t="s">
        <v>363</v>
      </c>
      <c r="C105" s="15" t="n">
        <f aca="false">IF($A105&lt;Annahmen!$D$54,0,IF($A105=Annahmen!$D$54,Annahmen!$D$55,C104*(1+(Annahmen!$D$56+F105)*(1-C104/Annahmen!$D$57))))</f>
        <v>25283.1401097063</v>
      </c>
      <c r="D105" s="17" t="n">
        <f aca="false">D104+IF($A105&gt;=Annahmen!$D$161,Annahmen!$D$162,0)</f>
        <v>120</v>
      </c>
      <c r="E105" s="17" t="n">
        <f aca="false">E104+Annahmen!$D$66</f>
        <v>183</v>
      </c>
      <c r="F105" s="24" t="n">
        <f aca="false">MIN(Annahmen!$D$166,Annahmen!$D$165*D105/10)</f>
        <v>0.15</v>
      </c>
      <c r="G105" s="41" t="n">
        <f aca="false">MIN(Annahmen!$D$168,Annahmen!$D$167*D105/10)</f>
        <v>0.008</v>
      </c>
      <c r="H105" s="17" t="n">
        <f aca="false">C105*(Annahmen!$D$58+G105)</f>
        <v>581.512222523246</v>
      </c>
      <c r="I105" s="17" t="n">
        <f aca="false">I104*(1-Annahmen!$D$59)+H105</f>
        <v>1916.89524933526</v>
      </c>
      <c r="J105" s="17" t="n">
        <f aca="false">I105*(1-Annahmen!$D$60)</f>
        <v>958.447624667632</v>
      </c>
      <c r="K105" s="17" t="n">
        <f aca="false">I105*Annahmen!$D$60</f>
        <v>958.447624667632</v>
      </c>
      <c r="L105" s="23" t="n">
        <f aca="false">J105*Annahmen!$D$78+K105*Annahmen!$D$79</f>
        <v>12289.6946673007</v>
      </c>
      <c r="M105" s="23" t="n">
        <f aca="false">IF($A105&gt;=Annahmen!$D$54,Annahmen!$D$63*((1-Annahmen!$D$64)*Annahmen!$B$71+Annahmen!$D$64*Annahmen!$B$72)+Annahmen!$D$65*Annahmen!$B$73,0)</f>
        <v>486.45</v>
      </c>
      <c r="N105" s="23" t="n">
        <f aca="false">(L105+M105)/(1+Annahmen!$B$8)</f>
        <v>10736.2560229418</v>
      </c>
      <c r="O105" s="23" t="n">
        <f aca="false">L105/(1+Annahmen!$B$8)</f>
        <v>10327.4745103367</v>
      </c>
      <c r="P105" s="23" t="n">
        <f aca="false">N105*(Annahmen!$D$62*Annahmen!$B$74+(1-Annahmen!$D$62)*Annahmen!$B$75)+(I105*Annahmen!$D$61+I105*(1-Annahmen!$D$61)/12+IF($A105&gt;=Annahmen!$D$54,Annahmen!$D$63+Annahmen!$D$65,0))*(1-Annahmen!$D$62)*Annahmen!$B$76</f>
        <v>897.449404591473</v>
      </c>
      <c r="Q105" s="24" t="n">
        <f aca="false">IF(D105=0,0,MIN(Annahmen!$B$170,Annahmen!$D$169*D105/(Annahmen!$D$169*D105+E105)))</f>
        <v>0.7</v>
      </c>
      <c r="R105" s="23" t="n">
        <f aca="false">O105*Q105*Annahmen!$B$177</f>
        <v>4301.39313355525</v>
      </c>
      <c r="S105" s="23" t="n">
        <f aca="false">Annahmen!$D$66*Annahmen!$B$42</f>
        <v>346.451552687232</v>
      </c>
      <c r="T105" s="23" t="n">
        <f aca="false">IF($A105&gt;=Annahmen!$D$54,Annahmen!$D$63*(1-Annahmen!$D$64)*Annahmen!$B$43+(Annahmen!$D$63*Annahmen!$D$64+Annahmen!$D$65)*Annahmen!$B$44,0)</f>
        <v>190.53822791269</v>
      </c>
      <c r="U105" s="23" t="n">
        <f aca="false">C105*Annahmen!$B$77</f>
        <v>252.831401097063</v>
      </c>
      <c r="V105" s="23" t="n">
        <f aca="false">SUMPRODUCT((((Annahmen!$C$145:$C$155="monatlich")*(Annahmen!$D$145:$D$155&lt;=$A105))+((Annahmen!$C$145:$C$155="einmalig")*(Annahmen!$D$145:$D$155=$A105)))*Annahmen!$B$145:$B$155*Annahmen!$E$145:$E$155)</f>
        <v>69.9850799606897</v>
      </c>
      <c r="W105" s="23" t="n">
        <f aca="false">IF($A105&gt;=Annahmen!$D$54,Annahmen!$D$134,0)</f>
        <v>2000</v>
      </c>
      <c r="X105" s="35" t="n">
        <f aca="false">MAX(0,(I105-Annahmen!$B$138)/Annahmen!$B$139)</f>
        <v>0.305631749778422</v>
      </c>
      <c r="Y105" s="23" t="n">
        <f aca="false">X105*Annahmen!$B$137</f>
        <v>1375.3428740029</v>
      </c>
      <c r="Z105" s="23" t="n">
        <f aca="false">N105-P105-R105-S105-T105-U105-V105-W105-Y105</f>
        <v>1302.26434913448</v>
      </c>
      <c r="AA105" s="23" t="n">
        <f aca="false">AA104+Z105</f>
        <v>-14561.7584541297</v>
      </c>
      <c r="AB105" s="17" t="n">
        <f aca="false">IF($A105&gt;=Annahmen!$D$161,Annahmen!$D$162,0)</f>
        <v>10</v>
      </c>
      <c r="AC105" s="17" t="n">
        <f aca="false">AB105*(1-Annahmen!$B$180)</f>
        <v>8</v>
      </c>
      <c r="AD105" s="23" t="n">
        <f aca="false">AC105*(Annahmen!$B$178+Annahmen!$B$179)</f>
        <v>2800</v>
      </c>
      <c r="AE105" s="23" t="n">
        <f aca="false">AB105*(Annahmen!$B$47+Annahmen!$B$163*Annahmen!$B$10)</f>
        <v>86.7174327137655</v>
      </c>
      <c r="AF105" s="23" t="n">
        <f aca="false">AD105-AE105</f>
        <v>2713.28256728623</v>
      </c>
      <c r="AG105" s="23" t="n">
        <f aca="false">Gesamt!J89-TÆLLA!Y89+Z105+AF105</f>
        <v>11262.9676010132</v>
      </c>
      <c r="AH105" s="23" t="n">
        <f aca="false">AH104+AG105</f>
        <v>94014.0968683376</v>
      </c>
      <c r="AI105" s="15" t="n">
        <f aca="false">IF(AG105&gt;0,1,0)</f>
        <v>1</v>
      </c>
      <c r="AJ105" s="15" t="n">
        <f aca="false">IF(AH105&gt;=0,1,0)</f>
        <v>1</v>
      </c>
      <c r="AK105" s="7" t="n">
        <f aca="false">IF(Z105&gt;0,1,0)</f>
        <v>1</v>
      </c>
      <c r="AL105" s="7" t="n">
        <f aca="false">IF(AA105&gt;=0,1,0)</f>
        <v>0</v>
      </c>
    </row>
    <row r="106" customFormat="false" ht="15" hidden="false" customHeight="false" outlineLevel="0" collapsed="false">
      <c r="A106" s="7" t="n">
        <v>15</v>
      </c>
      <c r="B106" s="7" t="s">
        <v>364</v>
      </c>
      <c r="C106" s="15" t="n">
        <f aca="false">IF($A106&lt;Annahmen!$D$54,0,IF($A106=Annahmen!$D$54,Annahmen!$D$55,C105*(1+(Annahmen!$D$56+F106)*(1-C105/Annahmen!$D$57))))</f>
        <v>34164.8664416805</v>
      </c>
      <c r="D106" s="17" t="n">
        <f aca="false">D105+IF($A106&gt;=Annahmen!$D$161,Annahmen!$D$162,0)</f>
        <v>130</v>
      </c>
      <c r="E106" s="17" t="n">
        <f aca="false">E105+Annahmen!$D$66</f>
        <v>195</v>
      </c>
      <c r="F106" s="24" t="n">
        <f aca="false">MIN(Annahmen!$D$166,Annahmen!$D$165*D106/10)</f>
        <v>0.15</v>
      </c>
      <c r="G106" s="41" t="n">
        <f aca="false">MIN(Annahmen!$D$168,Annahmen!$D$167*D106/10)</f>
        <v>0.008</v>
      </c>
      <c r="H106" s="17" t="n">
        <f aca="false">C106*(Annahmen!$D$58+G106)</f>
        <v>785.791928158651</v>
      </c>
      <c r="I106" s="17" t="n">
        <f aca="false">I105*(1-Annahmen!$D$59)+H106</f>
        <v>2626.01136752051</v>
      </c>
      <c r="J106" s="17" t="n">
        <f aca="false">I106*(1-Annahmen!$D$60)</f>
        <v>1313.00568376025</v>
      </c>
      <c r="K106" s="17" t="n">
        <f aca="false">I106*Annahmen!$D$60</f>
        <v>1313.00568376025</v>
      </c>
      <c r="L106" s="23" t="n">
        <f aca="false">J106*Annahmen!$D$78+K106*Annahmen!$D$79</f>
        <v>16836.0153800158</v>
      </c>
      <c r="M106" s="23" t="n">
        <f aca="false">IF($A106&gt;=Annahmen!$D$54,Annahmen!$D$63*((1-Annahmen!$D$64)*Annahmen!$B$71+Annahmen!$D$64*Annahmen!$B$72)+Annahmen!$D$65*Annahmen!$B$73,0)</f>
        <v>486.45</v>
      </c>
      <c r="N106" s="23" t="n">
        <f aca="false">(L106+M106)/(1+Annahmen!$B$8)</f>
        <v>14556.693596652</v>
      </c>
      <c r="O106" s="23" t="n">
        <f aca="false">L106/(1+Annahmen!$B$8)</f>
        <v>14147.9120840469</v>
      </c>
      <c r="P106" s="23" t="n">
        <f aca="false">N106*(Annahmen!$D$62*Annahmen!$B$74+(1-Annahmen!$D$62)*Annahmen!$B$75)+(I106*Annahmen!$D$61+I106*(1-Annahmen!$D$61)/12+IF($A106&gt;=Annahmen!$D$54,Annahmen!$D$63+Annahmen!$D$65,0))*(1-Annahmen!$D$62)*Annahmen!$B$76</f>
        <v>1218.67528178003</v>
      </c>
      <c r="Q106" s="24" t="n">
        <f aca="false">IF(D106=0,0,MIN(Annahmen!$B$170,Annahmen!$D$169*D106/(Annahmen!$D$169*D106+E106)))</f>
        <v>0.7</v>
      </c>
      <c r="R106" s="23" t="n">
        <f aca="false">O106*Q106*Annahmen!$B$177</f>
        <v>5892.60538300554</v>
      </c>
      <c r="S106" s="23" t="n">
        <f aca="false">Annahmen!$D$66*Annahmen!$B$42</f>
        <v>346.451552687232</v>
      </c>
      <c r="T106" s="23" t="n">
        <f aca="false">IF($A106&gt;=Annahmen!$D$54,Annahmen!$D$63*(1-Annahmen!$D$64)*Annahmen!$B$43+(Annahmen!$D$63*Annahmen!$D$64+Annahmen!$D$65)*Annahmen!$B$44,0)</f>
        <v>190.53822791269</v>
      </c>
      <c r="U106" s="23" t="n">
        <f aca="false">C106*Annahmen!$B$77</f>
        <v>341.648664416805</v>
      </c>
      <c r="V106" s="23" t="n">
        <f aca="false">SUMPRODUCT((((Annahmen!$C$145:$C$155="monatlich")*(Annahmen!$D$145:$D$155&lt;=$A106))+((Annahmen!$C$145:$C$155="einmalig")*(Annahmen!$D$145:$D$155=$A106)))*Annahmen!$B$145:$B$155*Annahmen!$E$145:$E$155)</f>
        <v>69.9850799606897</v>
      </c>
      <c r="W106" s="23" t="n">
        <f aca="false">IF($A106&gt;=Annahmen!$D$54,Annahmen!$D$134,0)</f>
        <v>2000</v>
      </c>
      <c r="X106" s="35" t="n">
        <f aca="false">MAX(0,(I106-Annahmen!$B$138)/Annahmen!$B$139)</f>
        <v>0.542003789173502</v>
      </c>
      <c r="Y106" s="23" t="n">
        <f aca="false">X106*Annahmen!$B$137</f>
        <v>2439.01705128076</v>
      </c>
      <c r="Z106" s="23" t="n">
        <f aca="false">N106-P106-R106-S106-T106-U106-V106-W106-Y106</f>
        <v>2057.77235560823</v>
      </c>
      <c r="AA106" s="23" t="n">
        <f aca="false">AA105+Z106</f>
        <v>-12503.9860985215</v>
      </c>
      <c r="AB106" s="17" t="n">
        <f aca="false">IF($A106&gt;=Annahmen!$D$161,Annahmen!$D$162,0)</f>
        <v>10</v>
      </c>
      <c r="AC106" s="17" t="n">
        <f aca="false">AB106*(1-Annahmen!$B$180)</f>
        <v>8</v>
      </c>
      <c r="AD106" s="23" t="n">
        <f aca="false">AC106*(Annahmen!$B$178+Annahmen!$B$179)</f>
        <v>2800</v>
      </c>
      <c r="AE106" s="23" t="n">
        <f aca="false">AB106*(Annahmen!$B$47+Annahmen!$B$163*Annahmen!$B$10)</f>
        <v>86.7174327137655</v>
      </c>
      <c r="AF106" s="23" t="n">
        <f aca="false">AD106-AE106</f>
        <v>2713.28256728623</v>
      </c>
      <c r="AG106" s="23" t="n">
        <f aca="false">Gesamt!J90-TÆLLA!Y90+Z106+AF106</f>
        <v>12056.7494392627</v>
      </c>
      <c r="AH106" s="23" t="n">
        <f aca="false">AH105+AG106</f>
        <v>106070.8463076</v>
      </c>
      <c r="AI106" s="15" t="n">
        <f aca="false">IF(AG106&gt;0,1,0)</f>
        <v>1</v>
      </c>
      <c r="AJ106" s="15" t="n">
        <f aca="false">IF(AH106&gt;=0,1,0)</f>
        <v>1</v>
      </c>
      <c r="AK106" s="7" t="n">
        <f aca="false">IF(Z106&gt;0,1,0)</f>
        <v>1</v>
      </c>
      <c r="AL106" s="7" t="n">
        <f aca="false">IF(AA106&gt;=0,1,0)</f>
        <v>0</v>
      </c>
    </row>
    <row r="107" customFormat="false" ht="15" hidden="false" customHeight="false" outlineLevel="0" collapsed="false">
      <c r="A107" s="7" t="n">
        <v>16</v>
      </c>
      <c r="B107" s="7" t="s">
        <v>365</v>
      </c>
      <c r="C107" s="15" t="n">
        <f aca="false">IF($A107&lt;Annahmen!$D$54,0,IF($A107=Annahmen!$D$54,Annahmen!$D$55,C106*(1+(Annahmen!$D$56+F107)*(1-C106/Annahmen!$D$57))))</f>
        <v>45942.1108318586</v>
      </c>
      <c r="D107" s="17" t="n">
        <f aca="false">D106+IF($A107&gt;=Annahmen!$D$161,Annahmen!$D$162,0)</f>
        <v>140</v>
      </c>
      <c r="E107" s="17" t="n">
        <f aca="false">E106+Annahmen!$D$66</f>
        <v>207</v>
      </c>
      <c r="F107" s="24" t="n">
        <f aca="false">MIN(Annahmen!$D$166,Annahmen!$D$165*D107/10)</f>
        <v>0.15</v>
      </c>
      <c r="G107" s="41" t="n">
        <f aca="false">MIN(Annahmen!$D$168,Annahmen!$D$167*D107/10)</f>
        <v>0.008</v>
      </c>
      <c r="H107" s="17" t="n">
        <f aca="false">C107*(Annahmen!$D$58+G107)</f>
        <v>1056.66854913275</v>
      </c>
      <c r="I107" s="17" t="n">
        <f aca="false">I106*(1-Annahmen!$D$59)+H107</f>
        <v>3577.63946195243</v>
      </c>
      <c r="J107" s="17" t="n">
        <f aca="false">I107*(1-Annahmen!$D$60)</f>
        <v>1788.81973097622</v>
      </c>
      <c r="K107" s="17" t="n">
        <f aca="false">I107*Annahmen!$D$60</f>
        <v>1788.81973097622</v>
      </c>
      <c r="L107" s="23" t="n">
        <f aca="false">J107*Annahmen!$D$78+K107*Annahmen!$D$79</f>
        <v>22937.1410004425</v>
      </c>
      <c r="M107" s="23" t="n">
        <f aca="false">IF($A107&gt;=Annahmen!$D$54,Annahmen!$D$63*((1-Annahmen!$D$64)*Annahmen!$B$71+Annahmen!$D$64*Annahmen!$B$72)+Annahmen!$D$65*Annahmen!$B$73,0)</f>
        <v>486.45</v>
      </c>
      <c r="N107" s="23" t="n">
        <f aca="false">(L107+M107)/(1+Annahmen!$B$8)</f>
        <v>19683.6899163383</v>
      </c>
      <c r="O107" s="23" t="n">
        <f aca="false">L107/(1+Annahmen!$B$8)</f>
        <v>19274.9084037332</v>
      </c>
      <c r="P107" s="23" t="n">
        <f aca="false">N107*(Annahmen!$D$62*Annahmen!$B$74+(1-Annahmen!$D$62)*Annahmen!$B$75)+(I107*Annahmen!$D$61+I107*(1-Annahmen!$D$61)/12+IF($A107&gt;=Annahmen!$D$54,Annahmen!$D$63+Annahmen!$D$65,0))*(1-Annahmen!$D$62)*Annahmen!$B$76</f>
        <v>1649.75781051098</v>
      </c>
      <c r="Q107" s="24" t="n">
        <f aca="false">IF(D107=0,0,MIN(Annahmen!$B$170,Annahmen!$D$169*D107/(Annahmen!$D$169*D107+E107)))</f>
        <v>0.7</v>
      </c>
      <c r="R107" s="23" t="n">
        <f aca="false">O107*Q107*Annahmen!$B$177</f>
        <v>8027.99935015489</v>
      </c>
      <c r="S107" s="23" t="n">
        <f aca="false">Annahmen!$D$66*Annahmen!$B$42</f>
        <v>346.451552687232</v>
      </c>
      <c r="T107" s="23" t="n">
        <f aca="false">IF($A107&gt;=Annahmen!$D$54,Annahmen!$D$63*(1-Annahmen!$D$64)*Annahmen!$B$43+(Annahmen!$D$63*Annahmen!$D$64+Annahmen!$D$65)*Annahmen!$B$44,0)</f>
        <v>190.53822791269</v>
      </c>
      <c r="U107" s="23" t="n">
        <f aca="false">C107*Annahmen!$B$77</f>
        <v>459.421108318586</v>
      </c>
      <c r="V107" s="23" t="n">
        <f aca="false">SUMPRODUCT((((Annahmen!$C$145:$C$155="monatlich")*(Annahmen!$D$145:$D$155&lt;=$A107))+((Annahmen!$C$145:$C$155="einmalig")*(Annahmen!$D$145:$D$155=$A107)))*Annahmen!$B$145:$B$155*Annahmen!$E$145:$E$155)</f>
        <v>69.9850799606897</v>
      </c>
      <c r="W107" s="23" t="n">
        <f aca="false">IF($A107&gt;=Annahmen!$D$54,Annahmen!$D$134,0)</f>
        <v>2000</v>
      </c>
      <c r="X107" s="35" t="n">
        <f aca="false">MAX(0,(I107-Annahmen!$B$138)/Annahmen!$B$139)</f>
        <v>0.859213153984145</v>
      </c>
      <c r="Y107" s="23" t="n">
        <f aca="false">X107*Annahmen!$B$137</f>
        <v>3866.45919292865</v>
      </c>
      <c r="Z107" s="23" t="n">
        <f aca="false">N107-P107-R107-S107-T107-U107-V107-W107-Y107</f>
        <v>3073.07759386456</v>
      </c>
      <c r="AA107" s="23" t="n">
        <f aca="false">AA106+Z107</f>
        <v>-9430.9085046569</v>
      </c>
      <c r="AB107" s="17" t="n">
        <f aca="false">IF($A107&gt;=Annahmen!$D$161,Annahmen!$D$162,0)</f>
        <v>10</v>
      </c>
      <c r="AC107" s="17" t="n">
        <f aca="false">AB107*(1-Annahmen!$B$180)</f>
        <v>8</v>
      </c>
      <c r="AD107" s="23" t="n">
        <f aca="false">AC107*(Annahmen!$B$178+Annahmen!$B$179)</f>
        <v>2800</v>
      </c>
      <c r="AE107" s="23" t="n">
        <f aca="false">AB107*(Annahmen!$B$47+Annahmen!$B$163*Annahmen!$B$10)</f>
        <v>86.7174327137655</v>
      </c>
      <c r="AF107" s="23" t="n">
        <f aca="false">AD107-AE107</f>
        <v>2713.28256728623</v>
      </c>
      <c r="AG107" s="23" t="n">
        <f aca="false">Gesamt!J91-TÆLLA!Y91+Z107+AF107</f>
        <v>13110.3285092947</v>
      </c>
      <c r="AH107" s="23" t="n">
        <f aca="false">AH106+AG107</f>
        <v>119181.174816895</v>
      </c>
      <c r="AI107" s="15" t="n">
        <f aca="false">IF(AG107&gt;0,1,0)</f>
        <v>1</v>
      </c>
      <c r="AJ107" s="15" t="n">
        <f aca="false">IF(AH107&gt;=0,1,0)</f>
        <v>1</v>
      </c>
      <c r="AK107" s="7" t="n">
        <f aca="false">IF(Z107&gt;0,1,0)</f>
        <v>1</v>
      </c>
      <c r="AL107" s="7" t="n">
        <f aca="false">IF(AA107&gt;=0,1,0)</f>
        <v>0</v>
      </c>
    </row>
    <row r="108" customFormat="false" ht="15" hidden="false" customHeight="false" outlineLevel="0" collapsed="false">
      <c r="A108" s="7" t="n">
        <v>17</v>
      </c>
      <c r="B108" s="7" t="s">
        <v>366</v>
      </c>
      <c r="C108" s="15" t="n">
        <f aca="false">IF($A108&lt;Annahmen!$D$54,0,IF($A108=Annahmen!$D$54,Annahmen!$D$55,C107*(1+(Annahmen!$D$56+F108)*(1-C107/Annahmen!$D$57))))</f>
        <v>61378.7904543581</v>
      </c>
      <c r="D108" s="17" t="n">
        <f aca="false">D107+IF($A108&gt;=Annahmen!$D$161,Annahmen!$D$162,0)</f>
        <v>150</v>
      </c>
      <c r="E108" s="17" t="n">
        <f aca="false">E107+Annahmen!$D$66</f>
        <v>219</v>
      </c>
      <c r="F108" s="24" t="n">
        <f aca="false">MIN(Annahmen!$D$166,Annahmen!$D$165*D108/10)</f>
        <v>0.15</v>
      </c>
      <c r="G108" s="41" t="n">
        <f aca="false">MIN(Annahmen!$D$168,Annahmen!$D$167*D108/10)</f>
        <v>0.008</v>
      </c>
      <c r="H108" s="17" t="n">
        <f aca="false">C108*(Annahmen!$D$58+G108)</f>
        <v>1411.71218045024</v>
      </c>
      <c r="I108" s="17" t="n">
        <f aca="false">I107*(1-Annahmen!$D$59)+H108</f>
        <v>4846.24606392457</v>
      </c>
      <c r="J108" s="17" t="n">
        <f aca="false">I108*(1-Annahmen!$D$60)</f>
        <v>2423.12303196229</v>
      </c>
      <c r="K108" s="17" t="n">
        <f aca="false">I108*Annahmen!$D$60</f>
        <v>2423.12303196229</v>
      </c>
      <c r="L108" s="23" t="n">
        <f aca="false">J108*Annahmen!$D$78+K108*Annahmen!$D$79</f>
        <v>31070.4950773364</v>
      </c>
      <c r="M108" s="23" t="n">
        <f aca="false">IF($A108&gt;=Annahmen!$D$54,Annahmen!$D$63*((1-Annahmen!$D$64)*Annahmen!$B$71+Annahmen!$D$64*Annahmen!$B$72)+Annahmen!$D$65*Annahmen!$B$73,0)</f>
        <v>486.45</v>
      </c>
      <c r="N108" s="23" t="n">
        <f aca="false">(L108+M108)/(1+Annahmen!$B$8)</f>
        <v>26518.4412414592</v>
      </c>
      <c r="O108" s="23" t="n">
        <f aca="false">L108/(1+Annahmen!$B$8)</f>
        <v>26109.6597288541</v>
      </c>
      <c r="P108" s="23" t="n">
        <f aca="false">N108*(Annahmen!$D$62*Annahmen!$B$74+(1-Annahmen!$D$62)*Annahmen!$B$75)+(I108*Annahmen!$D$61+I108*(1-Annahmen!$D$61)/12+IF($A108&gt;=Annahmen!$D$54,Annahmen!$D$63+Annahmen!$D$65,0))*(1-Annahmen!$D$62)*Annahmen!$B$76</f>
        <v>2224.42993835455</v>
      </c>
      <c r="Q108" s="24" t="n">
        <f aca="false">IF(D108=0,0,MIN(Annahmen!$B$170,Annahmen!$D$169*D108/(Annahmen!$D$169*D108+E108)))</f>
        <v>0.7</v>
      </c>
      <c r="R108" s="23" t="n">
        <f aca="false">O108*Q108*Annahmen!$B$177</f>
        <v>10874.6732770677</v>
      </c>
      <c r="S108" s="23" t="n">
        <f aca="false">Annahmen!$D$66*Annahmen!$B$42</f>
        <v>346.451552687232</v>
      </c>
      <c r="T108" s="23" t="n">
        <f aca="false">IF($A108&gt;=Annahmen!$D$54,Annahmen!$D$63*(1-Annahmen!$D$64)*Annahmen!$B$43+(Annahmen!$D$63*Annahmen!$D$64+Annahmen!$D$65)*Annahmen!$B$44,0)</f>
        <v>190.53822791269</v>
      </c>
      <c r="U108" s="23" t="n">
        <f aca="false">C108*Annahmen!$B$77</f>
        <v>613.787904543581</v>
      </c>
      <c r="V108" s="23" t="n">
        <f aca="false">SUMPRODUCT((((Annahmen!$C$145:$C$155="monatlich")*(Annahmen!$D$145:$D$155&lt;=$A108))+((Annahmen!$C$145:$C$155="einmalig")*(Annahmen!$D$145:$D$155=$A108)))*Annahmen!$B$145:$B$155*Annahmen!$E$145:$E$155)</f>
        <v>69.9850799606897</v>
      </c>
      <c r="W108" s="23" t="n">
        <f aca="false">IF($A108&gt;=Annahmen!$D$54,Annahmen!$D$134,0)</f>
        <v>2000</v>
      </c>
      <c r="X108" s="35" t="n">
        <f aca="false">MAX(0,(I108-Annahmen!$B$138)/Annahmen!$B$139)</f>
        <v>1.28208202130819</v>
      </c>
      <c r="Y108" s="23" t="n">
        <f aca="false">X108*Annahmen!$B$137</f>
        <v>5769.36909588686</v>
      </c>
      <c r="Z108" s="23" t="n">
        <f aca="false">N108-P108-R108-S108-T108-U108-V108-W108-Y108</f>
        <v>4429.20616504582</v>
      </c>
      <c r="AA108" s="23" t="n">
        <f aca="false">AA107+Z108</f>
        <v>-5001.70233961108</v>
      </c>
      <c r="AB108" s="17" t="n">
        <f aca="false">IF($A108&gt;=Annahmen!$D$161,Annahmen!$D$162,0)</f>
        <v>10</v>
      </c>
      <c r="AC108" s="17" t="n">
        <f aca="false">AB108*(1-Annahmen!$B$180)</f>
        <v>8</v>
      </c>
      <c r="AD108" s="23" t="n">
        <f aca="false">AC108*(Annahmen!$B$178+Annahmen!$B$179)</f>
        <v>2800</v>
      </c>
      <c r="AE108" s="23" t="n">
        <f aca="false">AB108*(Annahmen!$B$47+Annahmen!$B$163*Annahmen!$B$10)</f>
        <v>86.7174327137655</v>
      </c>
      <c r="AF108" s="23" t="n">
        <f aca="false">AD108-AE108</f>
        <v>2713.28256728623</v>
      </c>
      <c r="AG108" s="23" t="n">
        <f aca="false">Gesamt!J92-TÆLLA!Y92+Z108+AF108</f>
        <v>14504.7309122517</v>
      </c>
      <c r="AH108" s="23" t="n">
        <f aca="false">AH107+AG108</f>
        <v>133685.905729147</v>
      </c>
      <c r="AI108" s="15" t="n">
        <f aca="false">IF(AG108&gt;0,1,0)</f>
        <v>1</v>
      </c>
      <c r="AJ108" s="15" t="n">
        <f aca="false">IF(AH108&gt;=0,1,0)</f>
        <v>1</v>
      </c>
      <c r="AK108" s="7" t="n">
        <f aca="false">IF(Z108&gt;0,1,0)</f>
        <v>1</v>
      </c>
      <c r="AL108" s="7" t="n">
        <f aca="false">IF(AA108&gt;=0,1,0)</f>
        <v>0</v>
      </c>
    </row>
    <row r="109" customFormat="false" ht="15" hidden="false" customHeight="false" outlineLevel="0" collapsed="false">
      <c r="A109" s="7" t="n">
        <v>18</v>
      </c>
      <c r="B109" s="7" t="s">
        <v>367</v>
      </c>
      <c r="C109" s="15" t="n">
        <f aca="false">IF($A109&lt;Annahmen!$D$54,0,IF($A109=Annahmen!$D$54,Annahmen!$D$55,C108*(1+(Annahmen!$D$56+F109)*(1-C108/Annahmen!$D$57))))</f>
        <v>81301.099543417</v>
      </c>
      <c r="D109" s="17" t="n">
        <f aca="false">D108+IF($A109&gt;=Annahmen!$D$161,Annahmen!$D$162,0)</f>
        <v>160</v>
      </c>
      <c r="E109" s="17" t="n">
        <f aca="false">E108+Annahmen!$D$66</f>
        <v>231</v>
      </c>
      <c r="F109" s="24" t="n">
        <f aca="false">MIN(Annahmen!$D$166,Annahmen!$D$165*D109/10)</f>
        <v>0.15</v>
      </c>
      <c r="G109" s="41" t="n">
        <f aca="false">MIN(Annahmen!$D$168,Annahmen!$D$167*D109/10)</f>
        <v>0.008</v>
      </c>
      <c r="H109" s="17" t="n">
        <f aca="false">C109*(Annahmen!$D$58+G109)</f>
        <v>1869.92528949859</v>
      </c>
      <c r="I109" s="17" t="n">
        <f aca="false">I108*(1-Annahmen!$D$59)+H109</f>
        <v>6522.32151086618</v>
      </c>
      <c r="J109" s="17" t="n">
        <f aca="false">I109*(1-Annahmen!$D$60)</f>
        <v>3261.16075543309</v>
      </c>
      <c r="K109" s="17" t="n">
        <f aca="false">I109*Annahmen!$D$60</f>
        <v>3261.16075543309</v>
      </c>
      <c r="L109" s="23" t="n">
        <f aca="false">J109*Annahmen!$D$78+K109*Annahmen!$D$79</f>
        <v>41816.2337865408</v>
      </c>
      <c r="M109" s="23" t="n">
        <f aca="false">IF($A109&gt;=Annahmen!$D$54,Annahmen!$D$63*((1-Annahmen!$D$64)*Annahmen!$B$71+Annahmen!$D$64*Annahmen!$B$72)+Annahmen!$D$65*Annahmen!$B$73,0)</f>
        <v>486.45</v>
      </c>
      <c r="N109" s="23" t="n">
        <f aca="false">(L109+M109)/(1+Annahmen!$B$8)</f>
        <v>35548.4737702024</v>
      </c>
      <c r="O109" s="23" t="n">
        <f aca="false">L109/(1+Annahmen!$B$8)</f>
        <v>35139.6922575973</v>
      </c>
      <c r="P109" s="23" t="n">
        <f aca="false">N109*(Annahmen!$D$62*Annahmen!$B$74+(1-Annahmen!$D$62)*Annahmen!$B$75)+(I109*Annahmen!$D$61+I109*(1-Annahmen!$D$61)/12+IF($A109&gt;=Annahmen!$D$54,Annahmen!$D$63+Annahmen!$D$65,0))*(1-Annahmen!$D$62)*Annahmen!$B$76</f>
        <v>2983.68331290184</v>
      </c>
      <c r="Q109" s="24" t="n">
        <f aca="false">IF(D109=0,0,MIN(Annahmen!$B$170,Annahmen!$D$169*D109/(Annahmen!$D$169*D109+E109)))</f>
        <v>0.7</v>
      </c>
      <c r="R109" s="23" t="n">
        <f aca="false">O109*Q109*Annahmen!$B$177</f>
        <v>14635.6818252893</v>
      </c>
      <c r="S109" s="23" t="n">
        <f aca="false">Annahmen!$D$66*Annahmen!$B$42</f>
        <v>346.451552687232</v>
      </c>
      <c r="T109" s="23" t="n">
        <f aca="false">IF($A109&gt;=Annahmen!$D$54,Annahmen!$D$63*(1-Annahmen!$D$64)*Annahmen!$B$43+(Annahmen!$D$63*Annahmen!$D$64+Annahmen!$D$65)*Annahmen!$B$44,0)</f>
        <v>190.53822791269</v>
      </c>
      <c r="U109" s="23" t="n">
        <f aca="false">C109*Annahmen!$B$77</f>
        <v>813.01099543417</v>
      </c>
      <c r="V109" s="23" t="n">
        <f aca="false">SUMPRODUCT((((Annahmen!$C$145:$C$155="monatlich")*(Annahmen!$D$145:$D$155&lt;=$A109))+((Annahmen!$C$145:$C$155="einmalig")*(Annahmen!$D$145:$D$155=$A109)))*Annahmen!$B$145:$B$155*Annahmen!$E$145:$E$155)</f>
        <v>69.9850799606897</v>
      </c>
      <c r="W109" s="23" t="n">
        <f aca="false">IF($A109&gt;=Annahmen!$D$54,Annahmen!$D$134,0)</f>
        <v>2000</v>
      </c>
      <c r="X109" s="35" t="n">
        <f aca="false">MAX(0,(I109-Annahmen!$B$138)/Annahmen!$B$139)</f>
        <v>1.84077383695539</v>
      </c>
      <c r="Y109" s="23" t="n">
        <f aca="false">X109*Annahmen!$B$137</f>
        <v>8283.48226629927</v>
      </c>
      <c r="Z109" s="23" t="n">
        <f aca="false">N109-P109-R109-S109-T109-U109-V109-W109-Y109</f>
        <v>6225.64050971718</v>
      </c>
      <c r="AA109" s="23" t="n">
        <f aca="false">AA108+Z109</f>
        <v>1223.9381701061</v>
      </c>
      <c r="AB109" s="17" t="n">
        <f aca="false">IF($A109&gt;=Annahmen!$D$161,Annahmen!$D$162,0)</f>
        <v>10</v>
      </c>
      <c r="AC109" s="17" t="n">
        <f aca="false">AB109*(1-Annahmen!$B$180)</f>
        <v>8</v>
      </c>
      <c r="AD109" s="23" t="n">
        <f aca="false">AC109*(Annahmen!$B$178+Annahmen!$B$179)</f>
        <v>2800</v>
      </c>
      <c r="AE109" s="23" t="n">
        <f aca="false">AB109*(Annahmen!$B$47+Annahmen!$B$163*Annahmen!$B$10)</f>
        <v>86.7174327137655</v>
      </c>
      <c r="AF109" s="23" t="n">
        <f aca="false">AD109-AE109</f>
        <v>2713.28256728623</v>
      </c>
      <c r="AG109" s="23" t="n">
        <f aca="false">Gesamt!J93-TÆLLA!Y93+Z109+AF109</f>
        <v>16339.4390886987</v>
      </c>
      <c r="AH109" s="23" t="n">
        <f aca="false">AH108+AG109</f>
        <v>150025.344817845</v>
      </c>
      <c r="AI109" s="15" t="n">
        <f aca="false">IF(AG109&gt;0,1,0)</f>
        <v>1</v>
      </c>
      <c r="AJ109" s="15" t="n">
        <f aca="false">IF(AH109&gt;=0,1,0)</f>
        <v>1</v>
      </c>
      <c r="AK109" s="7" t="n">
        <f aca="false">IF(Z109&gt;0,1,0)</f>
        <v>1</v>
      </c>
      <c r="AL109" s="7" t="n">
        <f aca="false">IF(AA109&gt;=0,1,0)</f>
        <v>1</v>
      </c>
    </row>
    <row r="110" customFormat="false" ht="15" hidden="false" customHeight="false" outlineLevel="0" collapsed="false">
      <c r="A110" s="7" t="n">
        <v>19</v>
      </c>
      <c r="B110" s="7" t="s">
        <v>368</v>
      </c>
      <c r="C110" s="15" t="n">
        <f aca="false">IF($A110&lt;Annahmen!$D$54,0,IF($A110=Annahmen!$D$54,Annahmen!$D$55,C109*(1+(Annahmen!$D$56+F110)*(1-C109/Annahmen!$D$57))))</f>
        <v>106491.203472125</v>
      </c>
      <c r="D110" s="17" t="n">
        <f aca="false">D109+IF($A110&gt;=Annahmen!$D$161,Annahmen!$D$162,0)</f>
        <v>170</v>
      </c>
      <c r="E110" s="17" t="n">
        <f aca="false">E109+Annahmen!$D$66</f>
        <v>243</v>
      </c>
      <c r="F110" s="24" t="n">
        <f aca="false">MIN(Annahmen!$D$166,Annahmen!$D$165*D110/10)</f>
        <v>0.15</v>
      </c>
      <c r="G110" s="41" t="n">
        <f aca="false">MIN(Annahmen!$D$168,Annahmen!$D$167*D110/10)</f>
        <v>0.008</v>
      </c>
      <c r="H110" s="17" t="n">
        <f aca="false">C110*(Annahmen!$D$58+G110)</f>
        <v>2449.29767985886</v>
      </c>
      <c r="I110" s="17" t="n">
        <f aca="false">I109*(1-Annahmen!$D$59)+H110</f>
        <v>8710.7263302904</v>
      </c>
      <c r="J110" s="17" t="n">
        <f aca="false">I110*(1-Annahmen!$D$60)</f>
        <v>4355.3631651452</v>
      </c>
      <c r="K110" s="17" t="n">
        <f aca="false">I110*Annahmen!$D$60</f>
        <v>4355.3631651452</v>
      </c>
      <c r="L110" s="23" t="n">
        <f aca="false">J110*Annahmen!$D$78+K110*Annahmen!$D$79</f>
        <v>55846.6441850743</v>
      </c>
      <c r="M110" s="23" t="n">
        <f aca="false">IF($A110&gt;=Annahmen!$D$54,Annahmen!$D$63*((1-Annahmen!$D$64)*Annahmen!$B$71+Annahmen!$D$64*Annahmen!$B$72)+Annahmen!$D$65*Annahmen!$B$73,0)</f>
        <v>486.45</v>
      </c>
      <c r="N110" s="23" t="n">
        <f aca="false">(L110+M110)/(1+Annahmen!$B$8)</f>
        <v>47338.7346093061</v>
      </c>
      <c r="O110" s="23" t="n">
        <f aca="false">L110/(1+Annahmen!$B$8)</f>
        <v>46929.9530967011</v>
      </c>
      <c r="P110" s="23" t="n">
        <f aca="false">N110*(Annahmen!$D$62*Annahmen!$B$74+(1-Annahmen!$D$62)*Annahmen!$B$75)+(I110*Annahmen!$D$61+I110*(1-Annahmen!$D$61)/12+IF($A110&gt;=Annahmen!$D$54,Annahmen!$D$63+Annahmen!$D$65,0))*(1-Annahmen!$D$62)*Annahmen!$B$76</f>
        <v>3975.01920237822</v>
      </c>
      <c r="Q110" s="24" t="n">
        <f aca="false">IF(D110=0,0,MIN(Annahmen!$B$170,Annahmen!$D$169*D110/(Annahmen!$D$169*D110+E110)))</f>
        <v>0.7</v>
      </c>
      <c r="R110" s="23" t="n">
        <f aca="false">O110*Q110*Annahmen!$B$177</f>
        <v>19546.325464776</v>
      </c>
      <c r="S110" s="23" t="n">
        <f aca="false">Annahmen!$D$66*Annahmen!$B$42</f>
        <v>346.451552687232</v>
      </c>
      <c r="T110" s="23" t="n">
        <f aca="false">IF($A110&gt;=Annahmen!$D$54,Annahmen!$D$63*(1-Annahmen!$D$64)*Annahmen!$B$43+(Annahmen!$D$63*Annahmen!$D$64+Annahmen!$D$65)*Annahmen!$B$44,0)</f>
        <v>190.53822791269</v>
      </c>
      <c r="U110" s="23" t="n">
        <f aca="false">C110*Annahmen!$B$77</f>
        <v>1064.91203472125</v>
      </c>
      <c r="V110" s="23" t="n">
        <f aca="false">SUMPRODUCT((((Annahmen!$C$145:$C$155="monatlich")*(Annahmen!$D$145:$D$155&lt;=$A110))+((Annahmen!$C$145:$C$155="einmalig")*(Annahmen!$D$145:$D$155=$A110)))*Annahmen!$B$145:$B$155*Annahmen!$E$145:$E$155)</f>
        <v>69.9850799606897</v>
      </c>
      <c r="W110" s="23" t="n">
        <f aca="false">IF($A110&gt;=Annahmen!$D$54,Annahmen!$D$134,0)</f>
        <v>2000</v>
      </c>
      <c r="X110" s="35" t="n">
        <f aca="false">MAX(0,(I110-Annahmen!$B$138)/Annahmen!$B$139)</f>
        <v>2.5702421100968</v>
      </c>
      <c r="Y110" s="23" t="n">
        <f aca="false">X110*Annahmen!$B$137</f>
        <v>11566.0894954356</v>
      </c>
      <c r="Z110" s="23" t="n">
        <f aca="false">N110-P110-R110-S110-T110-U110-V110-W110-Y110</f>
        <v>8579.41355143446</v>
      </c>
      <c r="AA110" s="23" t="n">
        <f aca="false">AA109+Z110</f>
        <v>9803.35172154056</v>
      </c>
      <c r="AB110" s="17" t="n">
        <f aca="false">IF($A110&gt;=Annahmen!$D$161,Annahmen!$D$162,0)</f>
        <v>10</v>
      </c>
      <c r="AC110" s="17" t="n">
        <f aca="false">AB110*(1-Annahmen!$B$180)</f>
        <v>8</v>
      </c>
      <c r="AD110" s="23" t="n">
        <f aca="false">AC110*(Annahmen!$B$178+Annahmen!$B$179)</f>
        <v>2800</v>
      </c>
      <c r="AE110" s="23" t="n">
        <f aca="false">AB110*(Annahmen!$B$47+Annahmen!$B$163*Annahmen!$B$10)</f>
        <v>86.7174327137655</v>
      </c>
      <c r="AF110" s="23" t="n">
        <f aca="false">AD110-AE110</f>
        <v>2713.28256728623</v>
      </c>
      <c r="AG110" s="23" t="n">
        <f aca="false">Gesamt!J94-TÆLLA!Y94+Z110+AF110</f>
        <v>18731.4859621917</v>
      </c>
      <c r="AH110" s="23" t="n">
        <f aca="false">AH109+AG110</f>
        <v>168756.830780037</v>
      </c>
      <c r="AI110" s="15" t="n">
        <f aca="false">IF(AG110&gt;0,1,0)</f>
        <v>1</v>
      </c>
      <c r="AJ110" s="15" t="n">
        <f aca="false">IF(AH110&gt;=0,1,0)</f>
        <v>1</v>
      </c>
      <c r="AK110" s="7" t="n">
        <f aca="false">IF(Z110&gt;0,1,0)</f>
        <v>1</v>
      </c>
      <c r="AL110" s="7" t="n">
        <f aca="false">IF(AA110&gt;=0,1,0)</f>
        <v>1</v>
      </c>
    </row>
    <row r="111" customFormat="false" ht="15" hidden="false" customHeight="false" outlineLevel="0" collapsed="false">
      <c r="A111" s="7" t="n">
        <v>20</v>
      </c>
      <c r="B111" s="7" t="s">
        <v>369</v>
      </c>
      <c r="C111" s="15" t="n">
        <f aca="false">IF($A111&lt;Annahmen!$D$54,0,IF($A111=Annahmen!$D$54,Annahmen!$D$55,C110*(1+(Annahmen!$D$56+F111)*(1-C110/Annahmen!$D$57))))</f>
        <v>137501.070208274</v>
      </c>
      <c r="D111" s="17" t="n">
        <f aca="false">D110+IF($A111&gt;=Annahmen!$D$161,Annahmen!$D$162,0)</f>
        <v>180</v>
      </c>
      <c r="E111" s="17" t="n">
        <f aca="false">E110+Annahmen!$D$66</f>
        <v>255</v>
      </c>
      <c r="F111" s="24" t="n">
        <f aca="false">MIN(Annahmen!$D$166,Annahmen!$D$165*D111/10)</f>
        <v>0.15</v>
      </c>
      <c r="G111" s="41" t="n">
        <f aca="false">MIN(Annahmen!$D$168,Annahmen!$D$167*D111/10)</f>
        <v>0.008</v>
      </c>
      <c r="H111" s="17" t="n">
        <f aca="false">C111*(Annahmen!$D$58+G111)</f>
        <v>3162.5246147903</v>
      </c>
      <c r="I111" s="17" t="n">
        <f aca="false">I110*(1-Annahmen!$D$59)+H111</f>
        <v>11524.8218918691</v>
      </c>
      <c r="J111" s="17" t="n">
        <f aca="false">I111*(1-Annahmen!$D$60)</f>
        <v>5762.41094593454</v>
      </c>
      <c r="K111" s="17" t="n">
        <f aca="false">I111*Annahmen!$D$60</f>
        <v>5762.41094593454</v>
      </c>
      <c r="L111" s="23" t="n">
        <f aca="false">J111*Annahmen!$D$78+K111*Annahmen!$D$79</f>
        <v>73888.5143542457</v>
      </c>
      <c r="M111" s="23" t="n">
        <f aca="false">IF($A111&gt;=Annahmen!$D$54,Annahmen!$D$63*((1-Annahmen!$D$64)*Annahmen!$B$71+Annahmen!$D$64*Annahmen!$B$72)+Annahmen!$D$65*Annahmen!$B$73,0)</f>
        <v>486.45</v>
      </c>
      <c r="N111" s="23" t="n">
        <f aca="false">(L111+M111)/(1+Annahmen!$B$8)</f>
        <v>62499.9700455846</v>
      </c>
      <c r="O111" s="23" t="n">
        <f aca="false">L111/(1+Annahmen!$B$8)</f>
        <v>62091.1885329796</v>
      </c>
      <c r="P111" s="23" t="n">
        <f aca="false">N111*(Annahmen!$D$62*Annahmen!$B$74+(1-Annahmen!$D$62)*Annahmen!$B$75)+(I111*Annahmen!$D$61+I111*(1-Annahmen!$D$61)/12+IF($A111&gt;=Annahmen!$D$54,Annahmen!$D$63+Annahmen!$D$65,0))*(1-Annahmen!$D$62)*Annahmen!$B$76</f>
        <v>5249.7897118597</v>
      </c>
      <c r="Q111" s="24" t="n">
        <f aca="false">IF(D111=0,0,MIN(Annahmen!$B$170,Annahmen!$D$169*D111/(Annahmen!$D$169*D111+E111)))</f>
        <v>0.7</v>
      </c>
      <c r="R111" s="23" t="n">
        <f aca="false">O111*Q111*Annahmen!$B$177</f>
        <v>25860.980023986</v>
      </c>
      <c r="S111" s="23" t="n">
        <f aca="false">Annahmen!$D$66*Annahmen!$B$42</f>
        <v>346.451552687232</v>
      </c>
      <c r="T111" s="23" t="n">
        <f aca="false">IF($A111&gt;=Annahmen!$D$54,Annahmen!$D$63*(1-Annahmen!$D$64)*Annahmen!$B$43+(Annahmen!$D$63*Annahmen!$D$64+Annahmen!$D$65)*Annahmen!$B$44,0)</f>
        <v>190.53822791269</v>
      </c>
      <c r="U111" s="23" t="n">
        <f aca="false">C111*Annahmen!$B$77</f>
        <v>1375.01070208274</v>
      </c>
      <c r="V111" s="23" t="n">
        <f aca="false">SUMPRODUCT((((Annahmen!$C$145:$C$155="monatlich")*(Annahmen!$D$145:$D$155&lt;=$A111))+((Annahmen!$C$145:$C$155="einmalig")*(Annahmen!$D$145:$D$155=$A111)))*Annahmen!$B$145:$B$155*Annahmen!$E$145:$E$155)</f>
        <v>69.9850799606897</v>
      </c>
      <c r="W111" s="23" t="n">
        <f aca="false">IF($A111&gt;=Annahmen!$D$54,Annahmen!$D$134,0)</f>
        <v>2000</v>
      </c>
      <c r="X111" s="35" t="n">
        <f aca="false">MAX(0,(I111-Annahmen!$B$138)/Annahmen!$B$139)</f>
        <v>3.50827396395636</v>
      </c>
      <c r="Y111" s="23" t="n">
        <f aca="false">X111*Annahmen!$B$137</f>
        <v>15787.2328378036</v>
      </c>
      <c r="Z111" s="23" t="n">
        <f aca="false">N111-P111-R111-S111-T111-U111-V111-W111-Y111</f>
        <v>11619.9819092919</v>
      </c>
      <c r="AA111" s="23" t="n">
        <f aca="false">AA110+Z111</f>
        <v>21423.3336308325</v>
      </c>
      <c r="AB111" s="17" t="n">
        <f aca="false">IF($A111&gt;=Annahmen!$D$161,Annahmen!$D$162,0)</f>
        <v>10</v>
      </c>
      <c r="AC111" s="17" t="n">
        <f aca="false">AB111*(1-Annahmen!$B$180)</f>
        <v>8</v>
      </c>
      <c r="AD111" s="23" t="n">
        <f aca="false">AC111*(Annahmen!$B$178+Annahmen!$B$179)</f>
        <v>2800</v>
      </c>
      <c r="AE111" s="23" t="n">
        <f aca="false">AB111*(Annahmen!$B$47+Annahmen!$B$163*Annahmen!$B$10)</f>
        <v>86.7174327137655</v>
      </c>
      <c r="AF111" s="23" t="n">
        <f aca="false">AD111-AE111</f>
        <v>2713.28256728623</v>
      </c>
      <c r="AG111" s="23" t="n">
        <f aca="false">Gesamt!J95-TÆLLA!Y95+Z111+AF111</f>
        <v>21810.3281518249</v>
      </c>
      <c r="AH111" s="23" t="n">
        <f aca="false">AH110+AG111</f>
        <v>190567.158931862</v>
      </c>
      <c r="AI111" s="15" t="n">
        <f aca="false">IF(AG111&gt;0,1,0)</f>
        <v>1</v>
      </c>
      <c r="AJ111" s="15" t="n">
        <f aca="false">IF(AH111&gt;=0,1,0)</f>
        <v>1</v>
      </c>
      <c r="AK111" s="7" t="n">
        <f aca="false">IF(Z111&gt;0,1,0)</f>
        <v>1</v>
      </c>
      <c r="AL111" s="7" t="n">
        <f aca="false">IF(AA111&gt;=0,1,0)</f>
        <v>1</v>
      </c>
    </row>
    <row r="112" customFormat="false" ht="15" hidden="false" customHeight="false" outlineLevel="0" collapsed="false">
      <c r="A112" s="7" t="n">
        <v>21</v>
      </c>
      <c r="B112" s="7" t="s">
        <v>370</v>
      </c>
      <c r="C112" s="15" t="n">
        <f aca="false">IF($A112&lt;Annahmen!$D$54,0,IF($A112=Annahmen!$D$54,Annahmen!$D$55,C111*(1+(Annahmen!$D$56+F112)*(1-C111/Annahmen!$D$57))))</f>
        <v>174385.623397104</v>
      </c>
      <c r="D112" s="17" t="n">
        <f aca="false">D111+IF($A112&gt;=Annahmen!$D$161,Annahmen!$D$162,0)</f>
        <v>190</v>
      </c>
      <c r="E112" s="17" t="n">
        <f aca="false">E111+Annahmen!$D$66</f>
        <v>267</v>
      </c>
      <c r="F112" s="24" t="n">
        <f aca="false">MIN(Annahmen!$D$166,Annahmen!$D$165*D112/10)</f>
        <v>0.15</v>
      </c>
      <c r="G112" s="41" t="n">
        <f aca="false">MIN(Annahmen!$D$168,Annahmen!$D$167*D112/10)</f>
        <v>0.008</v>
      </c>
      <c r="H112" s="17" t="n">
        <f aca="false">C112*(Annahmen!$D$58+G112)</f>
        <v>4010.86933813339</v>
      </c>
      <c r="I112" s="17" t="n">
        <f aca="false">I111*(1-Annahmen!$D$59)+H112</f>
        <v>15074.6983543277</v>
      </c>
      <c r="J112" s="17" t="n">
        <f aca="false">I112*(1-Annahmen!$D$60)</f>
        <v>7537.34917716386</v>
      </c>
      <c r="K112" s="17" t="n">
        <f aca="false">I112*Annahmen!$D$60</f>
        <v>7537.34917716386</v>
      </c>
      <c r="L112" s="23" t="n">
        <f aca="false">J112*Annahmen!$D$78+K112*Annahmen!$D$79</f>
        <v>96647.6598241836</v>
      </c>
      <c r="M112" s="23" t="n">
        <f aca="false">IF($A112&gt;=Annahmen!$D$54,Annahmen!$D$63*((1-Annahmen!$D$64)*Annahmen!$B$71+Annahmen!$D$64*Annahmen!$B$72)+Annahmen!$D$65*Annahmen!$B$73,0)</f>
        <v>486.45</v>
      </c>
      <c r="N112" s="23" t="n">
        <f aca="false">(L112+M112)/(1+Annahmen!$B$8)</f>
        <v>81625.3023732635</v>
      </c>
      <c r="O112" s="23" t="n">
        <f aca="false">L112/(1+Annahmen!$B$8)</f>
        <v>81216.5208606585</v>
      </c>
      <c r="P112" s="23" t="n">
        <f aca="false">N112*(Annahmen!$D$62*Annahmen!$B$74+(1-Annahmen!$D$62)*Annahmen!$B$75)+(I112*Annahmen!$D$61+I112*(1-Annahmen!$D$61)/12+IF($A112&gt;=Annahmen!$D$54,Annahmen!$D$63+Annahmen!$D$65,0))*(1-Annahmen!$D$62)*Annahmen!$B$76</f>
        <v>6857.86510504431</v>
      </c>
      <c r="Q112" s="24" t="n">
        <f aca="false">IF(D112=0,0,MIN(Annahmen!$B$170,Annahmen!$D$169*D112/(Annahmen!$D$169*D112+E112)))</f>
        <v>0.7</v>
      </c>
      <c r="R112" s="23" t="n">
        <f aca="false">O112*Q112*Annahmen!$B$177</f>
        <v>33826.6809384642</v>
      </c>
      <c r="S112" s="23" t="n">
        <f aca="false">Annahmen!$D$66*Annahmen!$B$42</f>
        <v>346.451552687232</v>
      </c>
      <c r="T112" s="23" t="n">
        <f aca="false">IF($A112&gt;=Annahmen!$D$54,Annahmen!$D$63*(1-Annahmen!$D$64)*Annahmen!$B$43+(Annahmen!$D$63*Annahmen!$D$64+Annahmen!$D$65)*Annahmen!$B$44,0)</f>
        <v>190.53822791269</v>
      </c>
      <c r="U112" s="23" t="n">
        <f aca="false">C112*Annahmen!$B$77</f>
        <v>1743.85623397104</v>
      </c>
      <c r="V112" s="23" t="n">
        <f aca="false">SUMPRODUCT((((Annahmen!$C$145:$C$155="monatlich")*(Annahmen!$D$145:$D$155&lt;=$A112))+((Annahmen!$C$145:$C$155="einmalig")*(Annahmen!$D$145:$D$155=$A112)))*Annahmen!$B$145:$B$155*Annahmen!$E$145:$E$155)</f>
        <v>69.9850799606897</v>
      </c>
      <c r="W112" s="23" t="n">
        <f aca="false">IF($A112&gt;=Annahmen!$D$54,Annahmen!$D$134,0)</f>
        <v>2000</v>
      </c>
      <c r="X112" s="35" t="n">
        <f aca="false">MAX(0,(I112-Annahmen!$B$138)/Annahmen!$B$139)</f>
        <v>4.69156611810924</v>
      </c>
      <c r="Y112" s="23" t="n">
        <f aca="false">X112*Annahmen!$B$137</f>
        <v>21112.0475314916</v>
      </c>
      <c r="Z112" s="23" t="n">
        <f aca="false">N112-P112-R112-S112-T112-U112-V112-W112-Y112</f>
        <v>15477.8777037317</v>
      </c>
      <c r="AA112" s="23" t="n">
        <f aca="false">AA111+Z112</f>
        <v>36901.2113345642</v>
      </c>
      <c r="AB112" s="17" t="n">
        <f aca="false">IF($A112&gt;=Annahmen!$D$161,Annahmen!$D$162,0)</f>
        <v>10</v>
      </c>
      <c r="AC112" s="17" t="n">
        <f aca="false">AB112*(1-Annahmen!$B$180)</f>
        <v>8</v>
      </c>
      <c r="AD112" s="23" t="n">
        <f aca="false">AC112*(Annahmen!$B$178+Annahmen!$B$179)</f>
        <v>2800</v>
      </c>
      <c r="AE112" s="23" t="n">
        <f aca="false">AB112*(Annahmen!$B$47+Annahmen!$B$163*Annahmen!$B$10)</f>
        <v>86.7174327137655</v>
      </c>
      <c r="AF112" s="23" t="n">
        <f aca="false">AD112-AE112</f>
        <v>2713.28256728623</v>
      </c>
      <c r="AG112" s="23" t="n">
        <f aca="false">Gesamt!J96-TÆLLA!Y96+Z112+AF112</f>
        <v>25706.4977780404</v>
      </c>
      <c r="AH112" s="23" t="n">
        <f aca="false">AH111+AG112</f>
        <v>216273.656709902</v>
      </c>
      <c r="AI112" s="15" t="n">
        <f aca="false">IF(AG112&gt;0,1,0)</f>
        <v>1</v>
      </c>
      <c r="AJ112" s="15" t="n">
        <f aca="false">IF(AH112&gt;=0,1,0)</f>
        <v>1</v>
      </c>
      <c r="AK112" s="7" t="n">
        <f aca="false">IF(Z112&gt;0,1,0)</f>
        <v>1</v>
      </c>
      <c r="AL112" s="7" t="n">
        <f aca="false">IF(AA112&gt;=0,1,0)</f>
        <v>1</v>
      </c>
    </row>
    <row r="113" customFormat="false" ht="15" hidden="false" customHeight="false" outlineLevel="0" collapsed="false">
      <c r="A113" s="7" t="n">
        <v>22</v>
      </c>
      <c r="B113" s="7" t="s">
        <v>371</v>
      </c>
      <c r="C113" s="15" t="n">
        <f aca="false">IF($A113&lt;Annahmen!$D$54,0,IF($A113=Annahmen!$D$54,Annahmen!$D$55,C112*(1+(Annahmen!$D$56+F113)*(1-C112/Annahmen!$D$57))))</f>
        <v>216404.648274811</v>
      </c>
      <c r="D113" s="17" t="n">
        <f aca="false">D112+IF($A113&gt;=Annahmen!$D$161,Annahmen!$D$162,0)</f>
        <v>200</v>
      </c>
      <c r="E113" s="17" t="n">
        <f aca="false">E112+Annahmen!$D$66</f>
        <v>279</v>
      </c>
      <c r="F113" s="24" t="n">
        <f aca="false">MIN(Annahmen!$D$166,Annahmen!$D$165*D113/10)</f>
        <v>0.15</v>
      </c>
      <c r="G113" s="41" t="n">
        <f aca="false">MIN(Annahmen!$D$168,Annahmen!$D$167*D113/10)</f>
        <v>0.008</v>
      </c>
      <c r="H113" s="17" t="n">
        <f aca="false">C113*(Annahmen!$D$58+G113)</f>
        <v>4977.30691032065</v>
      </c>
      <c r="I113" s="17" t="n">
        <f aca="false">I112*(1-Annahmen!$D$59)+H113</f>
        <v>19449.0173304753</v>
      </c>
      <c r="J113" s="17" t="n">
        <f aca="false">I113*(1-Annahmen!$D$60)</f>
        <v>9724.50866523763</v>
      </c>
      <c r="K113" s="17" t="n">
        <f aca="false">I113*Annahmen!$D$60</f>
        <v>9724.50866523763</v>
      </c>
      <c r="L113" s="23" t="n">
        <f aca="false">J113*Annahmen!$D$78+K113*Annahmen!$D$79</f>
        <v>124692.512360009</v>
      </c>
      <c r="M113" s="23" t="n">
        <f aca="false">IF($A113&gt;=Annahmen!$D$54,Annahmen!$D$63*((1-Annahmen!$D$64)*Annahmen!$B$71+Annahmen!$D$64*Annahmen!$B$72)+Annahmen!$D$65*Annahmen!$B$73,0)</f>
        <v>486.45</v>
      </c>
      <c r="N113" s="23" t="n">
        <f aca="false">(L113+M113)/(1+Annahmen!$B$8)</f>
        <v>105192.405344546</v>
      </c>
      <c r="O113" s="23" t="n">
        <f aca="false">L113/(1+Annahmen!$B$8)</f>
        <v>104783.623831941</v>
      </c>
      <c r="P113" s="23" t="n">
        <f aca="false">N113*(Annahmen!$D$62*Annahmen!$B$74+(1-Annahmen!$D$62)*Annahmen!$B$75)+(I113*Annahmen!$D$61+I113*(1-Annahmen!$D$61)/12+IF($A113&gt;=Annahmen!$D$54,Annahmen!$D$63+Annahmen!$D$65,0))*(1-Annahmen!$D$62)*Annahmen!$B$76</f>
        <v>8839.40862687477</v>
      </c>
      <c r="Q113" s="24" t="n">
        <f aca="false">IF(D113=0,0,MIN(Annahmen!$B$170,Annahmen!$D$169*D113/(Annahmen!$D$169*D113+E113)))</f>
        <v>0.7</v>
      </c>
      <c r="R113" s="23" t="n">
        <f aca="false">O113*Q113*Annahmen!$B$177</f>
        <v>43642.3793260033</v>
      </c>
      <c r="S113" s="23" t="n">
        <f aca="false">Annahmen!$D$66*Annahmen!$B$42</f>
        <v>346.451552687232</v>
      </c>
      <c r="T113" s="23" t="n">
        <f aca="false">IF($A113&gt;=Annahmen!$D$54,Annahmen!$D$63*(1-Annahmen!$D$64)*Annahmen!$B$43+(Annahmen!$D$63*Annahmen!$D$64+Annahmen!$D$65)*Annahmen!$B$44,0)</f>
        <v>190.53822791269</v>
      </c>
      <c r="U113" s="23" t="n">
        <f aca="false">C113*Annahmen!$B$77</f>
        <v>2164.04648274811</v>
      </c>
      <c r="V113" s="23" t="n">
        <f aca="false">SUMPRODUCT((((Annahmen!$C$145:$C$155="monatlich")*(Annahmen!$D$145:$D$155&lt;=$A113))+((Annahmen!$C$145:$C$155="einmalig")*(Annahmen!$D$145:$D$155=$A113)))*Annahmen!$B$145:$B$155*Annahmen!$E$145:$E$155)</f>
        <v>69.9850799606897</v>
      </c>
      <c r="W113" s="23" t="n">
        <f aca="false">IF($A113&gt;=Annahmen!$D$54,Annahmen!$D$134,0)</f>
        <v>2000</v>
      </c>
      <c r="X113" s="35" t="n">
        <f aca="false">MAX(0,(I113-Annahmen!$B$138)/Annahmen!$B$139)</f>
        <v>6.14967244349175</v>
      </c>
      <c r="Y113" s="23" t="n">
        <f aca="false">X113*Annahmen!$B$137</f>
        <v>27673.5259957129</v>
      </c>
      <c r="Z113" s="23" t="n">
        <f aca="false">N113-P113-R113-S113-T113-U113-V113-W113-Y113</f>
        <v>20266.0700526461</v>
      </c>
      <c r="AA113" s="23" t="n">
        <f aca="false">AA112+Z113</f>
        <v>57167.2813872103</v>
      </c>
      <c r="AB113" s="17" t="n">
        <f aca="false">IF($A113&gt;=Annahmen!$D$161,Annahmen!$D$162,0)</f>
        <v>10</v>
      </c>
      <c r="AC113" s="17" t="n">
        <f aca="false">AB113*(1-Annahmen!$B$180)</f>
        <v>8</v>
      </c>
      <c r="AD113" s="23" t="n">
        <f aca="false">AC113*(Annahmen!$B$178+Annahmen!$B$179)</f>
        <v>2800</v>
      </c>
      <c r="AE113" s="23" t="n">
        <f aca="false">AB113*(Annahmen!$B$47+Annahmen!$B$163*Annahmen!$B$10)</f>
        <v>86.7174327137655</v>
      </c>
      <c r="AF113" s="23" t="n">
        <f aca="false">AD113-AE113</f>
        <v>2713.28256728623</v>
      </c>
      <c r="AG113" s="23" t="n">
        <f aca="false">Gesamt!J97-TÆLLA!Y97+Z113+AF113</f>
        <v>30532.9639587304</v>
      </c>
      <c r="AH113" s="23" t="n">
        <f aca="false">AH112+AG113</f>
        <v>246806.620668633</v>
      </c>
      <c r="AI113" s="15" t="n">
        <f aca="false">IF(AG113&gt;0,1,0)</f>
        <v>1</v>
      </c>
      <c r="AJ113" s="15" t="n">
        <f aca="false">IF(AH113&gt;=0,1,0)</f>
        <v>1</v>
      </c>
      <c r="AK113" s="7" t="n">
        <f aca="false">IF(Z113&gt;0,1,0)</f>
        <v>1</v>
      </c>
      <c r="AL113" s="7" t="n">
        <f aca="false">IF(AA113&gt;=0,1,0)</f>
        <v>1</v>
      </c>
    </row>
    <row r="114" customFormat="false" ht="15" hidden="false" customHeight="false" outlineLevel="0" collapsed="false">
      <c r="A114" s="7" t="n">
        <v>23</v>
      </c>
      <c r="B114" s="7" t="s">
        <v>372</v>
      </c>
      <c r="C114" s="15" t="n">
        <f aca="false">IF($A114&lt;Annahmen!$D$54,0,IF($A114=Annahmen!$D$54,Annahmen!$D$55,C113*(1+(Annahmen!$D$56+F114)*(1-C113/Annahmen!$D$57))))</f>
        <v>261819.449008232</v>
      </c>
      <c r="D114" s="17" t="n">
        <f aca="false">D113+IF($A114&gt;=Annahmen!$D$161,Annahmen!$D$162,0)</f>
        <v>210</v>
      </c>
      <c r="E114" s="17" t="n">
        <f aca="false">E113+Annahmen!$D$66</f>
        <v>291</v>
      </c>
      <c r="F114" s="24" t="n">
        <f aca="false">MIN(Annahmen!$D$166,Annahmen!$D$165*D114/10)</f>
        <v>0.15</v>
      </c>
      <c r="G114" s="41" t="n">
        <f aca="false">MIN(Annahmen!$D$168,Annahmen!$D$167*D114/10)</f>
        <v>0.008</v>
      </c>
      <c r="H114" s="17" t="n">
        <f aca="false">C114*(Annahmen!$D$58+G114)</f>
        <v>6021.84732718934</v>
      </c>
      <c r="I114" s="17" t="n">
        <f aca="false">I113*(1-Annahmen!$D$59)+H114</f>
        <v>24692.9039644456</v>
      </c>
      <c r="J114" s="17" t="n">
        <f aca="false">I114*(1-Annahmen!$D$60)</f>
        <v>12346.4519822228</v>
      </c>
      <c r="K114" s="17" t="n">
        <f aca="false">I114*Annahmen!$D$60</f>
        <v>12346.4519822228</v>
      </c>
      <c r="L114" s="23" t="n">
        <f aca="false">J114*Annahmen!$D$78+K114*Annahmen!$D$79</f>
        <v>158312.380542052</v>
      </c>
      <c r="M114" s="23" t="n">
        <f aca="false">IF($A114&gt;=Annahmen!$D$54,Annahmen!$D$63*((1-Annahmen!$D$64)*Annahmen!$B$71+Annahmen!$D$64*Annahmen!$B$72)+Annahmen!$D$65*Annahmen!$B$73,0)</f>
        <v>486.45</v>
      </c>
      <c r="N114" s="23" t="n">
        <f aca="false">(L114+M114)/(1+Annahmen!$B$8)</f>
        <v>133444.395413489</v>
      </c>
      <c r="O114" s="23" t="n">
        <f aca="false">L114/(1+Annahmen!$B$8)</f>
        <v>133035.613900884</v>
      </c>
      <c r="P114" s="23" t="n">
        <f aca="false">N114*(Annahmen!$D$62*Annahmen!$B$74+(1-Annahmen!$D$62)*Annahmen!$B$75)+(I114*Annahmen!$D$61+I114*(1-Annahmen!$D$61)/12+IF($A114&gt;=Annahmen!$D$54,Annahmen!$D$63+Annahmen!$D$65,0))*(1-Annahmen!$D$62)*Annahmen!$B$76</f>
        <v>11214.8617306419</v>
      </c>
      <c r="Q114" s="24" t="n">
        <f aca="false">IF(D114=0,0,MIN(Annahmen!$B$170,Annahmen!$D$169*D114/(Annahmen!$D$169*D114+E114)))</f>
        <v>0.7</v>
      </c>
      <c r="R114" s="23" t="n">
        <f aca="false">O114*Q114*Annahmen!$B$177</f>
        <v>55409.3331897181</v>
      </c>
      <c r="S114" s="23" t="n">
        <f aca="false">Annahmen!$D$66*Annahmen!$B$42</f>
        <v>346.451552687232</v>
      </c>
      <c r="T114" s="23" t="n">
        <f aca="false">IF($A114&gt;=Annahmen!$D$54,Annahmen!$D$63*(1-Annahmen!$D$64)*Annahmen!$B$43+(Annahmen!$D$63*Annahmen!$D$64+Annahmen!$D$65)*Annahmen!$B$44,0)</f>
        <v>190.53822791269</v>
      </c>
      <c r="U114" s="23" t="n">
        <f aca="false">C114*Annahmen!$B$77</f>
        <v>2618.19449008232</v>
      </c>
      <c r="V114" s="23" t="n">
        <f aca="false">SUMPRODUCT((((Annahmen!$C$145:$C$155="monatlich")*(Annahmen!$D$145:$D$155&lt;=$A114))+((Annahmen!$C$145:$C$155="einmalig")*(Annahmen!$D$145:$D$155=$A114)))*Annahmen!$B$145:$B$155*Annahmen!$E$145:$E$155)</f>
        <v>69.9850799606897</v>
      </c>
      <c r="W114" s="23" t="n">
        <f aca="false">IF($A114&gt;=Annahmen!$D$54,Annahmen!$D$134,0)</f>
        <v>2000</v>
      </c>
      <c r="X114" s="35" t="n">
        <f aca="false">MAX(0,(I114-Annahmen!$B$138)/Annahmen!$B$139)</f>
        <v>7.8976346548152</v>
      </c>
      <c r="Y114" s="23" t="n">
        <f aca="false">X114*Annahmen!$B$137</f>
        <v>35539.3559466684</v>
      </c>
      <c r="Z114" s="23" t="n">
        <f aca="false">N114-P114-R114-S114-T114-U114-V114-W114-Y114</f>
        <v>26055.6751958175</v>
      </c>
      <c r="AA114" s="23" t="n">
        <f aca="false">AA113+Z114</f>
        <v>83222.9565830278</v>
      </c>
      <c r="AB114" s="17" t="n">
        <f aca="false">IF($A114&gt;=Annahmen!$D$161,Annahmen!$D$162,0)</f>
        <v>10</v>
      </c>
      <c r="AC114" s="17" t="n">
        <f aca="false">AB114*(1-Annahmen!$B$180)</f>
        <v>8</v>
      </c>
      <c r="AD114" s="23" t="n">
        <f aca="false">AC114*(Annahmen!$B$178+Annahmen!$B$179)</f>
        <v>2800</v>
      </c>
      <c r="AE114" s="23" t="n">
        <f aca="false">AB114*(Annahmen!$B$47+Annahmen!$B$163*Annahmen!$B$10)</f>
        <v>86.7174327137655</v>
      </c>
      <c r="AF114" s="23" t="n">
        <f aca="false">AD114-AE114</f>
        <v>2713.28256728623</v>
      </c>
      <c r="AG114" s="23" t="n">
        <f aca="false">Gesamt!J98-TÆLLA!Y98+Z114+AF114</f>
        <v>36360.8429336776</v>
      </c>
      <c r="AH114" s="23" t="n">
        <f aca="false">AH113+AG114</f>
        <v>283167.46360231</v>
      </c>
      <c r="AI114" s="15" t="n">
        <f aca="false">IF(AG114&gt;0,1,0)</f>
        <v>1</v>
      </c>
      <c r="AJ114" s="15" t="n">
        <f aca="false">IF(AH114&gt;=0,1,0)</f>
        <v>1</v>
      </c>
      <c r="AK114" s="7" t="n">
        <f aca="false">IF(Z114&gt;0,1,0)</f>
        <v>1</v>
      </c>
      <c r="AL114" s="7" t="n">
        <f aca="false">IF(AA114&gt;=0,1,0)</f>
        <v>1</v>
      </c>
    </row>
    <row r="115" customFormat="false" ht="15" hidden="false" customHeight="false" outlineLevel="0" collapsed="false">
      <c r="A115" s="7" t="n">
        <v>24</v>
      </c>
      <c r="B115" s="7" t="s">
        <v>373</v>
      </c>
      <c r="C115" s="15" t="n">
        <f aca="false">IF($A115&lt;Annahmen!$D$54,0,IF($A115=Annahmen!$D$54,Annahmen!$D$55,C114*(1+(Annahmen!$D$56+F115)*(1-C114/Annahmen!$D$57))))</f>
        <v>307966.071470837</v>
      </c>
      <c r="D115" s="17" t="n">
        <f aca="false">D114+IF($A115&gt;=Annahmen!$D$161,Annahmen!$D$162,0)</f>
        <v>220</v>
      </c>
      <c r="E115" s="17" t="n">
        <f aca="false">E114+Annahmen!$D$66</f>
        <v>303</v>
      </c>
      <c r="F115" s="24" t="n">
        <f aca="false">MIN(Annahmen!$D$166,Annahmen!$D$165*D115/10)</f>
        <v>0.15</v>
      </c>
      <c r="G115" s="41" t="n">
        <f aca="false">MIN(Annahmen!$D$168,Annahmen!$D$167*D115/10)</f>
        <v>0.008</v>
      </c>
      <c r="H115" s="17" t="n">
        <f aca="false">C115*(Annahmen!$D$58+G115)</f>
        <v>7083.21964382925</v>
      </c>
      <c r="I115" s="17" t="n">
        <f aca="false">I114*(1-Annahmen!$D$59)+H115</f>
        <v>30788.407449697</v>
      </c>
      <c r="J115" s="17" t="n">
        <f aca="false">I115*(1-Annahmen!$D$60)</f>
        <v>15394.2037248485</v>
      </c>
      <c r="K115" s="17" t="n">
        <f aca="false">I115*Annahmen!$D$60</f>
        <v>15394.2037248485</v>
      </c>
      <c r="L115" s="23" t="n">
        <f aca="false">J115*Annahmen!$D$78+K115*Annahmen!$D$79</f>
        <v>197392.17726187</v>
      </c>
      <c r="M115" s="23" t="n">
        <f aca="false">IF($A115&gt;=Annahmen!$D$54,Annahmen!$D$63*((1-Annahmen!$D$64)*Annahmen!$B$71+Annahmen!$D$64*Annahmen!$B$72)+Annahmen!$D$65*Annahmen!$B$73,0)</f>
        <v>486.45</v>
      </c>
      <c r="N115" s="23" t="n">
        <f aca="false">(L115+M115)/(1+Annahmen!$B$8)</f>
        <v>166284.560724261</v>
      </c>
      <c r="O115" s="23" t="n">
        <f aca="false">L115/(1+Annahmen!$B$8)</f>
        <v>165875.779211655</v>
      </c>
      <c r="P115" s="23" t="n">
        <f aca="false">N115*(Annahmen!$D$62*Annahmen!$B$74+(1-Annahmen!$D$62)*Annahmen!$B$75)+(I115*Annahmen!$D$61+I115*(1-Annahmen!$D$61)/12+IF($A115&gt;=Annahmen!$D$54,Annahmen!$D$63+Annahmen!$D$65,0))*(1-Annahmen!$D$62)*Annahmen!$B$76</f>
        <v>13976.0927952619</v>
      </c>
      <c r="Q115" s="24" t="n">
        <f aca="false">IF(D115=0,0,MIN(Annahmen!$B$170,Annahmen!$D$169*D115/(Annahmen!$D$169*D115+E115)))</f>
        <v>0.7</v>
      </c>
      <c r="R115" s="23" t="n">
        <f aca="false">O115*Q115*Annahmen!$B$177</f>
        <v>69087.2620416545</v>
      </c>
      <c r="S115" s="23" t="n">
        <f aca="false">Annahmen!$D$66*Annahmen!$B$42</f>
        <v>346.451552687232</v>
      </c>
      <c r="T115" s="23" t="n">
        <f aca="false">IF($A115&gt;=Annahmen!$D$54,Annahmen!$D$63*(1-Annahmen!$D$64)*Annahmen!$B$43+(Annahmen!$D$63*Annahmen!$D$64+Annahmen!$D$65)*Annahmen!$B$44,0)</f>
        <v>190.53822791269</v>
      </c>
      <c r="U115" s="23" t="n">
        <f aca="false">C115*Annahmen!$B$77</f>
        <v>3079.66071470837</v>
      </c>
      <c r="V115" s="23" t="n">
        <f aca="false">SUMPRODUCT((((Annahmen!$C$145:$C$155="monatlich")*(Annahmen!$D$145:$D$155&lt;=$A115))+((Annahmen!$C$145:$C$155="einmalig")*(Annahmen!$D$145:$D$155=$A115)))*Annahmen!$B$145:$B$155*Annahmen!$E$145:$E$155)</f>
        <v>69.9850799606897</v>
      </c>
      <c r="W115" s="23" t="n">
        <f aca="false">IF($A115&gt;=Annahmen!$D$54,Annahmen!$D$134,0)</f>
        <v>2000</v>
      </c>
      <c r="X115" s="35" t="n">
        <f aca="false">MAX(0,(I115-Annahmen!$B$138)/Annahmen!$B$139)</f>
        <v>9.929469149899</v>
      </c>
      <c r="Y115" s="23" t="n">
        <f aca="false">X115*Annahmen!$B$137</f>
        <v>44682.6111745455</v>
      </c>
      <c r="Z115" s="23" t="n">
        <f aca="false">N115-P115-R115-S115-T115-U115-V115-W115-Y115</f>
        <v>32851.9591375297</v>
      </c>
      <c r="AA115" s="23" t="n">
        <f aca="false">AA114+Z115</f>
        <v>116074.915720557</v>
      </c>
      <c r="AB115" s="17" t="n">
        <f aca="false">IF($A115&gt;=Annahmen!$D$161,Annahmen!$D$162,0)</f>
        <v>10</v>
      </c>
      <c r="AC115" s="17" t="n">
        <f aca="false">AB115*(1-Annahmen!$B$180)</f>
        <v>8</v>
      </c>
      <c r="AD115" s="23" t="n">
        <f aca="false">AC115*(Annahmen!$B$178+Annahmen!$B$179)</f>
        <v>2800</v>
      </c>
      <c r="AE115" s="23" t="n">
        <f aca="false">AB115*(Annahmen!$B$47+Annahmen!$B$163*Annahmen!$B$10)</f>
        <v>86.7174327137655</v>
      </c>
      <c r="AF115" s="23" t="n">
        <f aca="false">AD115-AE115</f>
        <v>2713.28256728623</v>
      </c>
      <c r="AG115" s="23" t="n">
        <f aca="false">Gesamt!J99-TÆLLA!Y99+Z115+AF115</f>
        <v>43195.4007071654</v>
      </c>
      <c r="AH115" s="23" t="n">
        <f aca="false">AH114+AG115</f>
        <v>326362.864309476</v>
      </c>
      <c r="AI115" s="15" t="n">
        <f aca="false">IF(AG115&gt;0,1,0)</f>
        <v>1</v>
      </c>
      <c r="AJ115" s="15" t="n">
        <f aca="false">IF(AH115&gt;=0,1,0)</f>
        <v>1</v>
      </c>
      <c r="AK115" s="7" t="n">
        <f aca="false">IF(Z115&gt;0,1,0)</f>
        <v>1</v>
      </c>
      <c r="AL115" s="7" t="n">
        <f aca="false">IF(AA115&gt;=0,1,0)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2026-10-25T08:41:29Z</dcterms:created>
  <dc:creator>openpyxl</dc:creator>
  <dc:description/>
  <dc:language>en-US</dc:language>
  <cp:lastModifiedBy/>
  <dcterms:modified xsi:type="dcterms:W3CDTF">2026-10-25T08:41:29Z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