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in\read_layer\docs\"/>
    </mc:Choice>
  </mc:AlternateContent>
  <xr:revisionPtr revIDLastSave="0" documentId="8_{40AC0440-6723-4CE1-A3C8-B159F87CAB40}" xr6:coauthVersionLast="47" xr6:coauthVersionMax="47" xr10:uidLastSave="{00000000-0000-0000-0000-000000000000}"/>
  <bookViews>
    <workbookView xWindow="-110" yWindow="-110" windowWidth="19420" windowHeight="10300" xr2:uid="{9C5EF4AC-8642-4E20-9D77-A65B9D93FCC1}"/>
  </bookViews>
  <sheets>
    <sheet name="TAE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1" l="1"/>
  <c r="G24" i="1" s="1"/>
  <c r="G25" i="1" s="1"/>
  <c r="G26" i="1" s="1"/>
  <c r="G27" i="1" s="1"/>
  <c r="G28" i="1" s="1"/>
  <c r="G29" i="1" s="1"/>
  <c r="G30" i="1" s="1"/>
  <c r="G31" i="1" s="1"/>
  <c r="G32" i="1" s="1"/>
  <c r="E23" i="1"/>
  <c r="E24" i="1" s="1"/>
  <c r="I22" i="1"/>
  <c r="I5" i="1" s="1"/>
  <c r="J5" i="1" s="1"/>
  <c r="G6" i="1"/>
  <c r="G7" i="1" s="1"/>
  <c r="G8" i="1" s="1"/>
  <c r="G9" i="1" s="1"/>
  <c r="G10" i="1" s="1"/>
  <c r="G11" i="1" s="1"/>
  <c r="G12" i="1" s="1"/>
  <c r="G13" i="1" s="1"/>
  <c r="G14" i="1" s="1"/>
  <c r="G15" i="1" s="1"/>
  <c r="H5" i="1"/>
  <c r="H23" i="1" l="1"/>
  <c r="K22" i="1"/>
  <c r="N22" i="1" l="1"/>
  <c r="M22" i="1"/>
  <c r="L22" i="1"/>
  <c r="I23" i="1"/>
  <c r="H6" i="1"/>
  <c r="K23" i="1" l="1"/>
  <c r="I6" i="1"/>
  <c r="J6" i="1" s="1"/>
  <c r="H24" i="1"/>
  <c r="O22" i="1"/>
  <c r="H7" i="1" l="1"/>
  <c r="I24" i="1"/>
  <c r="M23" i="1"/>
  <c r="L23" i="1"/>
  <c r="N23" i="1"/>
  <c r="O23" i="1" l="1"/>
  <c r="K24" i="1"/>
  <c r="H25" i="1"/>
  <c r="I7" i="1"/>
  <c r="J7" i="1" s="1"/>
  <c r="I25" i="1" l="1"/>
  <c r="H8" i="1"/>
  <c r="N24" i="1"/>
  <c r="L24" i="1"/>
  <c r="M24" i="1"/>
  <c r="K25" i="1" l="1"/>
  <c r="I8" i="1"/>
  <c r="J8" i="1" s="1"/>
  <c r="H26" i="1"/>
  <c r="O24" i="1"/>
  <c r="H9" i="1" l="1"/>
  <c r="I26" i="1"/>
  <c r="N25" i="1"/>
  <c r="L25" i="1"/>
  <c r="M25" i="1"/>
  <c r="O25" i="1" l="1"/>
  <c r="I9" i="1"/>
  <c r="J9" i="1" s="1"/>
  <c r="K26" i="1"/>
  <c r="H27" i="1"/>
  <c r="N26" i="1" l="1"/>
  <c r="L26" i="1"/>
  <c r="M26" i="1"/>
  <c r="I27" i="1"/>
  <c r="H10" i="1"/>
  <c r="K27" i="1" l="1"/>
  <c r="I10" i="1"/>
  <c r="J10" i="1" s="1"/>
  <c r="H28" i="1"/>
  <c r="O26" i="1"/>
  <c r="H11" i="1" l="1"/>
  <c r="I28" i="1"/>
  <c r="N27" i="1"/>
  <c r="L27" i="1"/>
  <c r="M27" i="1"/>
  <c r="O27" i="1" l="1"/>
  <c r="K28" i="1"/>
  <c r="H29" i="1"/>
  <c r="I11" i="1"/>
  <c r="J11" i="1" s="1"/>
  <c r="I29" i="1" l="1"/>
  <c r="H12" i="1"/>
  <c r="N28" i="1"/>
  <c r="L28" i="1"/>
  <c r="M28" i="1"/>
  <c r="O28" i="1" l="1"/>
  <c r="K29" i="1"/>
  <c r="I12" i="1"/>
  <c r="J12" i="1" s="1"/>
  <c r="H30" i="1"/>
  <c r="I30" i="1" l="1"/>
  <c r="H13" i="1"/>
  <c r="N29" i="1"/>
  <c r="O29" i="1" s="1"/>
  <c r="L29" i="1"/>
  <c r="M29" i="1"/>
  <c r="K30" i="1" l="1"/>
  <c r="H31" i="1"/>
  <c r="I13" i="1"/>
  <c r="J13" i="1" s="1"/>
  <c r="I31" i="1" l="1"/>
  <c r="H14" i="1"/>
  <c r="N30" i="1"/>
  <c r="L30" i="1"/>
  <c r="M30" i="1"/>
  <c r="O30" i="1" l="1"/>
  <c r="K31" i="1"/>
  <c r="I14" i="1"/>
  <c r="J14" i="1" s="1"/>
  <c r="H32" i="1"/>
  <c r="H15" i="1" l="1"/>
  <c r="I32" i="1"/>
  <c r="N31" i="1"/>
  <c r="L31" i="1"/>
  <c r="M31" i="1"/>
  <c r="O31" i="1" l="1"/>
  <c r="K32" i="1"/>
  <c r="I15" i="1"/>
  <c r="J15" i="1" s="1"/>
  <c r="N32" i="1" l="1"/>
  <c r="M32" i="1"/>
  <c r="L32" i="1"/>
  <c r="O32" i="1" l="1"/>
</calcChain>
</file>

<file path=xl/sharedStrings.xml><?xml version="1.0" encoding="utf-8"?>
<sst xmlns="http://schemas.openxmlformats.org/spreadsheetml/2006/main" count="57" uniqueCount="43">
  <si>
    <t>convert to</t>
  </si>
  <si>
    <t>TAELLA</t>
  </si>
  <si>
    <t>fluid media &amp; learning</t>
  </si>
  <si>
    <t>target users (free)</t>
  </si>
  <si>
    <t>light</t>
  </si>
  <si>
    <t>% increase / y</t>
  </si>
  <si>
    <t>Membership</t>
  </si>
  <si>
    <t>begin</t>
  </si>
  <si>
    <t>end</t>
  </si>
  <si>
    <t>Free</t>
  </si>
  <si>
    <t>Light</t>
  </si>
  <si>
    <t>Pro</t>
  </si>
  <si>
    <t>Monthly</t>
  </si>
  <si>
    <t>Yearly</t>
  </si>
  <si>
    <t>Indluded</t>
  </si>
  <si>
    <t>Text Catalog</t>
  </si>
  <si>
    <t>x</t>
  </si>
  <si>
    <t>Text Learning</t>
  </si>
  <si>
    <t>Audio Books</t>
  </si>
  <si>
    <t>5 h / month</t>
  </si>
  <si>
    <t>20 h / month</t>
  </si>
  <si>
    <t>100 h month</t>
  </si>
  <si>
    <t>Audio Learning</t>
  </si>
  <si>
    <t>2 h / month</t>
  </si>
  <si>
    <t>10 h / month</t>
  </si>
  <si>
    <t>20 h month</t>
  </si>
  <si>
    <t>Order new Audio</t>
  </si>
  <si>
    <t xml:space="preserve"> </t>
  </si>
  <si>
    <t>*</t>
  </si>
  <si>
    <t>Order a desired book from the e-book catalog. Production time ~ 1 week (DE &amp; EN)</t>
  </si>
  <si>
    <t>target total catalog</t>
  </si>
  <si>
    <t>dublic domain</t>
  </si>
  <si>
    <t>3rd party</t>
  </si>
  <si>
    <t>onboarding</t>
  </si>
  <si>
    <t>3rd party book onboarding</t>
  </si>
  <si>
    <t>ePub</t>
  </si>
  <si>
    <t>Audio</t>
  </si>
  <si>
    <t>Bilingu</t>
  </si>
  <si>
    <t>total</t>
  </si>
  <si>
    <t>onboarding text</t>
  </si>
  <si>
    <t>onboarding Audio</t>
  </si>
  <si>
    <t>+</t>
  </si>
  <si>
    <t>onboarding Bilingual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</si>
</sst>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\ _€_-;\-* #,##0\ _€_-;_-* &quot;-&quot;??\ _€_-;_-@_-"/>
    <numFmt numFmtId="166" formatCode="_-* #,##0\ &quot;€&quot;_-;\-* #,##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9" fontId="2" fillId="2" borderId="0" xfId="0" applyNumberFormat="1" applyFont="1" applyFill="1"/>
    <xf numFmtId="0" fontId="2" fillId="0" borderId="0" xfId="0" applyFont="1" applyAlignment="1">
      <alignment horizontal="center"/>
    </xf>
    <xf numFmtId="9" fontId="0" fillId="2" borderId="0" xfId="0" applyNumberFormat="1" applyFill="1"/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right" indent="1"/>
    </xf>
    <xf numFmtId="0" fontId="2" fillId="2" borderId="0" xfId="0" applyFont="1" applyFill="1" applyAlignment="1">
      <alignment horizontal="right" indent="2"/>
    </xf>
    <xf numFmtId="164" fontId="1" fillId="2" borderId="0" xfId="1" applyNumberFormat="1" applyFont="1" applyFill="1"/>
    <xf numFmtId="165" fontId="0" fillId="2" borderId="0" xfId="0" applyNumberFormat="1" applyFill="1"/>
    <xf numFmtId="165" fontId="0" fillId="2" borderId="0" xfId="0" applyNumberFormat="1" applyFill="1" applyAlignment="1">
      <alignment horizontal="left"/>
    </xf>
    <xf numFmtId="166" fontId="0" fillId="2" borderId="0" xfId="2" applyNumberFormat="1" applyFont="1" applyFill="1"/>
    <xf numFmtId="166" fontId="0" fillId="2" borderId="0" xfId="0" applyNumberFormat="1" applyFill="1"/>
    <xf numFmtId="44" fontId="2" fillId="2" borderId="0" xfId="2" applyFont="1" applyFill="1"/>
    <xf numFmtId="9" fontId="0" fillId="2" borderId="0" xfId="3" applyFont="1" applyFill="1"/>
    <xf numFmtId="44" fontId="0" fillId="2" borderId="0" xfId="0" applyNumberFormat="1" applyFill="1"/>
    <xf numFmtId="44" fontId="2" fillId="2" borderId="0" xfId="2" applyFont="1" applyFill="1" applyAlignment="1">
      <alignment horizontal="center"/>
    </xf>
    <xf numFmtId="8" fontId="2" fillId="2" borderId="0" xfId="2" applyNumberFormat="1" applyFont="1" applyFill="1" applyAlignment="1">
      <alignment horizontal="center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43" fontId="1" fillId="2" borderId="0" xfId="1" applyFont="1" applyFill="1"/>
    <xf numFmtId="43" fontId="0" fillId="2" borderId="0" xfId="1" applyFont="1" applyFill="1"/>
    <xf numFmtId="0" fontId="2" fillId="2" borderId="0" xfId="0" applyFont="1" applyFill="1" applyAlignment="1">
      <alignment horizontal="center"/>
    </xf>
    <xf numFmtId="44" fontId="2" fillId="2" borderId="0" xfId="2" applyFont="1" applyFill="1" applyBorder="1" applyAlignment="1">
      <alignment horizontal="center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134D-46EF-4BB5-9CCE-6A13BDA02C66}">
  <dimension ref="A1:O35"/>
  <sheetViews>
    <sheetView tabSelected="1" topLeftCell="A15" workbookViewId="0">
      <selection sqref="A1:P58"/>
    </sheetView>
  </sheetViews>
  <sheetFormatPr baseColWidth="10" defaultRowHeight="14.5" x14ac:dyDescent="0.35"/>
  <cols>
    <col min="1" max="1" width="18.08984375" style="1" bestFit="1" customWidth="1"/>
    <col min="2" max="2" width="2.36328125" style="1" customWidth="1"/>
    <col min="3" max="3" width="10.81640625" style="2" bestFit="1" customWidth="1"/>
    <col min="4" max="4" width="11.6328125" style="2" customWidth="1"/>
    <col min="5" max="5" width="11.453125" style="2" customWidth="1"/>
    <col min="6" max="7" width="10.90625" style="2"/>
    <col min="8" max="9" width="12.7265625" style="2" bestFit="1" customWidth="1"/>
    <col min="10" max="10" width="12.90625" style="2" bestFit="1" customWidth="1"/>
    <col min="11" max="11" width="11.54296875" style="2" bestFit="1" customWidth="1"/>
    <col min="12" max="15" width="12.54296875" style="2" bestFit="1" customWidth="1"/>
    <col min="16" max="16384" width="10.90625" style="2"/>
  </cols>
  <sheetData>
    <row r="1" spans="1:15" x14ac:dyDescent="0.35">
      <c r="J1" s="3" t="s">
        <v>0</v>
      </c>
    </row>
    <row r="2" spans="1:15" x14ac:dyDescent="0.35">
      <c r="C2" s="3" t="s">
        <v>1</v>
      </c>
      <c r="D2" s="4" t="s">
        <v>2</v>
      </c>
      <c r="E2" s="4"/>
      <c r="H2" s="5" t="s">
        <v>3</v>
      </c>
      <c r="I2" s="5"/>
      <c r="J2" s="6" t="s">
        <v>4</v>
      </c>
      <c r="K2" s="7"/>
      <c r="L2" s="3"/>
      <c r="M2" s="8"/>
    </row>
    <row r="3" spans="1:15" x14ac:dyDescent="0.35">
      <c r="H3" s="9" t="s">
        <v>5</v>
      </c>
      <c r="I3" s="6">
        <v>2.5</v>
      </c>
      <c r="J3" s="8">
        <v>0.06</v>
      </c>
      <c r="L3" s="8"/>
      <c r="M3" s="8"/>
      <c r="N3" s="8"/>
    </row>
    <row r="4" spans="1:15" x14ac:dyDescent="0.35">
      <c r="C4" s="10" t="s">
        <v>6</v>
      </c>
      <c r="D4" s="10"/>
      <c r="E4" s="10"/>
      <c r="H4" s="9" t="s">
        <v>7</v>
      </c>
      <c r="I4" s="11" t="s">
        <v>8</v>
      </c>
      <c r="J4" s="12"/>
      <c r="K4" s="12"/>
      <c r="L4" s="11"/>
      <c r="M4" s="9"/>
      <c r="N4" s="9"/>
      <c r="O4" s="11"/>
    </row>
    <row r="5" spans="1:15" x14ac:dyDescent="0.35">
      <c r="C5" s="5" t="s">
        <v>9</v>
      </c>
      <c r="D5" s="5" t="s">
        <v>10</v>
      </c>
      <c r="E5" s="5" t="s">
        <v>11</v>
      </c>
      <c r="G5" s="3">
        <v>2027</v>
      </c>
      <c r="H5" s="13">
        <f>H22*4</f>
        <v>800</v>
      </c>
      <c r="I5" s="13">
        <f>I22*4</f>
        <v>1760</v>
      </c>
      <c r="J5" s="14">
        <f>I5*$J$3</f>
        <v>105.6</v>
      </c>
      <c r="K5" s="15"/>
      <c r="L5" s="16"/>
      <c r="M5" s="16"/>
      <c r="N5" s="16"/>
      <c r="O5" s="17"/>
    </row>
    <row r="6" spans="1:15" x14ac:dyDescent="0.35">
      <c r="A6" s="9" t="s">
        <v>12</v>
      </c>
      <c r="B6" s="9"/>
      <c r="C6" s="18">
        <v>0</v>
      </c>
      <c r="D6" s="18">
        <v>4.99</v>
      </c>
      <c r="E6" s="18">
        <v>9.99</v>
      </c>
      <c r="F6" s="19"/>
      <c r="G6" s="3">
        <f>G5+1</f>
        <v>2028</v>
      </c>
      <c r="H6" s="13">
        <f t="shared" ref="H6:I15" si="0">H23*4</f>
        <v>1760</v>
      </c>
      <c r="I6" s="13">
        <f t="shared" si="0"/>
        <v>3872</v>
      </c>
      <c r="J6" s="14">
        <f t="shared" ref="J6:J15" si="1">I6*$J$3</f>
        <v>232.32</v>
      </c>
      <c r="K6" s="15"/>
      <c r="L6" s="16"/>
      <c r="M6" s="16"/>
      <c r="N6" s="16"/>
      <c r="O6" s="17"/>
    </row>
    <row r="7" spans="1:15" x14ac:dyDescent="0.35">
      <c r="A7" s="9" t="s">
        <v>13</v>
      </c>
      <c r="B7" s="9"/>
      <c r="C7" s="18">
        <v>0</v>
      </c>
      <c r="D7" s="18">
        <v>55</v>
      </c>
      <c r="E7" s="18">
        <v>99</v>
      </c>
      <c r="F7" s="20"/>
      <c r="G7" s="3">
        <f>G6+1</f>
        <v>2029</v>
      </c>
      <c r="H7" s="13">
        <f t="shared" si="0"/>
        <v>3872</v>
      </c>
      <c r="I7" s="13">
        <f t="shared" si="0"/>
        <v>8520</v>
      </c>
      <c r="J7" s="14">
        <f t="shared" si="1"/>
        <v>511.2</v>
      </c>
      <c r="K7" s="15"/>
      <c r="L7" s="16"/>
      <c r="M7" s="16"/>
      <c r="N7" s="16"/>
      <c r="O7" s="17"/>
    </row>
    <row r="8" spans="1:15" x14ac:dyDescent="0.35">
      <c r="C8" s="3"/>
      <c r="G8" s="3">
        <f>G7+1</f>
        <v>2030</v>
      </c>
      <c r="H8" s="13">
        <f t="shared" si="0"/>
        <v>8520</v>
      </c>
      <c r="I8" s="13">
        <f t="shared" si="0"/>
        <v>18744</v>
      </c>
      <c r="J8" s="14">
        <f t="shared" si="1"/>
        <v>1124.6399999999999</v>
      </c>
      <c r="K8" s="15"/>
      <c r="L8" s="16"/>
      <c r="M8" s="16"/>
      <c r="N8" s="16"/>
      <c r="O8" s="17"/>
    </row>
    <row r="9" spans="1:15" x14ac:dyDescent="0.35">
      <c r="C9" s="10" t="s">
        <v>14</v>
      </c>
      <c r="D9" s="10"/>
      <c r="E9" s="10"/>
      <c r="G9" s="3">
        <f>G8+1</f>
        <v>2031</v>
      </c>
      <c r="H9" s="13">
        <f t="shared" si="0"/>
        <v>18744</v>
      </c>
      <c r="I9" s="13">
        <f t="shared" si="0"/>
        <v>41236</v>
      </c>
      <c r="J9" s="14">
        <f t="shared" si="1"/>
        <v>2474.16</v>
      </c>
      <c r="K9" s="15"/>
      <c r="L9" s="16"/>
      <c r="M9" s="16"/>
      <c r="N9" s="16"/>
      <c r="O9" s="17"/>
    </row>
    <row r="10" spans="1:15" x14ac:dyDescent="0.35">
      <c r="C10" s="5" t="s">
        <v>9</v>
      </c>
      <c r="D10" s="5" t="s">
        <v>10</v>
      </c>
      <c r="E10" s="5" t="s">
        <v>11</v>
      </c>
      <c r="G10" s="3">
        <f>G9+1</f>
        <v>2032</v>
      </c>
      <c r="H10" s="13">
        <f t="shared" si="0"/>
        <v>41236</v>
      </c>
      <c r="I10" s="13">
        <f t="shared" si="0"/>
        <v>90720</v>
      </c>
      <c r="J10" s="14">
        <f t="shared" si="1"/>
        <v>5443.2</v>
      </c>
      <c r="K10" s="15"/>
      <c r="L10" s="16"/>
      <c r="M10" s="16"/>
      <c r="N10" s="16"/>
      <c r="O10" s="17"/>
    </row>
    <row r="11" spans="1:15" x14ac:dyDescent="0.35">
      <c r="A11" s="9" t="s">
        <v>15</v>
      </c>
      <c r="C11" s="21" t="s">
        <v>16</v>
      </c>
      <c r="D11" s="21" t="s">
        <v>16</v>
      </c>
      <c r="E11" s="21" t="s">
        <v>16</v>
      </c>
      <c r="G11" s="3">
        <f>G10+1</f>
        <v>2033</v>
      </c>
      <c r="H11" s="13">
        <f t="shared" si="0"/>
        <v>90720</v>
      </c>
      <c r="I11" s="13">
        <f t="shared" si="0"/>
        <v>199584</v>
      </c>
      <c r="J11" s="14">
        <f t="shared" si="1"/>
        <v>11975.039999999999</v>
      </c>
      <c r="K11" s="15"/>
      <c r="L11" s="16"/>
      <c r="M11" s="16"/>
      <c r="N11" s="16"/>
      <c r="O11" s="17"/>
    </row>
    <row r="12" spans="1:15" x14ac:dyDescent="0.35">
      <c r="A12" s="9" t="s">
        <v>17</v>
      </c>
      <c r="C12" s="21" t="s">
        <v>16</v>
      </c>
      <c r="D12" s="21" t="s">
        <v>16</v>
      </c>
      <c r="E12" s="21" t="s">
        <v>16</v>
      </c>
      <c r="G12" s="3">
        <f>G11+1</f>
        <v>2034</v>
      </c>
      <c r="H12" s="13">
        <f t="shared" si="0"/>
        <v>199584</v>
      </c>
      <c r="I12" s="13">
        <f t="shared" si="0"/>
        <v>439084</v>
      </c>
      <c r="J12" s="14">
        <f t="shared" si="1"/>
        <v>26345.039999999997</v>
      </c>
      <c r="K12" s="15"/>
      <c r="L12" s="16"/>
      <c r="M12" s="16"/>
      <c r="N12" s="16"/>
      <c r="O12" s="17"/>
    </row>
    <row r="13" spans="1:15" x14ac:dyDescent="0.35">
      <c r="A13" s="9" t="s">
        <v>18</v>
      </c>
      <c r="C13" s="3" t="s">
        <v>19</v>
      </c>
      <c r="D13" s="5" t="s">
        <v>20</v>
      </c>
      <c r="E13" s="5" t="s">
        <v>21</v>
      </c>
      <c r="G13" s="3">
        <f>G12+1</f>
        <v>2035</v>
      </c>
      <c r="H13" s="13">
        <f t="shared" si="0"/>
        <v>439084</v>
      </c>
      <c r="I13" s="13">
        <f t="shared" si="0"/>
        <v>965984</v>
      </c>
      <c r="J13" s="14">
        <f t="shared" si="1"/>
        <v>57959.040000000001</v>
      </c>
      <c r="K13" s="15"/>
      <c r="L13" s="16"/>
      <c r="M13" s="16"/>
      <c r="N13" s="16"/>
      <c r="O13" s="17"/>
    </row>
    <row r="14" spans="1:15" x14ac:dyDescent="0.35">
      <c r="A14" s="9" t="s">
        <v>22</v>
      </c>
      <c r="C14" s="3" t="s">
        <v>23</v>
      </c>
      <c r="D14" s="3" t="s">
        <v>24</v>
      </c>
      <c r="E14" s="5" t="s">
        <v>25</v>
      </c>
      <c r="G14" s="3">
        <f>G13+1</f>
        <v>2036</v>
      </c>
      <c r="H14" s="13">
        <f t="shared" si="0"/>
        <v>965984</v>
      </c>
      <c r="I14" s="13">
        <f t="shared" si="0"/>
        <v>2125164</v>
      </c>
      <c r="J14" s="14">
        <f t="shared" si="1"/>
        <v>127509.84</v>
      </c>
      <c r="K14" s="15"/>
      <c r="L14" s="16"/>
      <c r="M14" s="16"/>
      <c r="N14" s="16"/>
      <c r="O14" s="17"/>
    </row>
    <row r="15" spans="1:15" x14ac:dyDescent="0.35">
      <c r="G15" s="3">
        <f>G14+1</f>
        <v>2037</v>
      </c>
      <c r="H15" s="13">
        <f t="shared" si="0"/>
        <v>2125164</v>
      </c>
      <c r="I15" s="13">
        <f t="shared" si="0"/>
        <v>4675360</v>
      </c>
      <c r="J15" s="14">
        <f t="shared" si="1"/>
        <v>280521.59999999998</v>
      </c>
      <c r="K15" s="15"/>
      <c r="L15" s="16"/>
      <c r="M15" s="16"/>
      <c r="N15" s="16"/>
      <c r="O15" s="17"/>
    </row>
    <row r="16" spans="1:15" x14ac:dyDescent="0.35">
      <c r="A16" s="9" t="s">
        <v>26</v>
      </c>
      <c r="C16" s="22">
        <v>39.99</v>
      </c>
      <c r="D16" s="22">
        <v>19.989999999999998</v>
      </c>
      <c r="E16" s="22">
        <v>9.99</v>
      </c>
    </row>
    <row r="17" spans="1:15" x14ac:dyDescent="0.35">
      <c r="D17" s="2" t="s">
        <v>27</v>
      </c>
    </row>
    <row r="18" spans="1:15" x14ac:dyDescent="0.35">
      <c r="A18" s="1" t="s">
        <v>28</v>
      </c>
      <c r="B18" s="23" t="s">
        <v>29</v>
      </c>
      <c r="C18" s="23"/>
      <c r="D18" s="23"/>
      <c r="E18" s="23"/>
    </row>
    <row r="19" spans="1:15" x14ac:dyDescent="0.35">
      <c r="B19" s="23"/>
      <c r="C19" s="23"/>
      <c r="D19" s="23"/>
      <c r="E19" s="23"/>
      <c r="H19" s="5" t="s">
        <v>30</v>
      </c>
      <c r="I19" s="5"/>
      <c r="J19" s="3" t="s">
        <v>31</v>
      </c>
      <c r="K19" s="7" t="s">
        <v>32</v>
      </c>
      <c r="L19" s="3" t="s">
        <v>33</v>
      </c>
      <c r="M19" s="8"/>
    </row>
    <row r="20" spans="1:15" x14ac:dyDescent="0.35">
      <c r="B20" s="24"/>
      <c r="C20" s="24"/>
      <c r="D20" s="24"/>
      <c r="E20" s="24"/>
      <c r="H20" s="9" t="s">
        <v>5</v>
      </c>
      <c r="I20" s="6">
        <v>2.2000000000000002</v>
      </c>
      <c r="J20" s="8"/>
      <c r="L20" s="8">
        <v>1</v>
      </c>
      <c r="M20" s="8">
        <v>0.75</v>
      </c>
      <c r="N20" s="8">
        <v>0.5</v>
      </c>
    </row>
    <row r="21" spans="1:15" x14ac:dyDescent="0.35">
      <c r="C21" s="10" t="s">
        <v>34</v>
      </c>
      <c r="D21" s="10"/>
      <c r="E21" s="10"/>
      <c r="H21" s="9" t="s">
        <v>7</v>
      </c>
      <c r="I21" s="11" t="s">
        <v>8</v>
      </c>
      <c r="J21" s="12" t="s">
        <v>8</v>
      </c>
      <c r="K21" s="12" t="s">
        <v>8</v>
      </c>
      <c r="L21" s="11" t="s">
        <v>35</v>
      </c>
      <c r="M21" s="9" t="s">
        <v>36</v>
      </c>
      <c r="N21" s="9" t="s">
        <v>37</v>
      </c>
      <c r="O21" s="11" t="s">
        <v>38</v>
      </c>
    </row>
    <row r="22" spans="1:15" x14ac:dyDescent="0.35">
      <c r="A22" s="9" t="s">
        <v>39</v>
      </c>
      <c r="C22" s="5"/>
      <c r="D22" s="21">
        <v>30</v>
      </c>
      <c r="E22" s="5"/>
      <c r="G22" s="3">
        <v>2027</v>
      </c>
      <c r="H22" s="25">
        <v>200</v>
      </c>
      <c r="I22" s="25">
        <f>ROUND(H22*$I$20,0)</f>
        <v>440</v>
      </c>
      <c r="J22" s="14">
        <v>440</v>
      </c>
      <c r="K22" s="15">
        <f>I22-J22</f>
        <v>0</v>
      </c>
      <c r="L22" s="16">
        <f>K22*$D$22</f>
        <v>0</v>
      </c>
      <c r="M22" s="16">
        <f>K22*$M$20*$D$23</f>
        <v>0</v>
      </c>
      <c r="N22" s="16">
        <f>K22*$N$20*$D$24</f>
        <v>0</v>
      </c>
      <c r="O22" s="17">
        <f>N22+M22+L22</f>
        <v>0</v>
      </c>
    </row>
    <row r="23" spans="1:15" x14ac:dyDescent="0.35">
      <c r="A23" s="9" t="s">
        <v>40</v>
      </c>
      <c r="B23" s="9"/>
      <c r="C23" s="18" t="s">
        <v>41</v>
      </c>
      <c r="D23" s="18">
        <v>25</v>
      </c>
      <c r="E23" s="18">
        <f>D23+D22</f>
        <v>55</v>
      </c>
      <c r="G23" s="3">
        <f>G22+1</f>
        <v>2028</v>
      </c>
      <c r="H23" s="25">
        <f>I22</f>
        <v>440</v>
      </c>
      <c r="I23" s="25">
        <f>ROUND(H23*$I$20,0)</f>
        <v>968</v>
      </c>
      <c r="J23" s="14">
        <v>875</v>
      </c>
      <c r="K23" s="15">
        <f t="shared" ref="K23:K32" si="2">I23-J23</f>
        <v>93</v>
      </c>
      <c r="L23" s="16">
        <f t="shared" ref="L23:L32" si="3">K23*$D$22</f>
        <v>2790</v>
      </c>
      <c r="M23" s="16">
        <f>K23*$M$20*$D$23</f>
        <v>1743.75</v>
      </c>
      <c r="N23" s="16">
        <f>K23*$N$20*$D$24</f>
        <v>1162.5</v>
      </c>
      <c r="O23" s="17">
        <f t="shared" ref="O23:O32" si="4">N23+M23+L23</f>
        <v>5696.25</v>
      </c>
    </row>
    <row r="24" spans="1:15" x14ac:dyDescent="0.35">
      <c r="A24" s="9" t="s">
        <v>42</v>
      </c>
      <c r="B24" s="9"/>
      <c r="C24" s="18" t="s">
        <v>41</v>
      </c>
      <c r="D24" s="18">
        <v>25</v>
      </c>
      <c r="E24" s="18">
        <f>E23+D24</f>
        <v>80</v>
      </c>
      <c r="G24" s="3">
        <f>G23+1</f>
        <v>2029</v>
      </c>
      <c r="H24" s="26">
        <f t="shared" ref="H24:H32" si="5">I23</f>
        <v>968</v>
      </c>
      <c r="I24" s="26">
        <f>ROUND(H24*$I$20,0)</f>
        <v>2130</v>
      </c>
      <c r="J24" s="14">
        <v>1700</v>
      </c>
      <c r="K24" s="15">
        <f t="shared" si="2"/>
        <v>430</v>
      </c>
      <c r="L24" s="16">
        <f t="shared" si="3"/>
        <v>12900</v>
      </c>
      <c r="M24" s="16">
        <f>K24*$M$20*$D$23</f>
        <v>8062.5</v>
      </c>
      <c r="N24" s="16">
        <f>K24*$N$20*$D$24</f>
        <v>5375</v>
      </c>
      <c r="O24" s="17">
        <f t="shared" si="4"/>
        <v>26337.5</v>
      </c>
    </row>
    <row r="25" spans="1:15" x14ac:dyDescent="0.35">
      <c r="C25" s="27"/>
      <c r="D25" s="27"/>
      <c r="E25" s="27"/>
      <c r="G25" s="3">
        <f>G24+1</f>
        <v>2030</v>
      </c>
      <c r="H25" s="26">
        <f t="shared" si="5"/>
        <v>2130</v>
      </c>
      <c r="I25" s="26">
        <f>ROUND(H25*$I$20,0)</f>
        <v>4686</v>
      </c>
      <c r="J25" s="14">
        <v>3300</v>
      </c>
      <c r="K25" s="15">
        <f t="shared" si="2"/>
        <v>1386</v>
      </c>
      <c r="L25" s="16">
        <f t="shared" si="3"/>
        <v>41580</v>
      </c>
      <c r="M25" s="16">
        <f>K25*$M$20*$D$23</f>
        <v>25987.5</v>
      </c>
      <c r="N25" s="16">
        <f>K25*$N$20*$D$24</f>
        <v>17325</v>
      </c>
      <c r="O25" s="17">
        <f t="shared" si="4"/>
        <v>84892.5</v>
      </c>
    </row>
    <row r="26" spans="1:15" x14ac:dyDescent="0.35">
      <c r="C26" s="5"/>
      <c r="D26" s="5"/>
      <c r="E26" s="5"/>
      <c r="G26" s="3">
        <f>G25+1</f>
        <v>2031</v>
      </c>
      <c r="H26" s="26">
        <f t="shared" si="5"/>
        <v>4686</v>
      </c>
      <c r="I26" s="26">
        <f>ROUND(H26*$I$20,0)</f>
        <v>10309</v>
      </c>
      <c r="J26" s="14">
        <v>6200</v>
      </c>
      <c r="K26" s="15">
        <f t="shared" si="2"/>
        <v>4109</v>
      </c>
      <c r="L26" s="16">
        <f t="shared" si="3"/>
        <v>123270</v>
      </c>
      <c r="M26" s="16">
        <f>K26*$M$20*$D$23</f>
        <v>77043.75</v>
      </c>
      <c r="N26" s="16">
        <f>K26*$N$20*$D$24</f>
        <v>51362.5</v>
      </c>
      <c r="O26" s="17">
        <f t="shared" si="4"/>
        <v>251676.25</v>
      </c>
    </row>
    <row r="27" spans="1:15" x14ac:dyDescent="0.35">
      <c r="A27" s="9"/>
      <c r="C27" s="28"/>
      <c r="D27" s="28"/>
      <c r="E27" s="28"/>
      <c r="G27" s="3">
        <f>G26+1</f>
        <v>2032</v>
      </c>
      <c r="H27" s="26">
        <f t="shared" si="5"/>
        <v>10309</v>
      </c>
      <c r="I27" s="26">
        <f>ROUND(H27*$I$20,0)</f>
        <v>22680</v>
      </c>
      <c r="J27" s="14">
        <v>11500</v>
      </c>
      <c r="K27" s="15">
        <f t="shared" si="2"/>
        <v>11180</v>
      </c>
      <c r="L27" s="16">
        <f t="shared" si="3"/>
        <v>335400</v>
      </c>
      <c r="M27" s="16">
        <f>K27*$M$20*$D$23</f>
        <v>209625</v>
      </c>
      <c r="N27" s="16">
        <f>K27*$N$20*$D$24</f>
        <v>139750</v>
      </c>
      <c r="O27" s="17">
        <f t="shared" si="4"/>
        <v>684775</v>
      </c>
    </row>
    <row r="28" spans="1:15" x14ac:dyDescent="0.35">
      <c r="A28" s="9"/>
      <c r="C28" s="28"/>
      <c r="D28" s="28"/>
      <c r="E28" s="28"/>
      <c r="G28" s="3">
        <f>G27+1</f>
        <v>2033</v>
      </c>
      <c r="H28" s="26">
        <f t="shared" si="5"/>
        <v>22680</v>
      </c>
      <c r="I28" s="26">
        <f>ROUND(H28*$I$20,0)</f>
        <v>49896</v>
      </c>
      <c r="J28" s="14">
        <v>20000</v>
      </c>
      <c r="K28" s="15">
        <f t="shared" si="2"/>
        <v>29896</v>
      </c>
      <c r="L28" s="16">
        <f t="shared" si="3"/>
        <v>896880</v>
      </c>
      <c r="M28" s="16">
        <f>K28*$M$20*$D$23</f>
        <v>560550</v>
      </c>
      <c r="N28" s="16">
        <f>K28*$N$20*$D$24</f>
        <v>373700</v>
      </c>
      <c r="O28" s="17">
        <f t="shared" si="4"/>
        <v>1831130</v>
      </c>
    </row>
    <row r="29" spans="1:15" x14ac:dyDescent="0.35">
      <c r="A29" s="9"/>
      <c r="C29" s="3"/>
      <c r="D29" s="5"/>
      <c r="E29" s="5"/>
      <c r="G29" s="3">
        <f>G28+1</f>
        <v>2034</v>
      </c>
      <c r="H29" s="26">
        <f t="shared" si="5"/>
        <v>49896</v>
      </c>
      <c r="I29" s="26">
        <f>ROUND(H29*$I$20,0)</f>
        <v>109771</v>
      </c>
      <c r="J29" s="14">
        <v>35000</v>
      </c>
      <c r="K29" s="15">
        <f t="shared" si="2"/>
        <v>74771</v>
      </c>
      <c r="L29" s="16">
        <f t="shared" si="3"/>
        <v>2243130</v>
      </c>
      <c r="M29" s="16">
        <f>K29*$M$20*$D$23</f>
        <v>1401956.25</v>
      </c>
      <c r="N29" s="16">
        <f>K29*$N$20*$D$24</f>
        <v>934637.5</v>
      </c>
      <c r="O29" s="17">
        <f t="shared" si="4"/>
        <v>4579723.75</v>
      </c>
    </row>
    <row r="30" spans="1:15" x14ac:dyDescent="0.35">
      <c r="A30" s="9"/>
      <c r="C30" s="3"/>
      <c r="D30" s="3"/>
      <c r="E30" s="5"/>
      <c r="G30" s="3">
        <f>G29+1</f>
        <v>2035</v>
      </c>
      <c r="H30" s="26">
        <f t="shared" si="5"/>
        <v>109771</v>
      </c>
      <c r="I30" s="26">
        <f>ROUND(H30*$I$20,0)</f>
        <v>241496</v>
      </c>
      <c r="J30" s="14">
        <v>53000</v>
      </c>
      <c r="K30" s="15">
        <f t="shared" si="2"/>
        <v>188496</v>
      </c>
      <c r="L30" s="16">
        <f t="shared" si="3"/>
        <v>5654880</v>
      </c>
      <c r="M30" s="16">
        <f>K30*$M$20*$D$23</f>
        <v>3534300</v>
      </c>
      <c r="N30" s="16">
        <f>K30*$N$20*$D$24</f>
        <v>2356200</v>
      </c>
      <c r="O30" s="17">
        <f t="shared" si="4"/>
        <v>11545380</v>
      </c>
    </row>
    <row r="31" spans="1:15" x14ac:dyDescent="0.35">
      <c r="G31" s="3">
        <f>G30+1</f>
        <v>2036</v>
      </c>
      <c r="H31" s="26">
        <f t="shared" si="5"/>
        <v>241496</v>
      </c>
      <c r="I31" s="26">
        <f>ROUND(H31*$I$20,0)</f>
        <v>531291</v>
      </c>
      <c r="J31" s="14">
        <v>65000</v>
      </c>
      <c r="K31" s="15">
        <f t="shared" si="2"/>
        <v>466291</v>
      </c>
      <c r="L31" s="16">
        <f t="shared" si="3"/>
        <v>13988730</v>
      </c>
      <c r="M31" s="16">
        <f>K31*$M$20*$D$23</f>
        <v>8742956.25</v>
      </c>
      <c r="N31" s="16">
        <f>K31*$N$20*$D$24</f>
        <v>5828637.5</v>
      </c>
      <c r="O31" s="17">
        <f t="shared" si="4"/>
        <v>28560323.75</v>
      </c>
    </row>
    <row r="32" spans="1:15" x14ac:dyDescent="0.35">
      <c r="A32" s="9"/>
      <c r="C32" s="22"/>
      <c r="D32" s="22"/>
      <c r="E32" s="22"/>
      <c r="G32" s="3">
        <f>G31+1</f>
        <v>2037</v>
      </c>
      <c r="H32" s="26">
        <f t="shared" si="5"/>
        <v>531291</v>
      </c>
      <c r="I32" s="26">
        <f>ROUND(H32*$I$20,0)</f>
        <v>1168840</v>
      </c>
      <c r="J32" s="14">
        <v>70000</v>
      </c>
      <c r="K32" s="15">
        <f t="shared" si="2"/>
        <v>1098840</v>
      </c>
      <c r="L32" s="16">
        <f t="shared" si="3"/>
        <v>32965200</v>
      </c>
      <c r="M32" s="16">
        <f>K32*$M$20*$D$23</f>
        <v>20603250</v>
      </c>
      <c r="N32" s="16">
        <f>K32*$N$20*$D$24</f>
        <v>13735500</v>
      </c>
      <c r="O32" s="17">
        <f t="shared" si="4"/>
        <v>67303950</v>
      </c>
    </row>
    <row r="34" spans="2:5" x14ac:dyDescent="0.35">
      <c r="B34" s="23"/>
      <c r="C34" s="23"/>
      <c r="D34" s="23"/>
      <c r="E34" s="23"/>
    </row>
    <row r="35" spans="2:5" x14ac:dyDescent="0.35">
      <c r="B35" s="23"/>
      <c r="C35" s="23"/>
      <c r="D35" s="23"/>
      <c r="E35" s="23"/>
    </row>
  </sheetData>
  <mergeCells count="7">
    <mergeCell ref="B34:E35"/>
    <mergeCell ref="D2:E2"/>
    <mergeCell ref="C4:E4"/>
    <mergeCell ref="C9:E9"/>
    <mergeCell ref="B18:E19"/>
    <mergeCell ref="C21:E21"/>
    <mergeCell ref="C25:E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Meyer</dc:creator>
  <cp:lastModifiedBy>Sabine Meyer</cp:lastModifiedBy>
  <dcterms:created xsi:type="dcterms:W3CDTF">2026-06-19T20:17:47Z</dcterms:created>
  <dcterms:modified xsi:type="dcterms:W3CDTF">2026-06-19T20:18:49Z</dcterms:modified>
</cp:coreProperties>
</file>